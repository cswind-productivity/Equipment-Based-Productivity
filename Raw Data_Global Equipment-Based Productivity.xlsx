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810" documentId="11_00398937E4CE460C4AAC3F08F8A2AB6C2F28F386" xr6:coauthVersionLast="47" xr6:coauthVersionMax="47" xr10:uidLastSave="{3BF93582-E740-4999-B934-C47BB3A18288}"/>
  <bookViews>
    <workbookView xWindow="-108" yWindow="-108" windowWidth="23256" windowHeight="12456"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84" i="1" l="1"/>
  <c r="F1683" i="1"/>
  <c r="F1682" i="1"/>
  <c r="F1585" i="1" l="1"/>
  <c r="F1584" i="1"/>
  <c r="F1583" i="1"/>
  <c r="F1387" i="1" l="1"/>
  <c r="F1386" i="1"/>
  <c r="F1385" i="1"/>
  <c r="F1486" i="1" l="1"/>
  <c r="F1485" i="1"/>
  <c r="F1484" i="1"/>
  <c r="F1288" i="1" l="1"/>
  <c r="F1287" i="1"/>
  <c r="F1286" i="1"/>
  <c r="F1284" i="1"/>
  <c r="H1284" i="1"/>
  <c r="H1234" i="1"/>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H1263" i="1"/>
  <c r="H1254" i="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1164" i="1"/>
  <c r="H330" i="1"/>
  <c r="H1859" i="1"/>
  <c r="H3818" i="1"/>
  <c r="H3847" i="1"/>
  <c r="H3846" i="1"/>
  <c r="H4006" i="1"/>
  <c r="H788" i="1"/>
  <c r="H4575" i="1"/>
  <c r="H1812" i="1"/>
  <c r="H4223" i="1"/>
  <c r="H3905" i="1"/>
  <c r="H5047" i="1"/>
  <c r="H2479" i="1"/>
  <c r="H1145" i="1"/>
  <c r="H4724" i="1"/>
  <c r="H3800" i="1"/>
  <c r="H1316" i="1"/>
  <c r="H518" i="1"/>
  <c r="H3574" i="1"/>
  <c r="H3566" i="1"/>
  <c r="H2056" i="1"/>
  <c r="H692" i="1"/>
  <c r="H3924" i="1"/>
  <c r="H1871" i="1"/>
  <c r="H3623" i="1"/>
  <c r="H931" i="1"/>
  <c r="H348" i="1"/>
  <c r="H3087" i="1"/>
  <c r="H1717" i="1"/>
  <c r="H519" i="1"/>
  <c r="H3784" i="1"/>
  <c r="H2166" i="1"/>
  <c r="H1408" i="1"/>
  <c r="H3980" i="1"/>
  <c r="H1484" i="1"/>
  <c r="H990" i="1"/>
  <c r="H3249" i="1"/>
  <c r="H5095" i="1"/>
  <c r="H2935" i="1"/>
  <c r="H731" i="1"/>
  <c r="H5120" i="1"/>
  <c r="H1723" i="1"/>
  <c r="H879" i="1"/>
  <c r="H4408" i="1"/>
  <c r="H4629" i="1"/>
  <c r="H2129" i="1"/>
  <c r="H2675" i="1"/>
  <c r="H4584" i="1"/>
  <c r="H1360" i="1"/>
  <c r="H1213" i="1"/>
  <c r="H1672" i="1"/>
  <c r="H4665" i="1"/>
  <c r="H520" i="1"/>
  <c r="H4833" i="1"/>
  <c r="H4729" i="1"/>
  <c r="H1362" i="1"/>
  <c r="H3984" i="1"/>
  <c r="H4688" i="1"/>
  <c r="H2160" i="1"/>
  <c r="H4274" i="1"/>
  <c r="H2356" i="1"/>
  <c r="H3387" i="1"/>
  <c r="H3645" i="1"/>
  <c r="H2459" i="1"/>
  <c r="H5002" i="1"/>
  <c r="H4670" i="1"/>
  <c r="H5185" i="1"/>
  <c r="H1332" i="1"/>
  <c r="H4716" i="1"/>
  <c r="H3420" i="1"/>
  <c r="H4350" i="1"/>
  <c r="H2080" i="1"/>
  <c r="H3323" i="1"/>
  <c r="H4748" i="1"/>
  <c r="H1763" i="1"/>
  <c r="H4206" i="1"/>
  <c r="H2896" i="1"/>
  <c r="H2735" i="1"/>
  <c r="H2383" i="1"/>
  <c r="H147" i="1"/>
  <c r="H297" i="1"/>
  <c r="H1449" i="1"/>
  <c r="H4862" i="1"/>
  <c r="H4488" i="1"/>
  <c r="H1970" i="1"/>
  <c r="H3193" i="1"/>
  <c r="H3207" i="1"/>
  <c r="H4779" i="1"/>
  <c r="H620" i="1"/>
  <c r="H3892" i="1"/>
  <c r="H4866" i="1"/>
  <c r="H4269" i="1"/>
  <c r="H1266" i="1"/>
  <c r="H1506" i="1"/>
  <c r="H28" i="1"/>
  <c r="H3452" i="1"/>
  <c r="H1378" i="1"/>
  <c r="H2733" i="1"/>
  <c r="H512" i="1"/>
  <c r="H4088" i="1"/>
  <c r="H4710" i="1"/>
  <c r="H4144" i="1"/>
  <c r="H4415" i="1"/>
  <c r="H2278" i="1"/>
  <c r="H4263" i="1"/>
  <c r="H2063" i="1"/>
  <c r="H1948" i="1"/>
  <c r="H690" i="1"/>
  <c r="H344" i="1"/>
  <c r="H3523" i="1"/>
  <c r="H719" i="1"/>
  <c r="H4147" i="1"/>
  <c r="H4026" i="1"/>
  <c r="H3999" i="1"/>
  <c r="H1905" i="1"/>
  <c r="H1137" i="1"/>
  <c r="H3022" i="1"/>
  <c r="H5086" i="1"/>
  <c r="H37" i="1"/>
  <c r="H1980" i="1"/>
  <c r="H940" i="1"/>
  <c r="H2801" i="1"/>
  <c r="H2512" i="1"/>
  <c r="H4820" i="1"/>
  <c r="H4954" i="1"/>
  <c r="H284" i="1"/>
  <c r="H1057" i="1"/>
  <c r="H4117" i="1"/>
  <c r="H5014" i="1"/>
  <c r="H339" i="1"/>
  <c r="H4464" i="1"/>
  <c r="H4474" i="1"/>
  <c r="H1887" i="1"/>
  <c r="H3702" i="1"/>
  <c r="H2389" i="1"/>
  <c r="H3895" i="1"/>
  <c r="H3983" i="1"/>
  <c r="H1155" i="1"/>
  <c r="H3707" i="1"/>
  <c r="H1396" i="1"/>
  <c r="H2049" i="1"/>
  <c r="H244" i="1"/>
  <c r="H3507" i="1"/>
  <c r="H579" i="1"/>
  <c r="H4099" i="1"/>
  <c r="H1895" i="1"/>
  <c r="H902" i="1"/>
  <c r="H275" i="1"/>
  <c r="H855" i="1"/>
  <c r="H1223" i="1"/>
  <c r="H4625" i="1"/>
  <c r="H3298" i="1"/>
  <c r="H1294" i="1"/>
  <c r="H1050" i="1"/>
  <c r="H1445" i="1"/>
  <c r="H1849" i="1"/>
  <c r="H2484" i="1"/>
  <c r="H4451" i="1"/>
  <c r="H4294" i="1"/>
  <c r="H3237" i="1"/>
  <c r="H4324" i="1"/>
  <c r="H1114" i="1"/>
  <c r="H3491" i="1"/>
  <c r="H2922" i="1"/>
  <c r="H4210" i="1"/>
  <c r="H4618" i="1"/>
  <c r="H4523" i="1"/>
  <c r="H4387" i="1"/>
  <c r="H3356" i="1"/>
  <c r="H5153" i="1"/>
  <c r="H4079" i="1"/>
  <c r="H2570" i="1"/>
  <c r="H4970" i="1"/>
  <c r="H445" i="1"/>
  <c r="H4563" i="1"/>
  <c r="H2232" i="1"/>
  <c r="H4216" i="1"/>
  <c r="H1441" i="1"/>
  <c r="H2745" i="1"/>
  <c r="H4699" i="1"/>
  <c r="H2894" i="1"/>
  <c r="H359" i="1"/>
  <c r="H2099" i="1"/>
  <c r="H1426" i="1"/>
  <c r="H2321" i="1"/>
  <c r="H1876" i="1"/>
  <c r="H1224" i="1"/>
  <c r="H2916" i="1"/>
  <c r="H1104" i="1"/>
  <c r="H3117" i="1"/>
  <c r="H934" i="1"/>
  <c r="H3088" i="1"/>
  <c r="H418" i="1"/>
  <c r="H4576" i="1"/>
  <c r="H2272" i="1"/>
  <c r="H159" i="1"/>
  <c r="H3003" i="1"/>
  <c r="H2265" i="1"/>
  <c r="H946" i="1"/>
  <c r="H4959" i="1"/>
  <c r="H2674" i="1"/>
  <c r="H3786" i="1"/>
  <c r="H1897" i="1"/>
  <c r="H2970" i="1"/>
  <c r="H58" i="1"/>
  <c r="H5012" i="1"/>
  <c r="H2448" i="1"/>
  <c r="H3285" i="1"/>
  <c r="H2132" i="1"/>
  <c r="H4555" i="1"/>
  <c r="H2113" i="1"/>
  <c r="H467" i="1"/>
  <c r="H4209" i="1"/>
  <c r="H3266" i="1"/>
  <c r="H1956" i="1"/>
  <c r="H1269" i="1"/>
  <c r="H3111" i="1"/>
  <c r="H2914" i="1"/>
  <c r="H4917" i="1"/>
  <c r="H3636" i="1"/>
  <c r="H2727" i="1"/>
  <c r="H3319" i="1"/>
  <c r="H161" i="1"/>
  <c r="H2285" i="1"/>
  <c r="H4455" i="1"/>
  <c r="H4340" i="1"/>
  <c r="H1453" i="1"/>
  <c r="H843" i="1"/>
  <c r="H2045" i="1"/>
  <c r="H4016" i="1"/>
  <c r="H3473" i="1"/>
  <c r="H4784" i="1"/>
  <c r="H3954" i="1"/>
  <c r="H2136" i="1"/>
  <c r="H3516" i="1"/>
  <c r="H4719" i="1"/>
  <c r="H3768" i="1"/>
  <c r="H908" i="1"/>
  <c r="H961" i="1"/>
  <c r="H3832" i="1"/>
  <c r="H3503" i="1"/>
  <c r="H3015" i="1"/>
  <c r="H1306" i="1"/>
  <c r="H2543" i="1"/>
  <c r="H5030" i="1"/>
  <c r="H2911" i="1"/>
  <c r="H4416" i="1"/>
  <c r="H3020" i="1"/>
  <c r="H4781" i="1"/>
  <c r="H5213" i="1"/>
  <c r="H4132" i="1"/>
  <c r="H2019" i="1"/>
  <c r="H2075" i="1"/>
  <c r="H56" i="1"/>
  <c r="H2758" i="1"/>
  <c r="H1898" i="1"/>
  <c r="H3848" i="1"/>
  <c r="H4175" i="1"/>
  <c r="H2869" i="1"/>
  <c r="H2173" i="1"/>
  <c r="H1572" i="1"/>
  <c r="H2660" i="1"/>
  <c r="H456" i="1"/>
  <c r="H957" i="1"/>
  <c r="H4952" i="1"/>
  <c r="H200" i="1"/>
  <c r="H179" i="1"/>
  <c r="H1549" i="1"/>
  <c r="H3359" i="1"/>
  <c r="H4840" i="1"/>
  <c r="H238" i="1"/>
  <c r="H3341" i="1"/>
  <c r="H3866" i="1"/>
  <c r="H4545" i="1"/>
  <c r="H4486" i="1"/>
  <c r="H1301" i="1"/>
  <c r="H127" i="1"/>
  <c r="H214" i="1"/>
  <c r="H3127" i="1"/>
  <c r="H3767" i="1"/>
  <c r="H655" i="1"/>
  <c r="H160" i="1"/>
  <c r="H5053" i="1"/>
  <c r="H1881" i="1"/>
  <c r="H713" i="1"/>
  <c r="H4714" i="1"/>
  <c r="H465" i="1"/>
  <c r="H3333" i="1"/>
  <c r="H4456" i="1"/>
  <c r="H444" i="1"/>
  <c r="H954" i="1"/>
  <c r="H126" i="1"/>
  <c r="H1569" i="1"/>
  <c r="H4140" i="1"/>
  <c r="H3349" i="1"/>
  <c r="H4536" i="1"/>
  <c r="H378" i="1"/>
  <c r="H3414" i="1"/>
  <c r="H5076" i="1"/>
  <c r="H1245" i="1"/>
  <c r="H1364" i="1"/>
  <c r="H181" i="1"/>
  <c r="H4770" i="1"/>
  <c r="H1066" i="1"/>
  <c r="H4468" i="1"/>
  <c r="H4495" i="1"/>
  <c r="H1465" i="1"/>
  <c r="H3078" i="1"/>
  <c r="H4515" i="1"/>
  <c r="H1158" i="1"/>
  <c r="H1132" i="1"/>
  <c r="H3929" i="1"/>
  <c r="H1246" i="1"/>
  <c r="H4264" i="1"/>
  <c r="H2074" i="1"/>
  <c r="H3346" i="1"/>
  <c r="H5025" i="1"/>
  <c r="H3733" i="1"/>
  <c r="H3421" i="1"/>
  <c r="H1108" i="1"/>
  <c r="H1840" i="1"/>
  <c r="H102" i="1"/>
  <c r="H1959" i="1"/>
  <c r="H215" i="1"/>
  <c r="H405" i="1"/>
  <c r="H4826" i="1"/>
  <c r="H3760" i="1"/>
  <c r="H2340" i="1"/>
  <c r="H270" i="1"/>
  <c r="H2060" i="1"/>
  <c r="H950" i="1"/>
  <c r="H4972" i="1"/>
  <c r="H1344" i="1"/>
  <c r="H5083" i="1"/>
  <c r="H1714" i="1"/>
  <c r="H1275" i="1"/>
  <c r="H4983" i="1"/>
  <c r="H4713" i="1"/>
  <c r="H3076" i="1"/>
  <c r="H1025" i="1"/>
  <c r="H5144" i="1"/>
  <c r="H4400" i="1"/>
  <c r="H1644" i="1"/>
  <c r="H3585" i="1"/>
  <c r="H496" i="1"/>
  <c r="H4947" i="1"/>
  <c r="H3413" i="1"/>
  <c r="H2102" i="1"/>
  <c r="H1576" i="1"/>
  <c r="H474" i="1"/>
  <c r="H1494" i="1"/>
  <c r="H1375" i="1"/>
  <c r="H1429" i="1"/>
  <c r="H2901" i="1"/>
  <c r="H2564" i="1"/>
  <c r="H3989" i="1"/>
  <c r="H3828" i="1"/>
  <c r="H411" i="1"/>
  <c r="H4973" i="1"/>
  <c r="H1642" i="1"/>
  <c r="H2032" i="1"/>
  <c r="H597" i="1"/>
  <c r="H57" i="1"/>
  <c r="H773" i="1"/>
  <c r="H4319" i="1"/>
  <c r="H247" i="1"/>
  <c r="H3068" i="1"/>
  <c r="H4731" i="1"/>
  <c r="H958" i="1"/>
  <c r="H245" i="1"/>
  <c r="H3520" i="1"/>
  <c r="H2468" i="1"/>
  <c r="H4807" i="1"/>
  <c r="H2048" i="1"/>
  <c r="H4290" i="1"/>
  <c r="H3727" i="1"/>
  <c r="H424" i="1"/>
  <c r="H119" i="1"/>
  <c r="H3609" i="1"/>
  <c r="H4305" i="1"/>
  <c r="H4639" i="1"/>
  <c r="H1451" i="1"/>
  <c r="H282" i="1"/>
  <c r="H1111" i="1"/>
  <c r="H4646" i="1"/>
  <c r="H4914" i="1"/>
  <c r="H1786" i="1"/>
  <c r="H4389" i="1"/>
  <c r="H3547" i="1"/>
  <c r="H1432" i="1"/>
  <c r="H16" i="1"/>
  <c r="H4432" i="1"/>
  <c r="H4056" i="1"/>
  <c r="H4915" i="1"/>
  <c r="H1004" i="1"/>
  <c r="H2592" i="1"/>
  <c r="H2434" i="1"/>
  <c r="H3813" i="1"/>
  <c r="H4991" i="1"/>
  <c r="H2584" i="1"/>
  <c r="H1994" i="1"/>
  <c r="H1361" i="1"/>
  <c r="H475" i="1"/>
  <c r="H2419" i="1"/>
  <c r="H2986" i="1"/>
  <c r="H2876" i="1"/>
  <c r="H2924" i="1"/>
  <c r="H218" i="1"/>
  <c r="H3192" i="1"/>
  <c r="H4306" i="1"/>
  <c r="H354" i="1"/>
  <c r="H3171" i="1"/>
  <c r="H880" i="1"/>
  <c r="H2248" i="1"/>
  <c r="H4769" i="1"/>
  <c r="H4227" i="1"/>
  <c r="H3209" i="1"/>
  <c r="H3938" i="1"/>
  <c r="H1790" i="1"/>
  <c r="H4260" i="1"/>
  <c r="H4803" i="1"/>
  <c r="H4343" i="1"/>
  <c r="H3001" i="1"/>
  <c r="H1943" i="1"/>
  <c r="H1397" i="1"/>
  <c r="H5117" i="1"/>
  <c r="H2704" i="1"/>
  <c r="H1032" i="1"/>
  <c r="H2110" i="1"/>
  <c r="H3288" i="1"/>
  <c r="H2945" i="1"/>
  <c r="H4413" i="1"/>
  <c r="H4680" i="1"/>
  <c r="H5070" i="1"/>
  <c r="H1796" i="1"/>
  <c r="H3199" i="1"/>
  <c r="H3700" i="1"/>
  <c r="H2439" i="1"/>
  <c r="H2159" i="1"/>
  <c r="H5223" i="1"/>
  <c r="H1935" i="1"/>
  <c r="H2602" i="1"/>
  <c r="H4188" i="1"/>
  <c r="H3644" i="1"/>
  <c r="H4902" i="1"/>
  <c r="H944" i="1"/>
  <c r="H1376" i="1"/>
  <c r="H3138" i="1"/>
  <c r="H2192" i="1"/>
  <c r="H2635" i="1"/>
  <c r="H4870" i="1"/>
  <c r="H2871" i="1"/>
  <c r="H4310" i="1"/>
  <c r="H2299" i="1"/>
  <c r="H1728" i="1"/>
  <c r="H2529" i="1"/>
  <c r="H603" i="1"/>
  <c r="H2934" i="1"/>
  <c r="H1556" i="1"/>
  <c r="H583" i="1"/>
  <c r="H1148" i="1"/>
  <c r="H588" i="1"/>
  <c r="H1940" i="1"/>
  <c r="H1656" i="1"/>
  <c r="H3592" i="1"/>
  <c r="H2454" i="1"/>
  <c r="H2624" i="1"/>
  <c r="H4055" i="1"/>
  <c r="H3573" i="1"/>
  <c r="H1658" i="1"/>
  <c r="H3640" i="1"/>
  <c r="H77" i="1"/>
  <c r="H1596" i="1"/>
  <c r="H2737" i="1"/>
  <c r="H2386" i="1"/>
  <c r="H4109" i="1"/>
  <c r="H1055" i="1"/>
  <c r="H3403" i="1"/>
  <c r="H2816" i="1"/>
  <c r="H233" i="1"/>
  <c r="H933" i="1"/>
  <c r="H1042" i="1"/>
  <c r="H722" i="1"/>
  <c r="H525" i="1"/>
  <c r="H2134" i="1"/>
  <c r="H1538" i="1"/>
  <c r="H2534" i="1"/>
  <c r="H180" i="1"/>
  <c r="H599" i="1"/>
  <c r="H3377" i="1"/>
  <c r="H136" i="1"/>
  <c r="H1659" i="1"/>
  <c r="H2706" i="1"/>
  <c r="H2352" i="1"/>
  <c r="H2699" i="1"/>
  <c r="H2086" i="1"/>
  <c r="H3245" i="1"/>
  <c r="H2892" i="1"/>
  <c r="H3601" i="1"/>
  <c r="H4100" i="1"/>
  <c r="H4626" i="1"/>
  <c r="H667" i="1"/>
  <c r="H1128" i="1"/>
  <c r="H3662" i="1"/>
  <c r="H5229" i="1"/>
  <c r="H3754" i="1"/>
  <c r="H4170" i="1"/>
  <c r="H5068" i="1"/>
  <c r="H120" i="1"/>
  <c r="H1447" i="1"/>
  <c r="H1813" i="1"/>
  <c r="H4315" i="1"/>
  <c r="H4198" i="1"/>
  <c r="H973" i="1"/>
  <c r="H1513" i="1"/>
  <c r="H1890" i="1"/>
  <c r="H3862" i="1"/>
  <c r="H225" i="1"/>
  <c r="H1118" i="1"/>
  <c r="H2431" i="1"/>
  <c r="H1413" i="1"/>
  <c r="H1880" i="1"/>
  <c r="H469" i="1"/>
  <c r="H277" i="1"/>
  <c r="H2121" i="1"/>
  <c r="H174" i="1"/>
  <c r="H1904" i="1"/>
  <c r="H406" i="1"/>
  <c r="H596" i="1"/>
  <c r="H4624" i="1"/>
  <c r="H2826" i="1"/>
  <c r="H2741" i="1"/>
  <c r="H3970" i="1"/>
  <c r="H551" i="1"/>
  <c r="H1054" i="1"/>
  <c r="H4430" i="1"/>
  <c r="H481" i="1"/>
  <c r="H4596" i="1"/>
  <c r="H4660" i="1"/>
  <c r="H1277" i="1"/>
  <c r="H779" i="1"/>
  <c r="H2289" i="1"/>
  <c r="H3271" i="1"/>
  <c r="H5218" i="1"/>
  <c r="H1460" i="1"/>
  <c r="H1814" i="1"/>
  <c r="H4143" i="1"/>
  <c r="H1748" i="1"/>
  <c r="H5108" i="1"/>
  <c r="H3443" i="1"/>
  <c r="H14" i="1"/>
  <c r="H1741" i="1"/>
  <c r="H2478" i="1"/>
  <c r="H4058" i="1"/>
  <c r="H3658" i="1"/>
  <c r="H1383" i="1"/>
  <c r="H2380" i="1"/>
  <c r="H2658" i="1"/>
  <c r="H3808" i="1"/>
  <c r="H1785" i="1"/>
  <c r="H4822" i="1"/>
  <c r="H4066" i="1"/>
  <c r="H4485" i="1"/>
  <c r="H3220" i="1"/>
  <c r="H2288" i="1"/>
  <c r="H3831" i="1"/>
  <c r="H1409" i="1"/>
  <c r="H2450" i="1"/>
  <c r="H2425" i="1"/>
  <c r="H3184" i="1"/>
  <c r="H4207" i="1"/>
  <c r="H669" i="1"/>
  <c r="H2163" i="1"/>
  <c r="H5090" i="1"/>
  <c r="H2241" i="1"/>
  <c r="H4871" i="1"/>
  <c r="H5031" i="1"/>
  <c r="H856" i="1"/>
  <c r="H4648" i="1"/>
  <c r="H1238" i="1"/>
  <c r="H4886" i="1"/>
  <c r="H1529" i="1"/>
  <c r="H2763" i="1"/>
  <c r="H1832" i="1"/>
  <c r="H2339" i="1"/>
  <c r="H4126" i="1"/>
  <c r="H4530" i="1"/>
  <c r="H4541" i="1"/>
  <c r="H183" i="1"/>
  <c r="H1612" i="1"/>
  <c r="H4752" i="1"/>
  <c r="H762" i="1"/>
  <c r="H280" i="1"/>
  <c r="H2787" i="1"/>
  <c r="H1257" i="1"/>
  <c r="H3555" i="1"/>
  <c r="H1668" i="1"/>
  <c r="H2803" i="1"/>
  <c r="H347" i="1"/>
  <c r="H2267" i="1"/>
  <c r="H1930" i="1"/>
  <c r="H2347" i="1"/>
  <c r="H2391" i="1"/>
  <c r="H4183" i="1"/>
  <c r="H4798" i="1"/>
  <c r="H5046" i="1"/>
  <c r="H511" i="1"/>
  <c r="H4029" i="1"/>
  <c r="H2827" i="1"/>
  <c r="H1781" i="1"/>
  <c r="H4247" i="1"/>
  <c r="H3968" i="1"/>
  <c r="H625" i="1"/>
  <c r="H2116" i="1"/>
  <c r="H4134" i="1"/>
  <c r="H3899" i="1"/>
  <c r="H3726" i="1"/>
  <c r="H5154" i="1"/>
  <c r="H135" i="1"/>
  <c r="H1182" i="1"/>
  <c r="H2442" i="1"/>
  <c r="H2223" i="1"/>
  <c r="H74" i="1"/>
  <c r="H2330" i="1"/>
  <c r="H3577" i="1"/>
  <c r="H3773" i="1"/>
  <c r="H4880" i="1"/>
  <c r="H1230" i="1"/>
  <c r="H4168" i="1"/>
  <c r="H3916" i="1"/>
  <c r="H2287" i="1"/>
  <c r="H5008" i="1"/>
  <c r="H679" i="1"/>
  <c r="H564" i="1"/>
  <c r="H1499" i="1"/>
  <c r="H4326" i="1"/>
  <c r="H868" i="1"/>
  <c r="H423" i="1"/>
  <c r="H4491" i="1"/>
  <c r="H544" i="1"/>
  <c r="H5192" i="1"/>
  <c r="H4824" i="1"/>
  <c r="H430" i="1"/>
  <c r="H4370" i="1"/>
  <c r="H1621" i="1"/>
  <c r="H3479" i="1"/>
  <c r="H2376" i="1"/>
  <c r="H3549" i="1"/>
  <c r="H3296" i="1"/>
  <c r="H362" i="1"/>
  <c r="H82" i="1"/>
  <c r="H3183" i="1"/>
  <c r="H3729" i="1"/>
  <c r="H5182" i="1"/>
  <c r="H1287" i="1"/>
  <c r="H738" i="1"/>
  <c r="H2447" i="1"/>
  <c r="H2346" i="1"/>
  <c r="H1203" i="1"/>
  <c r="H2578" i="1"/>
  <c r="H285" i="1"/>
  <c r="H92" i="1"/>
  <c r="H1069" i="1"/>
  <c r="H4777" i="1"/>
  <c r="H3878" i="1"/>
  <c r="H4193" i="1"/>
  <c r="H3474" i="1"/>
  <c r="H239" i="1"/>
  <c r="H1060" i="1"/>
  <c r="H3297" i="1"/>
  <c r="H553" i="1"/>
  <c r="H2671" i="1"/>
  <c r="H678" i="1"/>
  <c r="H3103" i="1"/>
  <c r="H1776" i="1"/>
  <c r="H1206" i="1"/>
  <c r="H3099" i="1"/>
  <c r="H2042" i="1"/>
  <c r="H4913" i="1"/>
  <c r="H2832" i="1"/>
  <c r="H2854" i="1"/>
  <c r="H2647" i="1"/>
  <c r="H4001" i="1"/>
  <c r="H4830" i="1"/>
  <c r="H5007" i="1"/>
  <c r="H2861" i="1"/>
  <c r="H4082" i="1"/>
  <c r="H3144" i="1"/>
  <c r="H2937" i="1"/>
  <c r="H1984" i="1"/>
  <c r="H3907" i="1"/>
  <c r="H4411" i="1"/>
  <c r="H3256" i="1"/>
  <c r="H3944" i="1"/>
  <c r="H4706" i="1"/>
  <c r="H1134" i="1"/>
  <c r="H4023" i="1"/>
  <c r="H489" i="1"/>
  <c r="H2088" i="1"/>
  <c r="H3751" i="1"/>
  <c r="H2106" i="1"/>
  <c r="H4078" i="1"/>
  <c r="H1133" i="1"/>
  <c r="H2511" i="1"/>
  <c r="H2420" i="1"/>
  <c r="H2357" i="1"/>
  <c r="H4928" i="1"/>
  <c r="H4754" i="1"/>
  <c r="H2997" i="1"/>
  <c r="H143" i="1"/>
  <c r="H4069" i="1"/>
  <c r="H4845" i="1"/>
  <c r="H266" i="1"/>
  <c r="H237" i="1"/>
  <c r="H1291" i="1"/>
  <c r="H2047" i="1"/>
  <c r="H3294" i="1"/>
  <c r="H2936" i="1"/>
  <c r="H4630" i="1"/>
  <c r="H4980" i="1"/>
  <c r="H4885" i="1"/>
  <c r="H4050" i="1"/>
  <c r="H4284" i="1"/>
  <c r="H3502" i="1"/>
  <c r="H3927" i="1"/>
  <c r="H1962" i="1"/>
  <c r="H2662" i="1"/>
  <c r="H232" i="1"/>
  <c r="H700" i="1"/>
  <c r="H3518" i="1"/>
  <c r="H4345" i="1"/>
  <c r="H1667" i="1"/>
  <c r="H786" i="1"/>
  <c r="H2961" i="1"/>
  <c r="H209" i="1"/>
  <c r="H850" i="1"/>
  <c r="H2964" i="1"/>
  <c r="H340" i="1"/>
  <c r="H68" i="1"/>
  <c r="H1751" i="1"/>
  <c r="H63" i="1"/>
  <c r="H76" i="1"/>
  <c r="H2028" i="1"/>
  <c r="H148" i="1"/>
  <c r="H2645" i="1"/>
  <c r="H921" i="1"/>
  <c r="H1051" i="1"/>
  <c r="H3748" i="1"/>
  <c r="H4694" i="1"/>
  <c r="H4103" i="1"/>
  <c r="H859" i="1"/>
  <c r="H2020" i="1"/>
  <c r="H981" i="1"/>
  <c r="H61" i="1"/>
  <c r="H660" i="1"/>
  <c r="H1076" i="1"/>
  <c r="H2351" i="1"/>
  <c r="H397" i="1"/>
  <c r="H4946" i="1"/>
  <c r="H4750" i="1"/>
  <c r="H3161" i="1"/>
  <c r="H3195" i="1"/>
  <c r="H643" i="1"/>
  <c r="H728" i="1"/>
  <c r="H4854" i="1"/>
  <c r="H5096" i="1"/>
  <c r="H2941" i="1"/>
  <c r="H4505" i="1"/>
  <c r="H4131" i="1"/>
  <c r="H432" i="1"/>
  <c r="H3254" i="1"/>
  <c r="H389" i="1"/>
  <c r="H2494" i="1"/>
  <c r="H4853" i="1"/>
  <c r="H1618" i="1"/>
  <c r="H1184" i="1"/>
  <c r="H3996" i="1"/>
  <c r="H306" i="1"/>
  <c r="H3149" i="1"/>
  <c r="H3982" i="1"/>
  <c r="H3025" i="1"/>
  <c r="H1225" i="1"/>
  <c r="H2748" i="1"/>
  <c r="H2765" i="1"/>
  <c r="H3448" i="1"/>
  <c r="H4355" i="1"/>
  <c r="H2973" i="1"/>
  <c r="H550" i="1"/>
  <c r="H4406" i="1"/>
  <c r="H4401" i="1"/>
  <c r="H621" i="1"/>
  <c r="H2891" i="1"/>
  <c r="H1073" i="1"/>
  <c r="H2882" i="1"/>
  <c r="H577" i="1"/>
  <c r="H3318" i="1"/>
  <c r="H4718" i="1"/>
  <c r="H4463" i="1"/>
  <c r="H4353" i="1"/>
  <c r="H4308" i="1"/>
  <c r="H2078" i="1"/>
  <c r="H1045" i="1"/>
  <c r="H1983" i="1"/>
  <c r="H4460" i="1"/>
  <c r="H325" i="1"/>
  <c r="H1989" i="1"/>
  <c r="H1204" i="1"/>
  <c r="H2907" i="1"/>
  <c r="H960" i="1"/>
  <c r="H4027" i="1"/>
  <c r="H5043" i="1"/>
  <c r="H4907" i="1"/>
  <c r="H1448" i="1"/>
  <c r="H1452" i="1"/>
  <c r="H1217" i="1"/>
  <c r="H748" i="1"/>
  <c r="H42" i="1"/>
  <c r="H1908" i="1"/>
  <c r="H2303" i="1"/>
  <c r="H2460" i="1"/>
  <c r="H2651" i="1"/>
  <c r="H4589" i="1"/>
  <c r="H3703" i="1"/>
  <c r="H1727" i="1"/>
  <c r="H4753" i="1"/>
  <c r="H2573" i="1"/>
  <c r="H1160" i="1"/>
  <c r="H3777" i="1"/>
  <c r="H2370" i="1"/>
  <c r="H4712" i="1"/>
  <c r="H1955" i="1"/>
  <c r="H942" i="1"/>
  <c r="H2336" i="1"/>
  <c r="H2257" i="1"/>
  <c r="H4090" i="1"/>
  <c r="H1573" i="1"/>
  <c r="H2886" i="1"/>
  <c r="H4444" i="1"/>
  <c r="H2496" i="1"/>
  <c r="H4033" i="1"/>
  <c r="H4014" i="1"/>
  <c r="H1951" i="1"/>
  <c r="H826" i="1"/>
  <c r="H4390" i="1"/>
  <c r="H450" i="1"/>
  <c r="H2954" i="1"/>
  <c r="H2087" i="1"/>
  <c r="H2663" i="1"/>
  <c r="H3804" i="1"/>
  <c r="H5178" i="1"/>
  <c r="H2597" i="1"/>
  <c r="H2822" i="1"/>
  <c r="H595" i="1"/>
  <c r="H3060" i="1"/>
  <c r="H4035" i="1"/>
  <c r="H4332" i="1"/>
  <c r="H505" i="1"/>
  <c r="H4785" i="1"/>
  <c r="H3604" i="1"/>
  <c r="H2685" i="1"/>
  <c r="H3651" i="1"/>
  <c r="H706" i="1"/>
  <c r="H3533" i="1"/>
  <c r="H3911" i="1"/>
  <c r="H1826" i="1"/>
  <c r="H4244" i="1"/>
  <c r="H5232" i="1"/>
  <c r="H2065" i="1"/>
  <c r="H4941" i="1"/>
  <c r="H5101" i="1"/>
  <c r="H3261" i="1"/>
  <c r="H4189" i="1"/>
  <c r="H8" i="1"/>
  <c r="H157" i="1"/>
  <c r="H4136" i="1"/>
  <c r="H1682" i="1"/>
  <c r="H578" i="1"/>
  <c r="H4412" i="1"/>
  <c r="H4499" i="1"/>
  <c r="H4839" i="1"/>
  <c r="H498" i="1"/>
  <c r="H1248" i="1"/>
  <c r="H4901" i="1"/>
  <c r="H1480" i="1"/>
  <c r="H3991" i="1"/>
  <c r="H4032" i="1"/>
  <c r="H1356" i="1"/>
  <c r="H1623" i="1"/>
  <c r="H3965" i="1"/>
  <c r="H1470" i="1"/>
  <c r="H2114" i="1"/>
  <c r="H168" i="1"/>
  <c r="H109" i="1"/>
  <c r="H3063" i="1"/>
  <c r="H2246" i="1"/>
  <c r="H2497" i="1"/>
  <c r="H947" i="1"/>
  <c r="H1713" i="1"/>
  <c r="H626" i="1"/>
  <c r="H925" i="1"/>
  <c r="H3179" i="1"/>
  <c r="H3411" i="1"/>
  <c r="H4899" i="1"/>
  <c r="H3458" i="1"/>
  <c r="H2167" i="1"/>
  <c r="H4423" i="1"/>
  <c r="H3936" i="1"/>
  <c r="H206" i="1"/>
  <c r="H3389" i="1"/>
  <c r="H4815" i="1"/>
  <c r="H1896" i="1"/>
  <c r="H2421" i="1"/>
  <c r="H5080" i="1"/>
  <c r="H3711" i="1"/>
  <c r="H853" i="1"/>
  <c r="H2474" i="1"/>
  <c r="H2250" i="1"/>
  <c r="H3456" i="1"/>
  <c r="H2355" i="1"/>
  <c r="H2842" i="1"/>
  <c r="H4849" i="1"/>
  <c r="H3023" i="1"/>
  <c r="H5226" i="1"/>
  <c r="H2514" i="1"/>
  <c r="H2976" i="1"/>
  <c r="H2476" i="1"/>
  <c r="H601" i="1"/>
  <c r="H1997" i="1"/>
  <c r="H3307" i="1"/>
  <c r="H2682" i="1"/>
  <c r="H3663" i="1"/>
  <c r="H1535" i="1"/>
  <c r="H1219" i="1"/>
  <c r="H5181" i="1"/>
  <c r="H650" i="1"/>
  <c r="H1181" i="1"/>
  <c r="H2527" i="1"/>
  <c r="H4251" i="1"/>
  <c r="H1941" i="1"/>
  <c r="H2991" i="1"/>
  <c r="H4900" i="1"/>
  <c r="H4548" i="1"/>
  <c r="H2392" i="1"/>
  <c r="H5071" i="1"/>
  <c r="H1629" i="1"/>
  <c r="H783" i="1"/>
  <c r="H4142" i="1"/>
  <c r="H4407" i="1"/>
  <c r="H1163" i="1"/>
  <c r="H1582" i="1"/>
  <c r="H1110" i="1"/>
  <c r="H4054" i="1"/>
  <c r="H1180" i="1"/>
  <c r="H4475" i="1"/>
  <c r="H1434" i="1"/>
  <c r="H2286" i="1"/>
  <c r="H3908" i="1"/>
  <c r="H905" i="1"/>
  <c r="H2126" i="1"/>
  <c r="H3820" i="1"/>
  <c r="H386" i="1"/>
  <c r="H4395" i="1"/>
  <c r="H3942" i="1"/>
  <c r="H3312" i="1"/>
  <c r="H3358" i="1"/>
  <c r="H893" i="1"/>
  <c r="H745" i="1"/>
  <c r="H2756" i="1"/>
  <c r="H2731" i="1"/>
  <c r="H1593" i="1"/>
  <c r="H48" i="1"/>
  <c r="H51" i="1"/>
  <c r="H2967" i="1"/>
  <c r="H790" i="1"/>
  <c r="H4422" i="1"/>
  <c r="H2256" i="1"/>
  <c r="H2219" i="1"/>
  <c r="H5158" i="1"/>
  <c r="H3021" i="1"/>
  <c r="H4776" i="1"/>
  <c r="H117" i="1"/>
  <c r="H4802" i="1"/>
  <c r="H4146" i="1"/>
  <c r="H1829" i="1"/>
  <c r="H4829" i="1"/>
  <c r="H1471" i="1"/>
  <c r="H1594" i="1"/>
  <c r="H3198" i="1"/>
  <c r="H2977" i="1"/>
  <c r="H4141" i="1"/>
  <c r="H4065" i="1"/>
  <c r="H3145" i="1"/>
  <c r="H2066" i="1"/>
  <c r="H691" i="1"/>
  <c r="H4068" i="1"/>
  <c r="H4969" i="1"/>
  <c r="H3113" i="1"/>
  <c r="H4127" i="1"/>
  <c r="H837" i="1"/>
  <c r="H1298" i="1"/>
  <c r="H5133" i="1"/>
  <c r="H5052" i="1"/>
  <c r="H5079" i="1"/>
  <c r="H4052" i="1"/>
  <c r="H4697" i="1"/>
  <c r="H2753" i="1"/>
  <c r="H675" i="1"/>
  <c r="H1095" i="1"/>
  <c r="H2295" i="1"/>
  <c r="H3083" i="1"/>
  <c r="H4344" i="1"/>
  <c r="H5208" i="1"/>
  <c r="H35" i="1"/>
  <c r="H4431" i="1"/>
  <c r="H246" i="1"/>
  <c r="H2749" i="1"/>
  <c r="H1996" i="1"/>
  <c r="H1420" i="1"/>
  <c r="H2705" i="1"/>
  <c r="H4338" i="1"/>
  <c r="H4568" i="1"/>
  <c r="H1439" i="1"/>
  <c r="H2463" i="1"/>
  <c r="H997" i="1"/>
  <c r="H1615" i="1"/>
  <c r="H2726" i="1"/>
  <c r="H4894" i="1"/>
  <c r="H2987" i="1"/>
  <c r="H13" i="1"/>
  <c r="H1192" i="1"/>
  <c r="H4554" i="1"/>
  <c r="H736" i="1"/>
  <c r="H3232" i="1"/>
  <c r="H3960" i="1"/>
  <c r="H867" i="1"/>
  <c r="H1863" i="1"/>
  <c r="H236" i="1"/>
  <c r="H3893" i="1"/>
  <c r="H2525" i="1"/>
  <c r="H5173" i="1"/>
  <c r="H279" i="1"/>
  <c r="H501" i="1"/>
  <c r="H2755" i="1"/>
  <c r="H4376" i="1"/>
  <c r="H4504" i="1"/>
  <c r="H1064" i="1"/>
  <c r="H4525" i="1"/>
  <c r="H2277" i="1"/>
  <c r="H221" i="1"/>
  <c r="H4473" i="1"/>
  <c r="H1726" i="1"/>
  <c r="H4995" i="1"/>
  <c r="H472" i="1"/>
  <c r="H3925" i="1"/>
  <c r="H1456" i="1"/>
  <c r="H3028" i="1"/>
  <c r="H132" i="1"/>
  <c r="H2539" i="1"/>
  <c r="H240" i="1"/>
  <c r="H2495" i="1"/>
  <c r="H542" i="1"/>
  <c r="H2243" i="1"/>
  <c r="H269" i="1"/>
  <c r="H4650" i="1"/>
  <c r="H3059" i="1"/>
  <c r="H2902" i="1"/>
  <c r="H4225" i="1"/>
  <c r="H3509" i="1"/>
  <c r="H2082" i="1"/>
  <c r="H538" i="1"/>
  <c r="H4148" i="1"/>
  <c r="H2880" i="1"/>
  <c r="H3412" i="1"/>
  <c r="H2776" i="1"/>
  <c r="H3137" i="1"/>
  <c r="H2910" i="1"/>
  <c r="H3766" i="1"/>
  <c r="H4503" i="1"/>
  <c r="H3162" i="1"/>
  <c r="H580" i="1"/>
  <c r="H2371" i="1"/>
  <c r="H1497" i="1"/>
  <c r="H627" i="1"/>
  <c r="H1419" i="1"/>
  <c r="H4176" i="1"/>
  <c r="H1847" i="1"/>
  <c r="H1034" i="1"/>
  <c r="H4256" i="1"/>
  <c r="H3222" i="1"/>
  <c r="H494" i="1"/>
  <c r="H2233" i="1"/>
  <c r="H2850" i="1"/>
  <c r="H772" i="1"/>
  <c r="H2846" i="1"/>
  <c r="H4672" i="1"/>
  <c r="H3715" i="1"/>
  <c r="H2722" i="1"/>
  <c r="H4317" i="1"/>
  <c r="H293" i="1"/>
  <c r="H2641" i="1"/>
  <c r="H3887" i="1"/>
  <c r="H4909" i="1"/>
  <c r="H4705" i="1"/>
  <c r="H3868" i="1"/>
  <c r="H3910" i="1"/>
  <c r="H4940" i="1"/>
  <c r="H1444" i="1"/>
  <c r="H1824" i="1"/>
  <c r="H422" i="1"/>
  <c r="H3472" i="1"/>
  <c r="H502" i="1"/>
  <c r="H3690" i="1"/>
  <c r="H3167" i="1"/>
  <c r="H53" i="1"/>
  <c r="H3471" i="1"/>
  <c r="H2648" i="1"/>
  <c r="H1946" i="1"/>
  <c r="H3898" i="1"/>
  <c r="H2637" i="1"/>
  <c r="H907" i="1"/>
  <c r="H3081" i="1"/>
  <c r="H1459" i="1"/>
  <c r="H1861" i="1"/>
  <c r="H1684" i="1"/>
  <c r="H1648" i="1"/>
  <c r="H110" i="1"/>
  <c r="H3444" i="1"/>
  <c r="H1255" i="1"/>
  <c r="H5136" i="1"/>
  <c r="H589" i="1"/>
  <c r="H1489" i="1"/>
  <c r="H5028" i="1"/>
  <c r="H877" i="1"/>
  <c r="H1229" i="1"/>
  <c r="H2879" i="1"/>
  <c r="H3487" i="1"/>
  <c r="H353" i="1"/>
  <c r="H2633" i="1"/>
  <c r="H3802" i="1"/>
  <c r="H1143" i="1"/>
  <c r="H1011" i="1"/>
  <c r="H5152" i="1"/>
  <c r="H1037" i="1"/>
  <c r="H3267" i="1"/>
  <c r="H5145" i="1"/>
  <c r="H4890" i="1"/>
  <c r="H2263" i="1"/>
  <c r="H4007" i="1"/>
  <c r="H2829" i="1"/>
  <c r="H754" i="1"/>
  <c r="H122" i="1"/>
  <c r="H3840" i="1"/>
  <c r="H4627" i="1"/>
  <c r="H91" i="1"/>
  <c r="H4221" i="1"/>
  <c r="H4480" i="1"/>
  <c r="H458" i="1"/>
  <c r="H435" i="1"/>
  <c r="H5157" i="1"/>
  <c r="H1036" i="1"/>
  <c r="H4689" i="1"/>
  <c r="H2446" i="1"/>
  <c r="H820" i="1"/>
  <c r="H3182" i="1"/>
  <c r="H3819" i="1"/>
  <c r="H3900" i="1"/>
  <c r="H1977" i="1"/>
  <c r="H3329" i="1"/>
  <c r="H257" i="1"/>
  <c r="H3304" i="1"/>
  <c r="H3941" i="1"/>
  <c r="H1232" i="1"/>
  <c r="H1140" i="1"/>
  <c r="H1539" i="1"/>
  <c r="H3994" i="1"/>
  <c r="H2036" i="1"/>
  <c r="H4966" i="1"/>
  <c r="H2297" i="1"/>
  <c r="H4466" i="1"/>
  <c r="H3432" i="1"/>
  <c r="H1089" i="1"/>
  <c r="H4711" i="1"/>
  <c r="H3367" i="1"/>
  <c r="H4531" i="1"/>
  <c r="H2153" i="1"/>
  <c r="H4242" i="1"/>
  <c r="H65" i="1"/>
  <c r="H4600" i="1"/>
  <c r="H2571" i="1"/>
  <c r="H2940" i="1"/>
  <c r="H687" i="1"/>
  <c r="H1088" i="1"/>
  <c r="H594" i="1"/>
  <c r="H4725" i="1"/>
  <c r="H3599" i="1"/>
  <c r="H2558" i="1"/>
  <c r="H2083" i="1"/>
  <c r="H3388" i="1"/>
  <c r="H5110" i="1"/>
  <c r="H1347" i="1"/>
  <c r="H4516" i="1"/>
  <c r="H2807" i="1"/>
  <c r="H2015" i="1"/>
  <c r="H2144" i="1"/>
  <c r="H918" i="1"/>
  <c r="H2326" i="1"/>
  <c r="H989" i="1"/>
  <c r="H5029" i="1"/>
  <c r="H3871" i="1"/>
  <c r="H4580" i="1"/>
  <c r="H1888" i="1"/>
  <c r="H782" i="1"/>
  <c r="H2000" i="1"/>
  <c r="H303" i="1"/>
  <c r="H1130" i="1"/>
  <c r="H5125" i="1"/>
  <c r="H439" i="1"/>
  <c r="H3827" i="1"/>
  <c r="H3677" i="1"/>
  <c r="H478" i="1"/>
  <c r="H4101" i="1"/>
  <c r="H591" i="1"/>
  <c r="H4804" i="1"/>
  <c r="H1342" i="1"/>
  <c r="H559" i="1"/>
  <c r="H2331" i="1"/>
  <c r="H2690" i="1"/>
  <c r="H2992" i="1"/>
  <c r="H3719" i="1"/>
  <c r="H3901" i="1"/>
  <c r="H4760" i="1"/>
  <c r="H3169" i="1"/>
  <c r="H4459" i="1"/>
  <c r="H4982" i="1"/>
  <c r="H4521" i="1"/>
  <c r="H1837" i="1"/>
  <c r="H4439" i="1"/>
  <c r="H2275" i="1"/>
  <c r="H3664" i="1"/>
  <c r="H2461" i="1"/>
  <c r="H3492" i="1"/>
  <c r="H2507" i="1"/>
  <c r="H4484" i="1"/>
  <c r="H40" i="1"/>
  <c r="H59" i="1"/>
  <c r="H1382" i="1"/>
  <c r="H1817" i="1"/>
  <c r="H641" i="1"/>
  <c r="H876" i="1"/>
  <c r="H4104" i="1"/>
  <c r="H4138" i="1"/>
  <c r="H3918" i="1"/>
  <c r="H4734" i="1"/>
  <c r="H1536" i="1"/>
  <c r="H1843" i="1"/>
  <c r="H365" i="1"/>
  <c r="H300" i="1"/>
  <c r="H4374" i="1"/>
  <c r="H3240" i="1"/>
  <c r="H338" i="1"/>
  <c r="H1279" i="1"/>
  <c r="H3170" i="1"/>
  <c r="H3147" i="1"/>
  <c r="H2665" i="1"/>
  <c r="H1678" i="1"/>
  <c r="H1404" i="1"/>
  <c r="H2270" i="1"/>
  <c r="H983" i="1"/>
  <c r="H352" i="1"/>
  <c r="H5151" i="1"/>
  <c r="H4452" i="1"/>
  <c r="H2089" i="1"/>
  <c r="H5112" i="1"/>
  <c r="H81" i="1"/>
  <c r="H962" i="1"/>
  <c r="H1028" i="1"/>
  <c r="H3685" i="1"/>
  <c r="H256" i="1"/>
  <c r="H2616" i="1"/>
  <c r="H1693" i="1"/>
  <c r="H1457" i="1"/>
  <c r="H2999" i="1"/>
  <c r="H1421" i="1"/>
  <c r="H5161" i="1"/>
  <c r="H4428" i="1"/>
  <c r="H629" i="1"/>
  <c r="H25" i="1"/>
  <c r="H1124" i="1"/>
  <c r="H1570" i="1"/>
  <c r="H4953" i="1"/>
  <c r="H265" i="1"/>
  <c r="H410" i="1"/>
  <c r="H4465" i="1"/>
  <c r="H3148" i="1"/>
  <c r="H1630" i="1"/>
  <c r="H764" i="1"/>
  <c r="H777" i="1"/>
  <c r="H3834" i="1"/>
  <c r="H833" i="1"/>
  <c r="H653" i="1"/>
  <c r="H1481" i="1"/>
  <c r="H1495" i="1"/>
  <c r="H4017" i="1"/>
  <c r="H4678" i="1"/>
  <c r="H936" i="1"/>
  <c r="H2093" i="1"/>
  <c r="H1806" i="1"/>
  <c r="H2518" i="1"/>
  <c r="H455" i="1"/>
  <c r="H2959" i="1"/>
  <c r="H3511" i="1"/>
  <c r="H4435" i="1"/>
  <c r="H2636" i="1"/>
  <c r="H2834" i="1"/>
  <c r="H3155" i="1"/>
  <c r="H3490" i="1"/>
  <c r="H765" i="1"/>
  <c r="H3405" i="1"/>
  <c r="H3376" i="1"/>
  <c r="H1966" i="1"/>
  <c r="H3200" i="1"/>
  <c r="H3564" i="1"/>
  <c r="H827" i="1"/>
  <c r="H2719" i="1"/>
  <c r="H4557" i="1"/>
  <c r="H2373" i="1"/>
  <c r="H1174" i="1"/>
  <c r="H83" i="1"/>
  <c r="H1523" i="1"/>
  <c r="H2104" i="1"/>
  <c r="H4653" i="1"/>
  <c r="H3104" i="1"/>
  <c r="H4418" i="1"/>
  <c r="H1873" i="1"/>
  <c r="H5085" i="1"/>
  <c r="H1818" i="1"/>
  <c r="H17" i="1"/>
  <c r="H4145" i="1"/>
  <c r="H2317" i="1"/>
  <c r="H1202" i="1"/>
  <c r="H2068" i="1"/>
  <c r="H3791" i="1"/>
  <c r="H2362" i="1"/>
  <c r="H4506" i="1"/>
  <c r="H3216" i="1"/>
  <c r="H1154" i="1"/>
  <c r="H3353" i="1"/>
  <c r="H4347" i="1"/>
  <c r="H50" i="1"/>
  <c r="H1721" i="1"/>
  <c r="H970" i="1"/>
  <c r="H1850" i="1"/>
  <c r="H3407" i="1"/>
  <c r="H2041" i="1"/>
  <c r="H1833" i="1"/>
  <c r="H3888" i="1"/>
  <c r="H5000" i="1"/>
  <c r="H27" i="1"/>
  <c r="H4479" i="1"/>
  <c r="H414" i="1"/>
  <c r="H2033" i="1"/>
  <c r="H3238" i="1"/>
  <c r="H4438" i="1"/>
  <c r="H4723" i="1"/>
  <c r="H4990" i="1"/>
  <c r="H22" i="1"/>
  <c r="H839" i="1"/>
  <c r="H4419" i="1"/>
  <c r="H1504" i="1"/>
  <c r="H2193" i="1"/>
  <c r="H2730" i="1"/>
  <c r="H5092" i="1"/>
  <c r="H2348" i="1"/>
  <c r="H3706" i="1"/>
  <c r="H1614" i="1"/>
  <c r="H1677" i="1"/>
  <c r="H5131" i="1"/>
  <c r="H734" i="1"/>
  <c r="H617" i="1"/>
  <c r="H3761" i="1"/>
  <c r="H2643" i="1"/>
  <c r="H3332" i="1"/>
  <c r="H281" i="1"/>
  <c r="H1126" i="1"/>
  <c r="H388" i="1"/>
  <c r="H529" i="1"/>
  <c r="H1367" i="1"/>
  <c r="H2617" i="1"/>
  <c r="H4373" i="1"/>
  <c r="H1353" i="1"/>
  <c r="H793" i="1"/>
  <c r="H2798" i="1"/>
  <c r="H3362" i="1"/>
  <c r="H652" i="1"/>
  <c r="H4279" i="1"/>
  <c r="H130" i="1"/>
  <c r="H3110" i="1"/>
  <c r="H2170" i="1"/>
  <c r="H2271" i="1"/>
  <c r="H4292" i="1"/>
  <c r="H1820" i="1"/>
  <c r="H5061" i="1"/>
  <c r="H332" i="1"/>
  <c r="H4333" i="1"/>
  <c r="H2764" i="1"/>
  <c r="H4791" i="1"/>
  <c r="H4722" i="1"/>
  <c r="H2294" i="1"/>
  <c r="H4860" i="1"/>
  <c r="H1346" i="1"/>
  <c r="H1139" i="1"/>
  <c r="H4520" i="1"/>
  <c r="H3860" i="1"/>
  <c r="H2881" i="1"/>
  <c r="H3722" i="1"/>
  <c r="H2007" i="1"/>
  <c r="H1406" i="1"/>
  <c r="H4321" i="1"/>
  <c r="H3704" i="1"/>
  <c r="H3716" i="1"/>
  <c r="H3251" i="1"/>
  <c r="H1663" i="1"/>
  <c r="H4605" i="1"/>
  <c r="H4615" i="1"/>
  <c r="H5211" i="1"/>
  <c r="H3345" i="1"/>
  <c r="H4662" i="1"/>
  <c r="H2611" i="1"/>
  <c r="H5022" i="1"/>
  <c r="H3906" i="1"/>
  <c r="H4861" i="1"/>
  <c r="H5162" i="1"/>
  <c r="H3283" i="1"/>
  <c r="H32" i="1"/>
  <c r="H665" i="1"/>
  <c r="H818" i="1"/>
  <c r="H3320" i="1"/>
  <c r="H1830" i="1"/>
  <c r="H1586" i="1"/>
  <c r="H404" i="1"/>
  <c r="H4930" i="1"/>
  <c r="H121" i="1"/>
  <c r="H3602" i="1"/>
  <c r="H1188" i="1"/>
  <c r="H166" i="1"/>
  <c r="H197" i="1"/>
  <c r="H2552" i="1"/>
  <c r="H230" i="1"/>
  <c r="H3681" i="1"/>
  <c r="H671" i="1"/>
  <c r="H1524" i="1"/>
  <c r="H2883" i="1"/>
  <c r="H3382" i="1"/>
  <c r="H1074" i="1"/>
  <c r="H4612" i="1"/>
  <c r="H1092" i="1"/>
  <c r="H3378" i="1"/>
  <c r="H1325" i="1"/>
  <c r="H2628" i="1"/>
  <c r="H4663" i="1"/>
  <c r="H4805" i="1"/>
  <c r="H4544" i="1"/>
  <c r="H3913" i="1"/>
  <c r="H2870" i="1"/>
  <c r="H5184" i="1"/>
  <c r="H5102" i="1"/>
  <c r="H3152" i="1"/>
  <c r="H449" i="1"/>
  <c r="H3188" i="1"/>
  <c r="H2150" i="1"/>
  <c r="H3221" i="1"/>
  <c r="H3427" i="1"/>
  <c r="H4679" i="1"/>
  <c r="H1683" i="1"/>
  <c r="H806" i="1"/>
  <c r="H4581" i="1"/>
  <c r="H1886" i="1"/>
  <c r="H3687" i="1"/>
  <c r="H84" i="1"/>
  <c r="H4819" i="1"/>
  <c r="H794" i="1"/>
  <c r="H2148" i="1"/>
  <c r="H847" i="1"/>
  <c r="H2544" i="1"/>
  <c r="H1035" i="1"/>
  <c r="H1002" i="1"/>
  <c r="H593" i="1"/>
  <c r="H3546" i="1"/>
  <c r="H816" i="1"/>
  <c r="H3187" i="1"/>
  <c r="H3311" i="1"/>
  <c r="H2014" i="1"/>
  <c r="H64" i="1"/>
  <c r="H4964" i="1"/>
  <c r="H468" i="1"/>
  <c r="H4643" i="1"/>
  <c r="H4951" i="1"/>
  <c r="H4093" i="1"/>
  <c r="H346" i="1"/>
  <c r="H1835" i="1"/>
  <c r="H3321" i="1"/>
  <c r="H1680" i="1"/>
  <c r="H1605" i="1"/>
  <c r="H3565" i="1"/>
  <c r="H2569" i="1"/>
  <c r="H369" i="1"/>
  <c r="H43" i="1"/>
  <c r="H4220" i="1"/>
  <c r="H2833" i="1"/>
  <c r="H5189" i="1"/>
  <c r="H3594" i="1"/>
  <c r="H2862" i="1"/>
  <c r="H1240" i="1"/>
  <c r="H1387" i="1"/>
  <c r="H4532" i="1"/>
  <c r="H2819" i="1"/>
  <c r="H4984" i="1"/>
  <c r="H1553" i="1"/>
  <c r="H993" i="1"/>
  <c r="H2767" i="1"/>
  <c r="H5180" i="1"/>
  <c r="H3884" i="1"/>
  <c r="H1708" i="1"/>
  <c r="H1975" i="1"/>
  <c r="H151" i="1"/>
  <c r="H4282" i="1"/>
  <c r="H1857" i="1"/>
  <c r="H4128" i="1"/>
  <c r="H737" i="1"/>
  <c r="H4036" i="1"/>
  <c r="H4882" i="1"/>
  <c r="H517" i="1"/>
  <c r="H1319" i="1"/>
  <c r="H3552" i="1"/>
  <c r="H3738" i="1"/>
  <c r="H4867" i="1"/>
  <c r="H2441" i="1"/>
  <c r="H3694" i="1"/>
  <c r="H573" i="1"/>
  <c r="H3116" i="1"/>
  <c r="H2919" i="1"/>
  <c r="H3934" i="1"/>
  <c r="H1534" i="1"/>
  <c r="H298" i="1"/>
  <c r="H1800" i="1"/>
  <c r="H4261" i="1"/>
  <c r="H3457" i="1"/>
  <c r="H1694" i="1"/>
  <c r="H4911" i="1"/>
  <c r="H1973" i="1"/>
  <c r="H2701" i="1"/>
  <c r="H969" i="1"/>
  <c r="H2994" i="1"/>
  <c r="H3550" i="1"/>
  <c r="H2489" i="1"/>
  <c r="H4336" i="1"/>
  <c r="H3817" i="1"/>
  <c r="H4599" i="1"/>
  <c r="H3515" i="1"/>
  <c r="H5201" i="1"/>
  <c r="H2904" i="1"/>
  <c r="H1521" i="1"/>
  <c r="H364" i="1"/>
  <c r="H80" i="1"/>
  <c r="H4622" i="1"/>
  <c r="H2670" i="1"/>
  <c r="H4738" i="1"/>
  <c r="H3153" i="1"/>
  <c r="H2119" i="1"/>
  <c r="H4123" i="1"/>
  <c r="H2395" i="1"/>
  <c r="H570" i="1"/>
  <c r="H3799" i="1"/>
  <c r="H547" i="1"/>
  <c r="H5026" i="1"/>
  <c r="H3097" i="1"/>
  <c r="H2646" i="1"/>
  <c r="H5160" i="1"/>
  <c r="H3889" i="1"/>
  <c r="H2649" i="1"/>
  <c r="H1953" i="1"/>
  <c r="H2415" i="1"/>
  <c r="H888" i="1"/>
  <c r="H3595" i="1"/>
  <c r="H3940" i="1"/>
  <c r="H4682" i="1"/>
  <c r="H1599" i="1"/>
  <c r="H2429" i="1"/>
  <c r="H3789" i="1"/>
  <c r="H2131" i="1"/>
  <c r="H5024" i="1"/>
  <c r="H1766" i="1"/>
  <c r="H1520" i="1"/>
  <c r="H3977" i="1"/>
  <c r="H3120" i="1"/>
  <c r="H1974" i="1"/>
  <c r="H4590" i="1"/>
  <c r="H4837" i="1"/>
  <c r="H607" i="1"/>
  <c r="H2191" i="1"/>
  <c r="H1743" i="1"/>
  <c r="H4314" i="1"/>
  <c r="H3204" i="1"/>
  <c r="H3746" i="1"/>
  <c r="H861" i="1"/>
  <c r="H4604" i="1"/>
  <c r="H4847" i="1"/>
  <c r="H2234" i="1"/>
  <c r="H4197" i="1"/>
  <c r="H1003" i="1"/>
  <c r="H2582" i="1"/>
  <c r="H1043" i="1"/>
  <c r="H3953" i="1"/>
  <c r="H752" i="1"/>
  <c r="H4812" i="1"/>
  <c r="H3655" i="1"/>
  <c r="H2561" i="1"/>
  <c r="H4631" i="1"/>
  <c r="H2673" i="1"/>
  <c r="H1875" i="1"/>
  <c r="H1326" i="1"/>
  <c r="H4540" i="1"/>
  <c r="H2488" i="1"/>
  <c r="H393" i="1"/>
  <c r="H3372" i="1"/>
  <c r="H173" i="1"/>
  <c r="H2385" i="1"/>
  <c r="H735" i="1"/>
  <c r="H1704" i="1"/>
  <c r="H1834" i="1"/>
  <c r="H3481" i="1"/>
  <c r="H3449" i="1"/>
  <c r="H4810" i="1"/>
  <c r="H1967" i="1"/>
  <c r="H4105" i="1"/>
  <c r="H395" i="1"/>
  <c r="H5049" i="1"/>
  <c r="H5019" i="1"/>
  <c r="H2062" i="1"/>
  <c r="H3415" i="1"/>
  <c r="H1399" i="1"/>
  <c r="H5116" i="1"/>
  <c r="H324" i="1"/>
  <c r="H956" i="1"/>
  <c r="H2774" i="1"/>
  <c r="H3048" i="1"/>
  <c r="H4285" i="1"/>
  <c r="H576" i="1"/>
  <c r="H4996" i="1"/>
  <c r="H1617" i="1"/>
  <c r="H1020" i="1"/>
  <c r="H2556" i="1"/>
  <c r="H4234" i="1"/>
  <c r="H3749" i="1"/>
  <c r="H1557" i="1"/>
  <c r="H1945" i="1"/>
  <c r="H1259" i="1"/>
  <c r="H2838" i="1"/>
  <c r="H4230" i="1"/>
  <c r="H4687" i="1"/>
  <c r="H2412" i="1"/>
  <c r="H1661" i="1"/>
  <c r="H4191" i="1"/>
  <c r="H1892" i="1"/>
  <c r="H566" i="1"/>
  <c r="H3282" i="1"/>
  <c r="H3338" i="1"/>
  <c r="H753" i="1"/>
  <c r="H4114" i="1"/>
  <c r="H4002" i="1"/>
  <c r="H1638" i="1"/>
  <c r="H2513" i="1"/>
  <c r="H433" i="1"/>
  <c r="H1407" i="1"/>
  <c r="H4425" i="1"/>
  <c r="H1670" i="1"/>
  <c r="H1649" i="1"/>
  <c r="H2568" i="1"/>
  <c r="H4906" i="1"/>
  <c r="H2868" i="1"/>
  <c r="H1917" i="1"/>
  <c r="H654" i="1"/>
  <c r="H3930" i="1"/>
  <c r="H1862" i="1"/>
  <c r="H2526" i="1"/>
  <c r="H2889" i="1"/>
  <c r="H3130" i="1"/>
  <c r="H1416" i="1"/>
  <c r="H4766" i="1"/>
  <c r="H2115" i="1"/>
  <c r="H1311" i="1"/>
  <c r="H663" i="1"/>
  <c r="H2354" i="1"/>
  <c r="H3165" i="1"/>
  <c r="H172" i="1"/>
  <c r="H1381" i="1"/>
  <c r="H5168" i="1"/>
  <c r="H1264" i="1"/>
  <c r="H1939" i="1"/>
  <c r="H4628" i="1"/>
  <c r="H1328" i="1"/>
  <c r="H1903" i="1"/>
  <c r="H2962" i="1"/>
  <c r="H4908" i="1"/>
  <c r="H15" i="1"/>
  <c r="H4987" i="1"/>
  <c r="H914" i="1"/>
  <c r="H3234" i="1"/>
  <c r="H1153" i="1"/>
  <c r="H2381" i="1"/>
  <c r="H3451" i="1"/>
  <c r="H1389" i="1"/>
  <c r="H5107" i="1"/>
  <c r="H4797" i="1"/>
  <c r="H2010" i="1"/>
  <c r="H1963" i="1"/>
  <c r="H217" i="1"/>
  <c r="H2734" i="1"/>
  <c r="H4918" i="1"/>
  <c r="H202" i="1"/>
  <c r="H1864" i="1"/>
  <c r="H2899" i="1"/>
  <c r="H5059" i="1"/>
  <c r="H176" i="1"/>
  <c r="H1926" i="1"/>
  <c r="H189" i="1"/>
  <c r="H3467" i="1"/>
  <c r="H3053" i="1"/>
  <c r="H184" i="1"/>
  <c r="H732" i="1"/>
  <c r="H3756" i="1"/>
  <c r="H1631" i="1"/>
  <c r="H3035" i="1"/>
  <c r="H1544" i="1"/>
  <c r="H1756" i="1"/>
  <c r="H2794" i="1"/>
  <c r="H1797" i="1"/>
  <c r="H4949" i="1"/>
  <c r="H4185" i="1"/>
  <c r="H3070" i="1"/>
  <c r="H370" i="1"/>
  <c r="H1802" i="1"/>
  <c r="H2302" i="1"/>
  <c r="H2875" i="1"/>
  <c r="H2769" i="1"/>
  <c r="H3674" i="1"/>
  <c r="H1757" i="1"/>
  <c r="H3463" i="1"/>
  <c r="H3150" i="1"/>
  <c r="H1753" i="1"/>
  <c r="H1925" i="1"/>
  <c r="H758" i="1"/>
  <c r="H1080" i="1"/>
  <c r="H3774" i="1"/>
  <c r="H615" i="1"/>
  <c r="H5183" i="1"/>
  <c r="H5109" i="1"/>
  <c r="H1685" i="1"/>
  <c r="H987" i="1"/>
  <c r="H2848" i="1"/>
  <c r="H1313" i="1"/>
  <c r="H912" i="1"/>
  <c r="H2313" i="1"/>
  <c r="H459" i="1"/>
  <c r="H4098" i="1"/>
  <c r="H488" i="1"/>
  <c r="H440" i="1"/>
  <c r="H1296" i="1"/>
  <c r="H2432" i="1"/>
  <c r="H1101" i="1"/>
  <c r="H2859" i="1"/>
  <c r="H4394" i="1"/>
  <c r="H2252" i="1"/>
  <c r="H2269" i="1"/>
  <c r="H4601" i="1"/>
  <c r="H3424" i="1"/>
  <c r="H2158" i="1"/>
  <c r="H3964" i="1"/>
  <c r="H1171" i="1"/>
  <c r="H3032" i="1"/>
  <c r="H4009" i="1"/>
  <c r="H1498" i="1"/>
  <c r="H26" i="1"/>
  <c r="H984" i="1"/>
  <c r="H3383" i="1"/>
  <c r="H4929" i="1"/>
  <c r="H3136" i="1"/>
  <c r="H3801" i="1"/>
  <c r="H428" i="1"/>
  <c r="H2008" i="1"/>
  <c r="H3812" i="1"/>
  <c r="H4813" i="1"/>
  <c r="H4958" i="1"/>
  <c r="H399" i="1"/>
  <c r="H3985" i="1"/>
  <c r="H1590" i="1"/>
  <c r="H740" i="1"/>
  <c r="H2831" i="1"/>
  <c r="H2541" i="1"/>
  <c r="H814" i="1"/>
  <c r="H4691" i="1"/>
  <c r="H1268" i="1"/>
  <c r="H1235" i="1"/>
  <c r="H2521" i="1"/>
  <c r="H1737" i="1"/>
  <c r="H3950" i="1"/>
  <c r="H515" i="1"/>
  <c r="H683" i="1"/>
  <c r="H3581" i="1"/>
  <c r="H1821" i="1"/>
  <c r="H205" i="1"/>
  <c r="H3544" i="1"/>
  <c r="H2027" i="1"/>
  <c r="H1957" i="1"/>
  <c r="H1517" i="1"/>
  <c r="H1528" i="1"/>
  <c r="H2401" i="1"/>
  <c r="H2618" i="1"/>
  <c r="H4021" i="1"/>
  <c r="H4311" i="1"/>
  <c r="H108" i="1"/>
  <c r="H1105" i="1"/>
  <c r="H3839" i="1"/>
  <c r="H3339" i="1"/>
  <c r="H4654" i="1"/>
  <c r="H2988" i="1"/>
  <c r="H4507" i="1"/>
  <c r="H3360" i="1"/>
  <c r="H3586" i="1"/>
  <c r="H3247" i="1"/>
  <c r="H4171" i="1"/>
  <c r="H723" i="1"/>
  <c r="H4827" i="1"/>
  <c r="H3223" i="1"/>
  <c r="H1464" i="1"/>
  <c r="H1927" i="1"/>
  <c r="H4799" i="1"/>
  <c r="H841" i="1"/>
  <c r="H2698" i="1"/>
  <c r="H2364" i="1"/>
  <c r="H898" i="1"/>
  <c r="H4442" i="1"/>
  <c r="H2932" i="1"/>
  <c r="H2990" i="1"/>
  <c r="H5239" i="1"/>
  <c r="H4163" i="1"/>
  <c r="H4219" i="1"/>
  <c r="H5048" i="1"/>
  <c r="H2413" i="1"/>
  <c r="H2653" i="1"/>
  <c r="H5148" i="1"/>
  <c r="H436" i="1"/>
  <c r="H495" i="1"/>
  <c r="H2642" i="1"/>
  <c r="H2968" i="1"/>
  <c r="H1324" i="1"/>
  <c r="H5009" i="1"/>
  <c r="H1985" i="1"/>
  <c r="H5186" i="1"/>
  <c r="H463" i="1"/>
  <c r="H323" i="1"/>
  <c r="H2652" i="1"/>
  <c r="H2307" i="1"/>
  <c r="H3055" i="1"/>
  <c r="H3705" i="1"/>
  <c r="H686" i="1"/>
  <c r="H2604" i="1"/>
  <c r="H2580" i="1"/>
  <c r="H2668" i="1"/>
  <c r="H3717" i="1"/>
  <c r="H4202" i="1"/>
  <c r="H1290" i="1"/>
  <c r="H4526" i="1"/>
  <c r="H4757" i="1"/>
  <c r="H2800" i="1"/>
  <c r="H1550" i="1"/>
  <c r="H261" i="1"/>
  <c r="H3618" i="1"/>
  <c r="H2867" i="1"/>
  <c r="H632" i="1"/>
  <c r="H2625" i="1"/>
  <c r="H4327" i="1"/>
  <c r="H3843" i="1"/>
  <c r="H4919" i="1"/>
  <c r="H2038" i="1"/>
  <c r="H2001" i="1"/>
  <c r="H781" i="1"/>
  <c r="H4509" i="1"/>
  <c r="H2844" i="1"/>
  <c r="H4405" i="1"/>
  <c r="H5220" i="1"/>
  <c r="H4081" i="1"/>
  <c r="H1179" i="1"/>
  <c r="H3561" i="1"/>
  <c r="H1616" i="1"/>
  <c r="H509" i="1"/>
  <c r="H420" i="1"/>
  <c r="H3027" i="1"/>
  <c r="H2407" i="1"/>
  <c r="H1555" i="1"/>
  <c r="H5141" i="1"/>
  <c r="H670" i="1"/>
  <c r="H5069" i="1"/>
  <c r="H3671" i="1"/>
  <c r="H305" i="1"/>
  <c r="H290" i="1"/>
  <c r="H3758" i="1"/>
  <c r="H2878" i="1"/>
  <c r="H2002" i="1"/>
  <c r="H3997" i="1"/>
  <c r="H4280" i="1"/>
  <c r="H4746" i="1"/>
  <c r="H4730" i="1"/>
  <c r="H549" i="1"/>
  <c r="H4598" i="1"/>
  <c r="H3302" i="1"/>
  <c r="H3133" i="1"/>
  <c r="H3578" i="1"/>
  <c r="H3939" i="1"/>
  <c r="H3124" i="1"/>
  <c r="H2884" i="1"/>
  <c r="H3510" i="1"/>
  <c r="H3532" i="1"/>
  <c r="H1660" i="1"/>
  <c r="H4342" i="1"/>
  <c r="H3593" i="1"/>
  <c r="H326" i="1"/>
  <c r="H1194" i="1"/>
  <c r="H3158" i="1"/>
  <c r="H1084" i="1"/>
  <c r="H3056" i="1"/>
  <c r="H319" i="1"/>
  <c r="H3590" i="1"/>
  <c r="H2279" i="1"/>
  <c r="H2621" i="1"/>
  <c r="H5231" i="1"/>
  <c r="H3428" i="1"/>
  <c r="H1652" i="1"/>
  <c r="H2721" i="1"/>
  <c r="H3094" i="1"/>
  <c r="H4178" i="1"/>
  <c r="H222" i="1"/>
  <c r="H2672" i="1"/>
  <c r="H2369" i="1"/>
  <c r="H19" i="1"/>
  <c r="H2920" i="1"/>
  <c r="H3807" i="1"/>
  <c r="H2555" i="1"/>
  <c r="H416" i="1"/>
  <c r="H4471" i="1"/>
  <c r="H4553" i="1"/>
  <c r="H3897" i="1"/>
  <c r="H1988" i="1"/>
  <c r="H2253" i="1"/>
  <c r="H1999" i="1"/>
  <c r="H1807" i="1"/>
  <c r="H1038" i="1"/>
  <c r="H3401" i="1"/>
  <c r="H586" i="1"/>
  <c r="H4030" i="1"/>
  <c r="H1082" i="1"/>
  <c r="H1676" i="1"/>
  <c r="H2591" i="1"/>
  <c r="H1526" i="1"/>
  <c r="H5212" i="1"/>
  <c r="H3440" i="1"/>
  <c r="H3795" i="1"/>
  <c r="H974" i="1"/>
  <c r="H2505" i="1"/>
  <c r="H4616" i="1"/>
  <c r="H680" i="1"/>
  <c r="H4869" i="1"/>
  <c r="H1689" i="1"/>
  <c r="H710" i="1"/>
  <c r="H2451" i="1"/>
  <c r="H142" i="1"/>
  <c r="H2729" i="1"/>
  <c r="H2172" i="1"/>
  <c r="H5015" i="1"/>
  <c r="H1725" i="1"/>
  <c r="H4270" i="1"/>
  <c r="H2122" i="1"/>
  <c r="H3616" i="1"/>
  <c r="H2724" i="1"/>
  <c r="H2905" i="1"/>
  <c r="H2747" i="1"/>
  <c r="H1052" i="1"/>
  <c r="H2140" i="1"/>
  <c r="H2205" i="1"/>
  <c r="H4031" i="1"/>
  <c r="H4943" i="1"/>
  <c r="H1250" i="1"/>
  <c r="H567" i="1"/>
  <c r="H133" i="1"/>
  <c r="H2322" i="1"/>
  <c r="H2612" i="1"/>
  <c r="H1715" i="1"/>
  <c r="H163" i="1"/>
  <c r="H587" i="1"/>
  <c r="H2778" i="1"/>
  <c r="H4768" i="1"/>
  <c r="H55" i="1"/>
  <c r="H4782" i="1"/>
  <c r="H927" i="1"/>
  <c r="H1335" i="1"/>
  <c r="H3426" i="1"/>
  <c r="H892" i="1"/>
  <c r="H3538" i="1"/>
  <c r="H729" i="1"/>
  <c r="H5036" i="1"/>
  <c r="H681" i="1"/>
  <c r="H830" i="1"/>
  <c r="H336" i="1"/>
  <c r="H4194" i="1"/>
  <c r="H3782" i="1"/>
  <c r="H1673" i="1"/>
  <c r="H3262" i="1"/>
  <c r="H2695" i="1"/>
  <c r="H3634" i="1"/>
  <c r="H1838" i="1"/>
  <c r="H1390" i="1"/>
  <c r="H1040" i="1"/>
  <c r="H3129" i="1"/>
  <c r="H4702" i="1"/>
  <c r="H2978" i="1"/>
  <c r="H2960" i="1"/>
  <c r="H4686" i="1"/>
  <c r="H1710" i="1"/>
  <c r="H985" i="1"/>
  <c r="H5159" i="1"/>
  <c r="H4903" i="1"/>
  <c r="H113" i="1"/>
  <c r="H1152" i="1"/>
  <c r="H1331" i="1"/>
  <c r="H4426" i="1"/>
  <c r="H4935" i="1"/>
  <c r="H4651" i="1"/>
  <c r="H1455" i="1"/>
  <c r="H1433" i="1"/>
  <c r="H146" i="1"/>
  <c r="H3052" i="1"/>
  <c r="H2064" i="1"/>
  <c r="H3805" i="1"/>
  <c r="H4621" i="1"/>
  <c r="H4843" i="1"/>
  <c r="H3605" i="1"/>
  <c r="H4404" i="1"/>
  <c r="H2197" i="1"/>
  <c r="H5242" i="1"/>
  <c r="H872" i="1"/>
  <c r="H1810" i="1"/>
  <c r="H862" i="1"/>
  <c r="H2927" i="1"/>
  <c r="H372" i="1"/>
  <c r="H101" i="1"/>
  <c r="H1112" i="1"/>
  <c r="H3815" i="1"/>
  <c r="H321" i="1"/>
  <c r="H4249" i="1"/>
  <c r="H3747" i="1"/>
  <c r="H1492" i="1"/>
  <c r="H4517" i="1"/>
  <c r="H1815" i="1"/>
  <c r="H4979" i="1"/>
  <c r="H866" i="1"/>
  <c r="H112" i="1"/>
  <c r="H2179" i="1"/>
  <c r="H2971" i="1"/>
  <c r="H4567" i="1"/>
  <c r="H415" i="1"/>
  <c r="H1440" i="1"/>
  <c r="H3244" i="1"/>
  <c r="H4755" i="1"/>
  <c r="H574" i="1"/>
  <c r="H1193" i="1"/>
  <c r="H4125" i="1"/>
  <c r="H4226" i="1"/>
  <c r="H4787" i="1"/>
  <c r="H400" i="1"/>
  <c r="H3675" i="1"/>
  <c r="H3527" i="1"/>
  <c r="H952" i="1"/>
  <c r="H1125" i="1"/>
  <c r="H3682" i="1"/>
  <c r="H1369" i="1"/>
  <c r="H1883" i="1"/>
  <c r="H3611" i="1"/>
  <c r="H2085" i="1"/>
  <c r="H3229" i="1"/>
  <c r="H167" i="1"/>
  <c r="H937" i="1"/>
  <c r="H4698" i="1"/>
  <c r="H334" i="1"/>
  <c r="H2938" i="1"/>
  <c r="H431" i="1"/>
  <c r="H976" i="1"/>
  <c r="H3122" i="1"/>
  <c r="H1323" i="1"/>
  <c r="H4971" i="1"/>
  <c r="H1205" i="1"/>
  <c r="H1803" i="1"/>
  <c r="H3327" i="1"/>
  <c r="H1789" i="1"/>
  <c r="H1395" i="1"/>
  <c r="H4788" i="1"/>
  <c r="H1965" i="1"/>
  <c r="H3303" i="1"/>
  <c r="H294" i="1"/>
  <c r="H5143" i="1"/>
  <c r="H4875" i="1"/>
  <c r="H3084" i="1"/>
  <c r="H2283" i="1"/>
  <c r="H4527" i="1"/>
  <c r="H2788" i="1"/>
  <c r="H5207" i="1"/>
  <c r="H4721" i="1"/>
  <c r="H780" i="1"/>
  <c r="H522" i="1"/>
  <c r="H497" i="1"/>
  <c r="H1317" i="1"/>
  <c r="H425" i="1"/>
  <c r="H928" i="1"/>
  <c r="H1477" i="1"/>
  <c r="H9" i="1"/>
  <c r="H2615" i="1"/>
  <c r="H4876" i="1"/>
  <c r="H2375" i="1"/>
  <c r="H571" i="1"/>
  <c r="H5221" i="1"/>
  <c r="H3191" i="1"/>
  <c r="H821" i="1"/>
  <c r="H4732" i="1"/>
  <c r="H2650" i="1"/>
  <c r="H3202" i="1"/>
  <c r="H4180" i="1"/>
  <c r="H1641" i="1"/>
  <c r="H1309" i="1"/>
  <c r="H2292" i="1"/>
  <c r="H592" i="1"/>
  <c r="H4552" i="1"/>
  <c r="H897" i="1"/>
  <c r="H1987" i="1"/>
  <c r="H1411" i="1"/>
  <c r="H3904" i="1"/>
  <c r="H2305" i="1"/>
  <c r="H116" i="1"/>
  <c r="H3460" i="1"/>
  <c r="H3135" i="1"/>
  <c r="H4457" i="1"/>
  <c r="H3885" i="1"/>
  <c r="H4508" i="1"/>
  <c r="H4365" i="1"/>
  <c r="H1041" i="1"/>
  <c r="H3548" i="1"/>
  <c r="H1321" i="1"/>
  <c r="H3422" i="1"/>
  <c r="H774" i="1"/>
  <c r="H590" i="1"/>
  <c r="H5056" i="1"/>
  <c r="H2579" i="1"/>
  <c r="H12" i="1"/>
  <c r="H4671" i="1"/>
  <c r="H2091" i="1"/>
  <c r="H268" i="1"/>
  <c r="H3695" i="1"/>
  <c r="H2247" i="1"/>
  <c r="H598" i="1"/>
  <c r="H3334" i="1"/>
  <c r="H4498" i="1"/>
  <c r="H4887" i="1"/>
  <c r="H71" i="1"/>
  <c r="H104" i="1"/>
  <c r="H4864" i="1"/>
  <c r="H2857" i="1"/>
  <c r="H4751" i="1"/>
  <c r="H3514" i="1"/>
  <c r="H1463" i="1"/>
  <c r="H2950" i="1"/>
  <c r="H2757" i="1"/>
  <c r="H2202" i="1"/>
  <c r="H4071" i="1"/>
  <c r="H1879" i="1"/>
  <c r="H3969" i="1"/>
  <c r="H2710" i="1"/>
  <c r="H1508" i="1"/>
  <c r="H2603" i="1"/>
  <c r="H4878" i="1"/>
  <c r="H2499" i="1"/>
  <c r="H3477" i="1"/>
  <c r="H2325" i="1"/>
  <c r="H4666" i="1"/>
  <c r="H991" i="1"/>
  <c r="H4375" i="1"/>
  <c r="H3453" i="1"/>
  <c r="H4063" i="1"/>
  <c r="H640" i="1"/>
  <c r="H1901" i="1"/>
  <c r="H831" i="1"/>
  <c r="H288" i="1"/>
  <c r="H2224" i="1"/>
  <c r="H1960" i="1"/>
  <c r="H4108" i="1"/>
  <c r="H1769" i="1"/>
  <c r="H4237" i="1"/>
  <c r="H916" i="1"/>
  <c r="H308" i="1"/>
  <c r="H2318" i="1"/>
  <c r="H3174" i="1"/>
  <c r="H2236" i="1"/>
  <c r="H2368" i="1"/>
  <c r="H3792" i="1"/>
  <c r="H526" i="1"/>
  <c r="H4067" i="1"/>
  <c r="H3402" i="1"/>
  <c r="H4076" i="1"/>
  <c r="H4529" i="1"/>
  <c r="H3909" i="1"/>
  <c r="H4657" i="1"/>
  <c r="H971" i="1"/>
  <c r="H4728" i="1"/>
  <c r="H724" i="1"/>
  <c r="H1056" i="1"/>
  <c r="H2151" i="1"/>
  <c r="H1558" i="1"/>
  <c r="H3102" i="1"/>
  <c r="H929" i="1"/>
  <c r="H1894" i="1"/>
  <c r="H1428" i="1"/>
  <c r="H310" i="1"/>
  <c r="H2817" i="1"/>
  <c r="H4047" i="1"/>
  <c r="H4792" i="1"/>
  <c r="H5021" i="1"/>
  <c r="H901" i="1"/>
  <c r="H1735" i="1"/>
  <c r="H2273" i="1"/>
  <c r="H3597" i="1"/>
  <c r="H5216" i="1"/>
  <c r="H2805" i="1"/>
  <c r="H299" i="1"/>
  <c r="H2943" i="1"/>
  <c r="H5237" i="1"/>
  <c r="H2408" i="1"/>
  <c r="H4761" i="1"/>
  <c r="H3026" i="1"/>
  <c r="H3393" i="1"/>
  <c r="H4437" i="1"/>
  <c r="H3583" i="1"/>
  <c r="H3742" i="1"/>
  <c r="H4012" i="1"/>
  <c r="H4583" i="1"/>
  <c r="H462" i="1"/>
  <c r="H4124" i="1"/>
  <c r="H2520" i="1"/>
  <c r="H3002" i="1"/>
  <c r="H211" i="1"/>
  <c r="H3006" i="1"/>
  <c r="H3978" i="1"/>
  <c r="H4985" i="1"/>
  <c r="H2187" i="1"/>
  <c r="H3752" i="1"/>
  <c r="H2979" i="1"/>
  <c r="H785" i="1"/>
  <c r="H2240" i="1"/>
  <c r="H2444" i="1"/>
  <c r="H3062" i="1"/>
  <c r="H4181" i="1"/>
  <c r="H4265" i="1"/>
  <c r="H1792" i="1"/>
  <c r="H3181" i="1"/>
  <c r="H978" i="1"/>
  <c r="H4494" i="1"/>
  <c r="H145" i="1"/>
  <c r="H743" i="1"/>
  <c r="H3018" i="1"/>
  <c r="H2069" i="1"/>
  <c r="H203" i="1"/>
  <c r="H2982" i="1"/>
  <c r="H636" i="1"/>
  <c r="H1075" i="1"/>
  <c r="H1474" i="1"/>
  <c r="H3499" i="1"/>
  <c r="H1647" i="1"/>
  <c r="H4386" i="1"/>
  <c r="H4620" i="1"/>
  <c r="H1496" i="1"/>
  <c r="H3036" i="1"/>
  <c r="H4858" i="1"/>
  <c r="H1083" i="1"/>
  <c r="H2677" i="1"/>
  <c r="H491" i="1"/>
  <c r="H4085" i="1"/>
  <c r="H605" i="1"/>
  <c r="H5075" i="1"/>
  <c r="H3559" i="1"/>
  <c r="H857" i="1"/>
  <c r="H2260" i="1"/>
  <c r="H4020" i="1"/>
  <c r="H4963" i="1"/>
  <c r="H5113" i="1"/>
  <c r="H1173" i="1"/>
  <c r="H3095" i="1"/>
  <c r="H2498" i="1"/>
  <c r="H4968" i="1"/>
  <c r="H2562" i="1"/>
  <c r="H2177" i="1"/>
  <c r="H2783" i="1"/>
  <c r="H3379" i="1"/>
  <c r="H2034" i="1"/>
  <c r="H4208" i="1"/>
  <c r="H2342" i="1"/>
  <c r="H2656" i="1"/>
  <c r="H2948" i="1"/>
  <c r="H1845" i="1"/>
  <c r="H2759" i="1"/>
  <c r="H379" i="1"/>
  <c r="H4217" i="1"/>
  <c r="H1595" i="1"/>
  <c r="H3286" i="1"/>
  <c r="H575" i="1"/>
  <c r="H3617" i="1"/>
  <c r="H255" i="1"/>
  <c r="H1262" i="1"/>
  <c r="H858" i="1"/>
  <c r="H3613" i="1"/>
  <c r="H2164" i="1"/>
  <c r="H311" i="1"/>
  <c r="H2806" i="1"/>
  <c r="H4570" i="1"/>
  <c r="H2969" i="1"/>
  <c r="H87" i="1"/>
  <c r="H3556" i="1"/>
  <c r="H3340" i="1"/>
  <c r="H3425" i="1"/>
  <c r="H1220" i="1"/>
  <c r="H4072" i="1"/>
  <c r="H5137" i="1"/>
  <c r="H1405" i="1"/>
  <c r="H4640" i="1"/>
  <c r="H726" i="1"/>
  <c r="H2933" i="1"/>
  <c r="H4196" i="1"/>
  <c r="H838" i="1"/>
  <c r="H1768" i="1"/>
  <c r="H4609" i="1"/>
  <c r="H1755" i="1"/>
  <c r="H3406" i="1"/>
  <c r="H2536" i="1"/>
  <c r="H3830" i="1"/>
  <c r="H3203" i="1"/>
  <c r="H3669" i="1"/>
  <c r="H1358" i="1"/>
  <c r="H3531" i="1"/>
  <c r="H2199" i="1"/>
  <c r="H1750" i="1"/>
  <c r="H452" i="1"/>
  <c r="H4582" i="1"/>
  <c r="H707" i="1"/>
  <c r="H1446" i="1"/>
  <c r="H2849" i="1"/>
  <c r="H1645" i="1"/>
  <c r="H4578" i="1"/>
  <c r="H2338" i="1"/>
  <c r="H3328" i="1"/>
  <c r="H3419" i="1"/>
  <c r="H4811" i="1"/>
  <c r="H1228" i="1"/>
  <c r="H537" i="1"/>
  <c r="H3558" i="1"/>
  <c r="H3030" i="1"/>
  <c r="H186" i="1"/>
  <c r="H2157" i="1"/>
  <c r="H4920" i="1"/>
  <c r="H213" i="1"/>
  <c r="H2430" i="1"/>
  <c r="H787" i="1"/>
  <c r="H805" i="1"/>
  <c r="H5039" i="1"/>
  <c r="H3260" i="1"/>
  <c r="H2493" i="1"/>
  <c r="H289" i="1"/>
  <c r="H4252" i="1"/>
  <c r="H2012" i="1"/>
  <c r="H1278" i="1"/>
  <c r="H1906" i="1"/>
  <c r="H797" i="1"/>
  <c r="H1613" i="1"/>
  <c r="H2079" i="1"/>
  <c r="H2839" i="1"/>
  <c r="H1249" i="1"/>
  <c r="H3114" i="1"/>
  <c r="H79" i="1"/>
  <c r="H3483" i="1"/>
  <c r="H2301" i="1"/>
  <c r="H4637" i="1"/>
  <c r="H2770" i="1"/>
  <c r="H1877" i="1"/>
  <c r="H3368" i="1"/>
  <c r="H383" i="1"/>
  <c r="H2328" i="1"/>
  <c r="H3438" i="1"/>
  <c r="H2254" i="1"/>
  <c r="H1265" i="1"/>
  <c r="H403" i="1"/>
  <c r="H3248" i="1"/>
  <c r="H4571" i="1"/>
  <c r="H1491" i="1"/>
  <c r="H3821" i="1"/>
  <c r="H563" i="1"/>
  <c r="H4360" i="1"/>
  <c r="H2314" i="1"/>
  <c r="H4850" i="1"/>
  <c r="H5130" i="1"/>
  <c r="H4740" i="1"/>
  <c r="H2627" i="1"/>
  <c r="H2464" i="1"/>
  <c r="H1634" i="1"/>
  <c r="H471" i="1"/>
  <c r="H584" i="1"/>
  <c r="H2052" i="1"/>
  <c r="H3621" i="1"/>
  <c r="H602" i="1"/>
  <c r="H1372" i="1"/>
  <c r="H1422" i="1"/>
  <c r="H5200" i="1"/>
  <c r="H4288" i="1"/>
  <c r="H144" i="1"/>
  <c r="H302" i="1"/>
  <c r="H1348" i="1"/>
  <c r="H532" i="1"/>
  <c r="H5128" i="1"/>
  <c r="H3551" i="1"/>
  <c r="H2713" i="1"/>
  <c r="H4848" i="1"/>
  <c r="H2077" i="1"/>
  <c r="H4059" i="1"/>
  <c r="H4303" i="1"/>
  <c r="H699" i="1"/>
  <c r="H2358" i="1"/>
  <c r="H949" i="1"/>
  <c r="H4110" i="1"/>
  <c r="H3057" i="1"/>
  <c r="H1942" i="1"/>
  <c r="H1577" i="1"/>
  <c r="H1289" i="1"/>
  <c r="H5073" i="1"/>
  <c r="H4130" i="1"/>
  <c r="H1671" i="1"/>
  <c r="H4569" i="1"/>
  <c r="H4879" i="1"/>
  <c r="H3301" i="1"/>
  <c r="H718" i="1"/>
  <c r="H3759" i="1"/>
  <c r="H4950" i="1"/>
  <c r="H103" i="1"/>
  <c r="H3973" i="1"/>
  <c r="H2590" i="1"/>
  <c r="H191" i="1"/>
  <c r="H746" i="1"/>
  <c r="H4524" i="1"/>
  <c r="H3576" i="1"/>
  <c r="H2043" i="1"/>
  <c r="H2709" i="1"/>
  <c r="H2390" i="1"/>
  <c r="H3434" i="1"/>
  <c r="H2796" i="1"/>
  <c r="H3386" i="1"/>
  <c r="H3392" i="1"/>
  <c r="H1403" i="1"/>
  <c r="H3627" i="1"/>
  <c r="H4762" i="1"/>
  <c r="H2118" i="1"/>
  <c r="H1349" i="1"/>
  <c r="H93" i="1"/>
  <c r="H3525" i="1"/>
  <c r="H2852" i="1"/>
  <c r="H3912" i="1"/>
  <c r="H1121" i="1"/>
  <c r="H1968" i="1"/>
  <c r="H1013" i="1"/>
  <c r="H4155" i="1"/>
  <c r="H1103" i="1"/>
  <c r="H4162" i="1"/>
  <c r="H2600" i="1"/>
  <c r="H2739" i="1"/>
  <c r="H5100" i="1"/>
  <c r="H158" i="1"/>
  <c r="H5175" i="1"/>
  <c r="H2363" i="1"/>
  <c r="H3779" i="1"/>
  <c r="H4446" i="1"/>
  <c r="H3696" i="1"/>
  <c r="H1627" i="1"/>
  <c r="H4775" i="1"/>
  <c r="H1578" i="1"/>
  <c r="H1049" i="1"/>
  <c r="H923" i="1"/>
  <c r="H381" i="1"/>
  <c r="H702" i="1"/>
  <c r="H1563" i="1"/>
  <c r="H485" i="1"/>
  <c r="H828" i="1"/>
  <c r="H2966" i="1"/>
  <c r="H1911" i="1"/>
  <c r="H4151" i="1"/>
  <c r="H3803" i="1"/>
  <c r="H2601" i="1"/>
  <c r="H3629" i="1"/>
  <c r="H4759" i="1"/>
  <c r="H4936" i="1"/>
  <c r="H500" i="1"/>
  <c r="H1740" i="1"/>
  <c r="H2814" i="1"/>
  <c r="H3073" i="1"/>
  <c r="H250" i="1"/>
  <c r="H2654" i="1"/>
  <c r="H939" i="1"/>
  <c r="H4296" i="1"/>
  <c r="H4164" i="1"/>
  <c r="H1414" i="1"/>
  <c r="H1297" i="1"/>
  <c r="H1388" i="1"/>
  <c r="H4199" i="1"/>
  <c r="H3160" i="1"/>
  <c r="H4992" i="1"/>
  <c r="H1584" i="1"/>
  <c r="H4736" i="1"/>
  <c r="H4354" i="1"/>
  <c r="H4926" i="1"/>
  <c r="H4577" i="1"/>
  <c r="H4152" i="1"/>
  <c r="H516" i="1"/>
  <c r="H316" i="1"/>
  <c r="H2003" i="1"/>
  <c r="H3364" i="1"/>
  <c r="H2975" i="1"/>
  <c r="H948" i="1"/>
  <c r="H4806" i="1"/>
  <c r="H1113" i="1"/>
  <c r="H1701" i="1"/>
  <c r="H4239" i="1"/>
  <c r="H3041" i="1"/>
  <c r="H4501" i="1"/>
  <c r="H1168" i="1"/>
  <c r="H1744" i="1"/>
  <c r="H3542" i="1"/>
  <c r="H1742" i="1"/>
  <c r="H1546" i="1"/>
  <c r="H5140" i="1"/>
  <c r="H3858" i="1"/>
  <c r="H1327" i="1"/>
  <c r="H4417" i="1"/>
  <c r="H2466" i="1"/>
  <c r="H242" i="1"/>
  <c r="H3351" i="1"/>
  <c r="H716" i="1"/>
  <c r="H4275" i="1"/>
  <c r="H1589" i="1"/>
  <c r="H188" i="1"/>
  <c r="H3107" i="1"/>
  <c r="H262" i="1"/>
  <c r="H1860" i="1"/>
  <c r="H1109" i="1"/>
  <c r="H1146" i="1"/>
  <c r="H4593" i="1"/>
  <c r="H4708" i="1"/>
  <c r="H1487" i="1"/>
  <c r="H5040" i="1"/>
  <c r="H4656" i="1"/>
  <c r="H2797" i="1"/>
  <c r="H4281" i="1"/>
  <c r="H4556" i="1"/>
  <c r="H1218" i="1"/>
  <c r="H1281" i="1"/>
  <c r="H4838" i="1"/>
  <c r="H2791" i="1"/>
  <c r="H2793" i="1"/>
  <c r="H1855" i="1"/>
  <c r="H1531" i="1"/>
  <c r="H523" i="1"/>
  <c r="H1583" i="1"/>
  <c r="H4089" i="1"/>
  <c r="H355" i="1"/>
  <c r="H1674" i="1"/>
  <c r="H2895" i="1"/>
  <c r="H3106" i="1"/>
  <c r="H4772" i="1"/>
  <c r="H4149" i="1"/>
  <c r="H2631" i="1"/>
  <c r="H4644" i="1"/>
  <c r="H4235" i="1"/>
  <c r="H2076" i="1"/>
  <c r="H4159" i="1"/>
  <c r="H5118" i="1"/>
  <c r="H569" i="1"/>
  <c r="H2630" i="1"/>
  <c r="H5006" i="1"/>
  <c r="H2155" i="1"/>
  <c r="H1848" i="1"/>
  <c r="H3163" i="1"/>
  <c r="H521" i="1"/>
  <c r="H314" i="1"/>
  <c r="H2605" i="1"/>
  <c r="H1340" i="1"/>
  <c r="H3390" i="1"/>
  <c r="H4932" i="1"/>
  <c r="H1243" i="1"/>
  <c r="H3154" i="1"/>
  <c r="H817" i="1"/>
  <c r="H3880" i="1"/>
  <c r="H3875" i="1"/>
  <c r="H2440" i="1"/>
  <c r="H2215" i="1"/>
  <c r="H3363" i="1"/>
  <c r="H2684" i="1"/>
  <c r="H4384" i="1"/>
  <c r="H2812" i="1"/>
  <c r="H1681" i="1"/>
  <c r="H3141" i="1"/>
  <c r="H4684" i="1"/>
  <c r="H1330" i="1"/>
  <c r="H1189" i="1"/>
  <c r="H4664" i="1"/>
  <c r="H1964" i="1"/>
  <c r="H4043" i="1"/>
  <c r="H3010" i="1"/>
  <c r="H3337" i="1"/>
  <c r="H2574" i="1"/>
  <c r="H1698" i="1"/>
  <c r="H1822" i="1"/>
  <c r="H2428" i="1"/>
  <c r="H4551" i="1"/>
  <c r="H3410" i="1"/>
  <c r="H2715" i="1"/>
  <c r="H3016" i="1"/>
  <c r="H3213" i="1"/>
  <c r="H4091" i="1"/>
  <c r="H2779" i="1"/>
  <c r="H2022" i="1"/>
  <c r="H67" i="1"/>
  <c r="H557" i="1"/>
  <c r="H1622" i="1"/>
  <c r="H2946" i="1"/>
  <c r="H1719" i="1"/>
  <c r="H1442" i="1"/>
  <c r="H3646" i="1"/>
  <c r="H4681" i="1"/>
  <c r="H5150" i="1"/>
  <c r="H195" i="1"/>
  <c r="H2130" i="1"/>
  <c r="H920" i="1"/>
  <c r="H3869" i="1"/>
  <c r="H5138" i="1"/>
  <c r="H4080" i="1"/>
  <c r="H4293" i="1"/>
  <c r="H1706" i="1"/>
  <c r="H4362" i="1"/>
  <c r="H1065" i="1"/>
  <c r="H3454" i="1"/>
  <c r="H2184" i="1"/>
  <c r="H4976" i="1"/>
  <c r="H2531" i="1"/>
  <c r="H4111" i="1"/>
  <c r="H1851" i="1"/>
  <c r="H4533" i="1"/>
  <c r="H4049" i="1"/>
  <c r="H2622" i="1"/>
  <c r="H2928" i="1"/>
  <c r="H4051" i="1"/>
  <c r="H3569" i="1"/>
  <c r="H3638" i="1"/>
  <c r="H739" i="1"/>
  <c r="H770" i="1"/>
  <c r="H5087" i="1"/>
  <c r="H3435" i="1"/>
  <c r="H4034" i="1"/>
  <c r="H4190" i="1"/>
  <c r="H3530" i="1"/>
  <c r="H2384" i="1"/>
  <c r="H216" i="1"/>
  <c r="H4011" i="1"/>
  <c r="H3394" i="1"/>
  <c r="H3250" i="1"/>
  <c r="H1958" i="1"/>
  <c r="H3851" i="1"/>
  <c r="H4891" i="1"/>
  <c r="H1329" i="1"/>
  <c r="H1226" i="1"/>
  <c r="H4192" i="1"/>
  <c r="H3374" i="1"/>
  <c r="H2203" i="1"/>
  <c r="H4254" i="1"/>
  <c r="H531" i="1"/>
  <c r="H1251" i="1"/>
  <c r="H5114" i="1"/>
  <c r="H3535" i="1"/>
  <c r="H3069" i="1"/>
  <c r="H775" i="1"/>
  <c r="H1424" i="1"/>
  <c r="H1285" i="1"/>
  <c r="H5190" i="1"/>
  <c r="H4313" i="1"/>
  <c r="H4010" i="1"/>
  <c r="H2183" i="1"/>
  <c r="H1007" i="1"/>
  <c r="H4268" i="1"/>
  <c r="H1059" i="1"/>
  <c r="H1161" i="1"/>
  <c r="H4397" i="1"/>
  <c r="H380" i="1"/>
  <c r="H60" i="1"/>
  <c r="H2013" i="1"/>
  <c r="H2821" i="1"/>
  <c r="H1633" i="1"/>
  <c r="H3361" i="1"/>
  <c r="H2707" i="1"/>
  <c r="H1435" i="1"/>
  <c r="H2329" i="1"/>
  <c r="H4974" i="1"/>
  <c r="H437" i="1"/>
  <c r="H2746" i="1"/>
  <c r="H1170" i="1"/>
  <c r="H4403" i="1"/>
  <c r="H36" i="1"/>
  <c r="H2471" i="1"/>
  <c r="H3331" i="1"/>
  <c r="H2141" i="1"/>
  <c r="H2548" i="1"/>
  <c r="H911" i="1"/>
  <c r="H1937" i="1"/>
  <c r="H4458" i="1"/>
  <c r="H1033" i="1"/>
  <c r="H1304" i="1"/>
  <c r="H988" i="1"/>
  <c r="H4309" i="1"/>
  <c r="H2815" i="1"/>
  <c r="H4587" i="1"/>
  <c r="H2553" i="1"/>
  <c r="H1738" i="1"/>
  <c r="H1519" i="1"/>
  <c r="H3219" i="1"/>
  <c r="H3919" i="1"/>
  <c r="H4948" i="1"/>
  <c r="H618" i="1"/>
  <c r="H1507" i="1"/>
  <c r="H4115" i="1"/>
  <c r="H1070" i="1"/>
  <c r="H2898" i="1"/>
  <c r="H2780" i="1"/>
  <c r="H5033" i="1"/>
  <c r="H3445" i="1"/>
  <c r="H999" i="1"/>
  <c r="H464" i="1"/>
  <c r="H2457" i="1"/>
  <c r="H1302" i="1"/>
  <c r="H140" i="1"/>
  <c r="H5134" i="1"/>
  <c r="H4975" i="1"/>
  <c r="H1690" i="1"/>
  <c r="H3235" i="1"/>
  <c r="H2274" i="1"/>
  <c r="H2781" i="1"/>
  <c r="H1207" i="1"/>
  <c r="H3404" i="1"/>
  <c r="H647" i="1"/>
  <c r="H2452" i="1"/>
  <c r="H138" i="1"/>
  <c r="H1350" i="1"/>
  <c r="H1916" i="1"/>
  <c r="H115" i="1"/>
  <c r="H4741" i="1"/>
  <c r="H2522" i="1"/>
  <c r="H1788" i="1"/>
  <c r="H4564" i="1"/>
  <c r="H4956" i="1"/>
  <c r="H600" i="1"/>
  <c r="H2222" i="1"/>
  <c r="H967" i="1"/>
  <c r="H1869" i="1"/>
  <c r="H5060" i="1"/>
  <c r="H3689" i="1"/>
  <c r="H3381" i="1"/>
  <c r="H3230" i="1"/>
  <c r="H2524" i="1"/>
  <c r="H1473" i="1"/>
  <c r="H2777" i="1"/>
  <c r="H1607" i="1"/>
  <c r="H2587" i="1"/>
  <c r="H3091" i="1"/>
  <c r="H2608" i="1"/>
  <c r="H3246" i="1"/>
  <c r="H2071" i="1"/>
  <c r="H3284" i="1"/>
  <c r="H608" i="1"/>
  <c r="H2491" i="1"/>
  <c r="H1915" i="1"/>
  <c r="H4392" i="1"/>
  <c r="H808" i="1"/>
  <c r="H2981" i="1"/>
  <c r="H4364" i="1"/>
  <c r="H4607" i="1"/>
  <c r="H2532" i="1"/>
  <c r="H3659" i="1"/>
  <c r="H1098" i="1"/>
  <c r="H3408" i="1"/>
  <c r="H709" i="1"/>
  <c r="H304" i="1"/>
  <c r="H5167" i="1"/>
  <c r="H3013" i="1"/>
  <c r="H1733" i="1"/>
  <c r="H2239" i="1"/>
  <c r="H3931" i="1"/>
  <c r="H4070" i="1"/>
  <c r="H1687" i="1"/>
  <c r="H2549" i="1"/>
  <c r="H2051" i="1"/>
  <c r="H1979" i="1"/>
  <c r="H1261" i="1"/>
  <c r="H3140" i="1"/>
  <c r="H2017" i="1"/>
  <c r="H1136" i="1"/>
  <c r="H2057" i="1"/>
  <c r="H4396" i="1"/>
  <c r="H1865" i="1"/>
  <c r="H2661" i="1"/>
  <c r="H4675" i="1"/>
  <c r="H2502" i="1"/>
  <c r="H4289" i="1"/>
  <c r="H2422" i="1"/>
  <c r="H3242" i="1"/>
  <c r="H4330" i="1"/>
  <c r="H2396" i="1"/>
  <c r="H4490" i="1"/>
  <c r="H3325" i="1"/>
  <c r="H3024" i="1"/>
  <c r="H4173" i="1"/>
  <c r="H3536" i="1"/>
  <c r="H986" i="1"/>
  <c r="H1478" i="1"/>
  <c r="H3039" i="1"/>
  <c r="H2128" i="1"/>
  <c r="H1071" i="1"/>
  <c r="H4481" i="1"/>
  <c r="H2437" i="1"/>
  <c r="H558" i="1"/>
  <c r="H3993" i="1"/>
  <c r="H1784" i="1"/>
  <c r="H534" i="1"/>
  <c r="H3109" i="1"/>
  <c r="H3691" i="1"/>
  <c r="H2238" i="1"/>
  <c r="H4789" i="1"/>
  <c r="H263" i="1"/>
  <c r="H1303" i="1"/>
  <c r="H313" i="1"/>
  <c r="H1978" i="1"/>
  <c r="H768" i="1"/>
  <c r="H1882" i="1"/>
  <c r="H3806" i="1"/>
  <c r="H2472" i="1"/>
  <c r="H3034" i="1"/>
  <c r="H4778" i="1"/>
  <c r="H2196" i="1"/>
  <c r="H1001" i="1"/>
  <c r="H4594" i="1"/>
  <c r="H1156" i="1"/>
  <c r="H4922" i="1"/>
  <c r="H4999" i="1"/>
  <c r="H3529" i="1"/>
  <c r="H767" i="1"/>
  <c r="H2594" i="1"/>
  <c r="H4307" i="1"/>
  <c r="H2149" i="1"/>
  <c r="H2207" i="1"/>
  <c r="H5105" i="1"/>
  <c r="H1562" i="1"/>
  <c r="H2930" i="1"/>
  <c r="H2510" i="1"/>
  <c r="H2830" i="1"/>
  <c r="H2180" i="1"/>
  <c r="H3263" i="1"/>
  <c r="H4228" i="1"/>
  <c r="H963" i="1"/>
  <c r="H3935" i="1"/>
  <c r="H1063" i="1"/>
  <c r="H1993" i="1"/>
  <c r="H4817" i="1"/>
  <c r="H1443" i="1"/>
  <c r="H4700" i="1"/>
  <c r="H539" i="1"/>
  <c r="H3489" i="1"/>
  <c r="H201" i="1"/>
  <c r="H2792" i="1"/>
  <c r="H3468" i="1"/>
  <c r="H1856" i="1"/>
  <c r="H616" i="1"/>
  <c r="H2515" i="1"/>
  <c r="H959" i="1"/>
  <c r="H1775" i="1"/>
  <c r="H642" i="1"/>
  <c r="H2775" i="1"/>
  <c r="H3139" i="1"/>
  <c r="H4135" i="1"/>
  <c r="H4538" i="1"/>
  <c r="H1608" i="1"/>
  <c r="H1282" i="1"/>
  <c r="H514" i="1"/>
  <c r="H2897" i="1"/>
  <c r="H4737" i="1"/>
  <c r="H1354" i="1"/>
  <c r="H998" i="1"/>
  <c r="H1094" i="1"/>
  <c r="H2477" i="1"/>
  <c r="H865" i="1"/>
  <c r="H2785" i="1"/>
  <c r="H2291" i="1"/>
  <c r="H1868" i="1"/>
  <c r="H614" i="1"/>
  <c r="H1178" i="1"/>
  <c r="H2185" i="1"/>
  <c r="H5202" i="1"/>
  <c r="H5111" i="1"/>
  <c r="H3480" i="1"/>
  <c r="H796" i="1"/>
  <c r="H2006" i="1"/>
  <c r="H613" i="1"/>
  <c r="H3484" i="1"/>
  <c r="H1000" i="1"/>
  <c r="H2135" i="1"/>
  <c r="H3178" i="1"/>
  <c r="H2456" i="1"/>
  <c r="H3676" i="1"/>
  <c r="H4883" i="1"/>
  <c r="H4259" i="1"/>
  <c r="H5194" i="1"/>
  <c r="H190" i="1"/>
  <c r="H349" i="1"/>
  <c r="H4325" i="1"/>
  <c r="H196" i="1"/>
  <c r="H3637" i="1"/>
  <c r="H1394" i="1"/>
  <c r="H3243" i="1"/>
  <c r="H4808" i="1"/>
  <c r="H5203" i="1"/>
  <c r="H3475" i="1"/>
  <c r="H4316" i="1"/>
  <c r="H2046" i="1"/>
  <c r="H2664" i="1"/>
  <c r="H2190" i="1"/>
  <c r="H4500" i="1"/>
  <c r="H1061" i="1"/>
  <c r="H3995" i="1"/>
  <c r="H3086" i="1"/>
  <c r="H3172" i="1"/>
  <c r="H3670" i="1"/>
  <c r="H4912" i="1"/>
  <c r="H345" i="1"/>
  <c r="H3290" i="1"/>
  <c r="H3890" i="1"/>
  <c r="H4203" i="1"/>
  <c r="H4358" i="1"/>
  <c r="H825" i="1"/>
  <c r="H3" i="1"/>
  <c r="H3218" i="1"/>
  <c r="H1899" i="1"/>
  <c r="H1270" i="1"/>
  <c r="H5072" i="1"/>
  <c r="H2644" i="1"/>
  <c r="H100" i="1"/>
  <c r="H1969" i="1"/>
  <c r="H1008" i="1"/>
  <c r="H3870" i="1"/>
  <c r="H1295" i="1"/>
  <c r="H540" i="1"/>
  <c r="H2016" i="1"/>
  <c r="H392" i="1"/>
  <c r="H2310" i="1"/>
  <c r="H231" i="1"/>
  <c r="H2290" i="1"/>
  <c r="H792" i="1"/>
  <c r="H3044" i="1"/>
  <c r="H2686" i="1"/>
  <c r="H3031" i="1"/>
  <c r="H2614" i="1"/>
  <c r="H2947" i="1"/>
  <c r="H2887" i="1"/>
  <c r="H2700" i="1"/>
  <c r="H1352" i="1"/>
  <c r="H2718" i="1"/>
  <c r="H5089" i="1"/>
  <c r="H1479" i="1"/>
  <c r="H3054" i="1"/>
  <c r="H5219" i="1"/>
  <c r="H4433" i="1"/>
  <c r="H3310" i="1"/>
  <c r="H4608" i="1"/>
  <c r="H1808" i="1"/>
  <c r="H4923" i="1"/>
  <c r="H3255" i="1"/>
  <c r="H5240" i="1"/>
  <c r="H251" i="1"/>
  <c r="H2740" i="1"/>
  <c r="H1598" i="1"/>
  <c r="H1292" i="1"/>
  <c r="H4893" i="1"/>
  <c r="H3822" i="1"/>
  <c r="H2944" i="1"/>
  <c r="H4179" i="1"/>
  <c r="H1351" i="1"/>
  <c r="H938" i="1"/>
  <c r="H3891" i="1"/>
  <c r="H4383" i="1"/>
  <c r="H4916" i="1"/>
  <c r="H3384" i="1"/>
  <c r="H4257" i="1"/>
  <c r="H2276" i="1"/>
  <c r="H382" i="1"/>
  <c r="H1547" i="1"/>
  <c r="H5054" i="1"/>
  <c r="H979" i="1"/>
  <c r="H3185" i="1"/>
  <c r="H4195" i="1"/>
  <c r="H1635" i="1"/>
  <c r="H1147" i="1"/>
  <c r="H1359" i="1"/>
  <c r="H2449" i="1"/>
  <c r="H2097" i="1"/>
  <c r="H2517" i="1"/>
  <c r="H3699" i="1"/>
  <c r="H1191" i="1"/>
  <c r="H4366" i="1"/>
  <c r="H2789" i="1"/>
  <c r="H1643" i="1"/>
  <c r="H4156" i="1"/>
  <c r="H154" i="1"/>
  <c r="H2840" i="1"/>
  <c r="H3067" i="1"/>
  <c r="H2546" i="1"/>
  <c r="H1231" i="1"/>
  <c r="H4960" i="1"/>
  <c r="H3366" i="1"/>
  <c r="H3348" i="1"/>
  <c r="H1923" i="1"/>
  <c r="H3886" i="1"/>
  <c r="H891" i="1"/>
  <c r="H1637" i="1"/>
  <c r="H3579" i="1"/>
  <c r="H1338" i="1"/>
  <c r="H4898" i="1"/>
  <c r="H3343" i="1"/>
  <c r="H4287" i="1"/>
  <c r="H3568" i="1"/>
  <c r="H4855" i="1"/>
  <c r="H2004" i="1"/>
  <c r="H3177" i="1"/>
  <c r="H1379" i="1"/>
  <c r="H2490" i="1"/>
  <c r="H846" i="1"/>
  <c r="H760" i="1"/>
  <c r="H2284" i="1"/>
  <c r="H886" i="1"/>
  <c r="H1100" i="1"/>
  <c r="H4424" i="1"/>
  <c r="H3849" i="1"/>
  <c r="H3932" i="1"/>
  <c r="H2453" i="1"/>
  <c r="H2211" i="1"/>
  <c r="H2696" i="1"/>
  <c r="H2025" i="1"/>
  <c r="H5210" i="1"/>
  <c r="H4892" i="1"/>
  <c r="H2411" i="1"/>
  <c r="H286" i="1"/>
  <c r="H260" i="1"/>
  <c r="H2931" i="1"/>
  <c r="H4986" i="1"/>
  <c r="H2311" i="1"/>
  <c r="H4701" i="1"/>
  <c r="H2341" i="1"/>
  <c r="H2714" i="1"/>
  <c r="H2492" i="1"/>
  <c r="H1798" i="1"/>
  <c r="H442" i="1"/>
  <c r="H1705" i="1"/>
  <c r="H763" i="1"/>
  <c r="H4255" i="1"/>
  <c r="H2374" i="1"/>
  <c r="H3075" i="1"/>
  <c r="H2195" i="1"/>
  <c r="H2161" i="1"/>
  <c r="H4659" i="1"/>
  <c r="H2808" i="1"/>
  <c r="H4245" i="1"/>
  <c r="H3562" i="1"/>
  <c r="H4579" i="1"/>
  <c r="H5235" i="1"/>
  <c r="H1597" i="1"/>
  <c r="H1176" i="1"/>
  <c r="H1039" i="1"/>
  <c r="H1574" i="1"/>
  <c r="H4771" i="1"/>
  <c r="H2585" i="1"/>
  <c r="H2606" i="1"/>
  <c r="H2103" i="1"/>
  <c r="H733" i="1"/>
  <c r="H1314" i="1"/>
  <c r="H2053" i="1"/>
  <c r="H2972" i="1"/>
  <c r="H4200" i="1"/>
  <c r="H909" i="1"/>
  <c r="H3928" i="1"/>
  <c r="H2402" i="1"/>
  <c r="H2315" i="1"/>
  <c r="H3842" i="1"/>
  <c r="H4472" i="1"/>
  <c r="H4436" i="1"/>
  <c r="H5139" i="1"/>
  <c r="H1209" i="1"/>
  <c r="H1720" i="1"/>
  <c r="H1500" i="1"/>
  <c r="H5198" i="1"/>
  <c r="H749" i="1"/>
  <c r="H4215" i="1"/>
  <c r="H3951" i="1"/>
  <c r="H2327" i="1"/>
  <c r="H1267" i="1"/>
  <c r="H187" i="1"/>
  <c r="H4278" i="1"/>
  <c r="H1949" i="1"/>
  <c r="H486" i="1"/>
  <c r="H3712" i="1"/>
  <c r="H2865" i="1"/>
  <c r="H3007" i="1"/>
  <c r="H1012" i="1"/>
  <c r="H503" i="1"/>
  <c r="H98" i="1"/>
  <c r="H1846" i="1"/>
  <c r="H5082" i="1"/>
  <c r="H3077" i="1"/>
  <c r="H3563" i="1"/>
  <c r="H2752" i="1"/>
  <c r="H5199" i="1"/>
  <c r="H3046" i="1"/>
  <c r="H1466" i="1"/>
  <c r="H5098" i="1"/>
  <c r="H4704" i="1"/>
  <c r="H884" i="1"/>
  <c r="H2595" i="1"/>
  <c r="H223" i="1"/>
  <c r="H695" i="1"/>
  <c r="H2123" i="1"/>
  <c r="H2473" i="1"/>
  <c r="H207" i="1"/>
  <c r="H552" i="1"/>
  <c r="H1782" i="1"/>
  <c r="H5209" i="1"/>
  <c r="H3945" i="1"/>
  <c r="H2035" i="1"/>
  <c r="H128" i="1"/>
  <c r="H4019" i="1"/>
  <c r="H4211" i="1"/>
  <c r="H291" i="1"/>
  <c r="H533" i="1"/>
  <c r="H374" i="1"/>
  <c r="H1657" i="1"/>
  <c r="H1795" i="1"/>
  <c r="H4005" i="1"/>
  <c r="H3541" i="1"/>
  <c r="H2216" i="1"/>
  <c r="H1343" i="1"/>
  <c r="H4978" i="1"/>
  <c r="H461" i="1"/>
  <c r="H4696" i="1"/>
  <c r="H2024" i="1"/>
  <c r="H3811" i="1"/>
  <c r="H4253" i="1"/>
  <c r="H5017" i="1"/>
  <c r="H4703" i="1"/>
  <c r="H668" i="1"/>
  <c r="H1620" i="1"/>
  <c r="H3482" i="1"/>
  <c r="H3922" i="1"/>
  <c r="H4603" i="1"/>
  <c r="H848" i="1"/>
  <c r="H272" i="1"/>
  <c r="H3778" i="1"/>
  <c r="H1127" i="1"/>
  <c r="H2398" i="1"/>
  <c r="H4542" i="1"/>
  <c r="H413" i="1"/>
  <c r="H2853" i="1"/>
  <c r="H4934" i="1"/>
  <c r="H4690" i="1"/>
  <c r="H4873" i="1"/>
  <c r="H4421" i="1"/>
  <c r="H3208" i="1"/>
  <c r="H2182" i="1"/>
  <c r="H1242" i="1"/>
  <c r="H3743" i="1"/>
  <c r="H5020" i="1"/>
  <c r="H5062" i="1"/>
  <c r="H994" i="1"/>
  <c r="H2728" i="1"/>
  <c r="H1175" i="1"/>
  <c r="H470" i="1"/>
  <c r="H295" i="1"/>
  <c r="H3450" i="1"/>
  <c r="H162" i="1"/>
  <c r="H443" i="1"/>
  <c r="H2323" i="1"/>
  <c r="H1165" i="1"/>
  <c r="H4139" i="1"/>
  <c r="H3125" i="1"/>
  <c r="H45" i="1"/>
  <c r="H845" i="1"/>
  <c r="H29" i="1"/>
  <c r="H274" i="1"/>
  <c r="H1305" i="1"/>
  <c r="H3572" i="1"/>
  <c r="H1093" i="1"/>
  <c r="H4297" i="1"/>
  <c r="H3224" i="1"/>
  <c r="H2393" i="1"/>
  <c r="H2908" i="1"/>
  <c r="H350" i="1"/>
  <c r="H2009" i="1"/>
  <c r="H3354" i="1"/>
  <c r="H3478" i="1"/>
  <c r="H4800" i="1"/>
  <c r="H4921" i="1"/>
  <c r="H1239" i="1"/>
  <c r="H5129" i="1"/>
  <c r="H968" i="1"/>
  <c r="H373" i="1"/>
  <c r="H1787" i="1"/>
  <c r="H4924" i="1"/>
  <c r="H5065" i="1"/>
  <c r="H1537" i="1"/>
  <c r="H2418" i="1"/>
  <c r="H1921" i="1"/>
  <c r="H2620" i="1"/>
  <c r="H2174" i="1"/>
  <c r="H2811" i="1"/>
  <c r="H441" i="1"/>
  <c r="H125" i="1"/>
  <c r="H1571" i="1"/>
  <c r="H1762" i="1"/>
  <c r="H3272" i="1"/>
  <c r="H2061" i="1"/>
  <c r="H4794" i="1"/>
  <c r="H3571" i="1"/>
  <c r="H1482" i="1"/>
  <c r="H5103" i="1"/>
  <c r="H4441" i="1"/>
  <c r="H377" i="1"/>
  <c r="H357" i="1"/>
  <c r="H507" i="1"/>
  <c r="H5243" i="1"/>
  <c r="H387" i="1"/>
  <c r="H3369" i="1"/>
  <c r="H2993" i="1"/>
  <c r="H4695" i="1"/>
  <c r="H2836" i="1"/>
  <c r="H1341" i="1"/>
  <c r="H4742" i="1"/>
  <c r="H4841" i="1"/>
  <c r="H3948" i="1"/>
  <c r="H3626" i="1"/>
  <c r="H1370" i="1"/>
  <c r="H1099" i="1"/>
  <c r="H2242" i="1"/>
  <c r="H78" i="1"/>
  <c r="H662" i="1"/>
  <c r="H3098" i="1"/>
  <c r="H4337" i="1"/>
  <c r="H2744" i="1"/>
  <c r="H2162" i="1"/>
  <c r="H606" i="1"/>
  <c r="H3915" i="1"/>
  <c r="H3956" i="1"/>
  <c r="H2194" i="1"/>
  <c r="H5034" i="1"/>
  <c r="H1791" i="1"/>
  <c r="H2576" i="1"/>
  <c r="H2506" i="1"/>
  <c r="H2433" i="1"/>
  <c r="H1044" i="1"/>
  <c r="H2423" i="1"/>
  <c r="H69" i="1"/>
  <c r="H4588" i="1"/>
  <c r="H4550" i="1"/>
  <c r="H1272" i="1"/>
  <c r="H3781" i="1"/>
  <c r="H1129" i="1"/>
  <c r="H3641" i="1"/>
  <c r="H131" i="1"/>
  <c r="H3914" i="1"/>
  <c r="H3497" i="1"/>
  <c r="H2537" i="1"/>
  <c r="H996" i="1"/>
  <c r="H1062" i="1"/>
  <c r="H3763" i="1"/>
  <c r="H1585" i="1"/>
  <c r="H2509" i="1"/>
  <c r="H3004" i="1"/>
  <c r="H2409" i="1"/>
  <c r="H2903" i="1"/>
  <c r="H2210" i="1"/>
  <c r="H3278" i="1"/>
  <c r="H95" i="1"/>
  <c r="H1315" i="1"/>
  <c r="H1844" i="1"/>
  <c r="H2426" i="1"/>
  <c r="H3737" i="1"/>
  <c r="H1214" i="1"/>
  <c r="H4157" i="1"/>
  <c r="H3693" i="1"/>
  <c r="H1655" i="1"/>
  <c r="H107" i="1"/>
  <c r="H360" i="1"/>
  <c r="H1938" i="1"/>
  <c r="H2581" i="1"/>
  <c r="H4177" i="1"/>
  <c r="H4341" i="1"/>
  <c r="H2596" i="1"/>
  <c r="H881" i="1"/>
  <c r="H4236" i="1"/>
  <c r="H4246" i="1"/>
  <c r="H1454" i="1"/>
  <c r="H1695" i="1"/>
  <c r="H309" i="1"/>
  <c r="H3168" i="1"/>
  <c r="H3976" i="1"/>
  <c r="H1932" i="1"/>
  <c r="H4312" i="1"/>
  <c r="H4008" i="1"/>
  <c r="H2858" i="1"/>
  <c r="H2760" i="1"/>
  <c r="H2296" i="1"/>
  <c r="H2481" i="1"/>
  <c r="H4733" i="1"/>
  <c r="H3612" i="1"/>
  <c r="H3498" i="1"/>
  <c r="H2332" i="1"/>
  <c r="H1934" i="1"/>
  <c r="H801" i="1"/>
  <c r="H1186" i="1"/>
  <c r="H1540" i="1"/>
  <c r="H778" i="1"/>
  <c r="H1023" i="1"/>
  <c r="H4988" i="1"/>
  <c r="H2680" i="1"/>
  <c r="H2266" i="1"/>
  <c r="H4298" i="1"/>
  <c r="H5023" i="1"/>
  <c r="H3281" i="1"/>
  <c r="H3215" i="1"/>
  <c r="H2249" i="1"/>
  <c r="H4595" i="1"/>
  <c r="H4378" i="1"/>
  <c r="H2995" i="1"/>
  <c r="H254" i="1"/>
  <c r="H2613" i="1"/>
  <c r="H1581" i="1"/>
  <c r="H3823" i="1"/>
  <c r="H426" i="1"/>
  <c r="H1486" i="1"/>
  <c r="H4214" i="1"/>
  <c r="H4448" i="1"/>
  <c r="H4707" i="1"/>
  <c r="H3259" i="1"/>
  <c r="H3227" i="1"/>
  <c r="H5228" i="1"/>
  <c r="H1233" i="1"/>
  <c r="H1697" i="1"/>
  <c r="H4241" i="1"/>
  <c r="H659" i="1"/>
  <c r="H1902" i="1"/>
  <c r="H3189" i="1"/>
  <c r="H2813" i="1"/>
  <c r="H5078" i="1"/>
  <c r="H1366" i="1"/>
  <c r="H2918" i="1"/>
  <c r="H2890" i="1"/>
  <c r="H1288" i="1"/>
  <c r="H3370" i="1"/>
  <c r="H2860" i="1"/>
  <c r="H2609" i="1"/>
  <c r="H1021" i="1"/>
  <c r="H4744" i="1"/>
  <c r="H62" i="1"/>
  <c r="H1548" i="1"/>
  <c r="H546" i="1"/>
  <c r="H725" i="1"/>
  <c r="H701" i="1"/>
  <c r="H5123" i="1"/>
  <c r="H1077" i="1"/>
  <c r="H992" i="1"/>
  <c r="H3395" i="1"/>
  <c r="H3790" i="1"/>
  <c r="H2634" i="1"/>
  <c r="H4447" i="1"/>
  <c r="H2372" i="1"/>
  <c r="H2679" i="1"/>
  <c r="H4300" i="1"/>
  <c r="H4028" i="1"/>
  <c r="H4166" i="1"/>
  <c r="H1274" i="1"/>
  <c r="H1197" i="1"/>
  <c r="H2754" i="1"/>
  <c r="H4937" i="1"/>
  <c r="H2790" i="1"/>
  <c r="H150" i="1"/>
  <c r="H823" i="1"/>
  <c r="H1024" i="1"/>
  <c r="H4382" i="1"/>
  <c r="H3796" i="1"/>
  <c r="H666" i="1"/>
  <c r="H2717" i="1"/>
  <c r="H4801" i="1"/>
  <c r="H3495" i="1"/>
  <c r="H2485" i="1"/>
  <c r="H3587" i="1"/>
  <c r="H720" i="1"/>
  <c r="H3545" i="1"/>
  <c r="H3105" i="1"/>
  <c r="H1450" i="1"/>
  <c r="H4888" i="1"/>
  <c r="H2181" i="1"/>
  <c r="H3793" i="1"/>
  <c r="H2231" i="1"/>
  <c r="H2178" i="1"/>
  <c r="H1159" i="1"/>
  <c r="H5177" i="1"/>
  <c r="H541" i="1"/>
  <c r="H1177" i="1"/>
  <c r="H2255" i="1"/>
  <c r="H5174" i="1"/>
  <c r="H3464" i="1"/>
  <c r="H3038" i="1"/>
  <c r="H208" i="1"/>
  <c r="H2416" i="1"/>
  <c r="H1053" i="1"/>
  <c r="H1929" i="1"/>
  <c r="H685" i="1"/>
  <c r="H2824" i="1"/>
  <c r="H4240" i="1"/>
  <c r="H4881" i="1"/>
  <c r="H3409" i="1"/>
  <c r="H3049" i="1"/>
  <c r="H3876" i="1"/>
  <c r="H5063" i="1"/>
  <c r="H3100" i="1"/>
  <c r="H1982" i="1"/>
  <c r="H4574" i="1"/>
  <c r="H664" i="1"/>
  <c r="H409" i="1"/>
  <c r="H2367" i="1"/>
  <c r="H932" i="1"/>
  <c r="H864" i="1"/>
  <c r="H1730" i="1"/>
  <c r="H3557" i="1"/>
  <c r="H565" i="1"/>
  <c r="H5084" i="1"/>
  <c r="H5055" i="1"/>
  <c r="H1688" i="1"/>
  <c r="H483" i="1"/>
  <c r="H448" i="1"/>
  <c r="H4636" i="1"/>
  <c r="H2175" i="1"/>
  <c r="H3342" i="1"/>
  <c r="H2137" i="1"/>
  <c r="H4346" i="1"/>
  <c r="H2005" i="1"/>
  <c r="H204" i="1"/>
  <c r="H1436" i="1"/>
  <c r="H674" i="1"/>
  <c r="H1299" i="1"/>
  <c r="H1839" i="1"/>
  <c r="H2607" i="1"/>
  <c r="H4169" i="1"/>
  <c r="H4334" i="1"/>
  <c r="H2723" i="1"/>
  <c r="H3423" i="1"/>
  <c r="H1058" i="1"/>
  <c r="H4369" i="1"/>
  <c r="H4450" i="1"/>
  <c r="H1651" i="1"/>
  <c r="H3131" i="1"/>
  <c r="H315" i="1"/>
  <c r="H2923" i="1"/>
  <c r="H3724" i="1"/>
  <c r="H4793" i="1"/>
  <c r="H5066" i="1"/>
  <c r="H2360" i="1"/>
  <c r="H4299" i="1"/>
  <c r="H1437" i="1"/>
  <c r="H3512" i="1"/>
  <c r="H3350" i="1"/>
  <c r="H883" i="1"/>
  <c r="H945" i="1"/>
  <c r="H4477" i="1"/>
  <c r="H1280" i="1"/>
  <c r="H3903" i="1"/>
  <c r="H5171" i="1"/>
  <c r="H874" i="1"/>
  <c r="H1120" i="1"/>
  <c r="H5067" i="1"/>
  <c r="H2766" i="1"/>
  <c r="H2112" i="1"/>
  <c r="H619" i="1"/>
  <c r="H878" i="1"/>
  <c r="H1914" i="1"/>
  <c r="H4454" i="1"/>
  <c r="H2629" i="1"/>
  <c r="H1872" i="1"/>
  <c r="H2044" i="1"/>
  <c r="H3065" i="1"/>
  <c r="H3844" i="1"/>
  <c r="H368" i="1"/>
  <c r="H39" i="1"/>
  <c r="H1355" i="1"/>
  <c r="H5238" i="1"/>
  <c r="H1365" i="1"/>
  <c r="H4357" i="1"/>
  <c r="H3205" i="1"/>
  <c r="H5230" i="1"/>
  <c r="H1819" i="1"/>
  <c r="H2221" i="1"/>
  <c r="H5206" i="1"/>
  <c r="H3709" i="1"/>
  <c r="H1602" i="1"/>
  <c r="H4120" i="1"/>
  <c r="H953" i="1"/>
  <c r="H4693" i="1"/>
  <c r="H3211" i="1"/>
  <c r="H1559" i="1"/>
  <c r="H3279" i="1"/>
  <c r="H2438" i="1"/>
  <c r="H4322" i="1"/>
  <c r="H2334" i="1"/>
  <c r="H4224" i="1"/>
  <c r="H3666" i="1"/>
  <c r="H3042" i="1"/>
  <c r="H4420" i="1"/>
  <c r="H2939" i="1"/>
  <c r="H3591" i="1"/>
  <c r="H3923" i="1"/>
  <c r="H3295" i="1"/>
  <c r="H3680" i="1"/>
  <c r="H1532" i="1"/>
  <c r="H2640" i="1"/>
  <c r="H2154" i="1"/>
  <c r="H1458" i="1"/>
  <c r="H582" i="1"/>
  <c r="H1215" i="1"/>
  <c r="H3961" i="1"/>
  <c r="H329" i="1"/>
  <c r="H5119" i="1"/>
  <c r="H5241" i="1"/>
  <c r="H2963" i="1"/>
  <c r="H4073" i="1"/>
  <c r="H4154" i="1"/>
  <c r="H1739" i="1"/>
  <c r="H2795" i="1"/>
  <c r="H2955" i="1"/>
  <c r="H2678" i="1"/>
  <c r="H4962" i="1"/>
  <c r="H4676" i="1"/>
  <c r="H3653" i="1"/>
  <c r="H809" i="1"/>
  <c r="H3962" i="1"/>
  <c r="H2200" i="1"/>
  <c r="H1653" i="1"/>
  <c r="H2050" i="1"/>
  <c r="H3300" i="1"/>
  <c r="H1425" i="1"/>
  <c r="H4591" i="1"/>
  <c r="H4398" i="1"/>
  <c r="H789" i="1"/>
  <c r="H94" i="1"/>
  <c r="H54" i="1"/>
  <c r="H4186" i="1"/>
  <c r="H1010" i="1"/>
  <c r="H402" i="1"/>
  <c r="H871" i="1"/>
  <c r="H5027" i="1"/>
  <c r="H1276" i="1"/>
  <c r="H4735" i="1"/>
  <c r="H1117" i="1"/>
  <c r="H3500" i="1"/>
  <c r="H4846" i="1"/>
  <c r="H1385" i="1"/>
  <c r="H4617" i="1"/>
  <c r="H182" i="1"/>
  <c r="H2772" i="1"/>
  <c r="H3274" i="1"/>
  <c r="H3089" i="1"/>
  <c r="H3418" i="1"/>
  <c r="H3344" i="1"/>
  <c r="H3771" i="1"/>
  <c r="H2171" i="1"/>
  <c r="H1654" i="1"/>
  <c r="H2108" i="1"/>
  <c r="H4641" i="1"/>
  <c r="H3920" i="1"/>
  <c r="H2828" i="1"/>
  <c r="H4467" i="1"/>
  <c r="H226" i="1"/>
  <c r="H3600" i="1"/>
  <c r="H2985" i="1"/>
  <c r="H4522" i="1"/>
  <c r="H3517" i="1"/>
  <c r="H581" i="1"/>
  <c r="H5099" i="1"/>
  <c r="H2058" i="1"/>
  <c r="H3917" i="1"/>
  <c r="H1190" i="1"/>
  <c r="H1090" i="1"/>
  <c r="H628" i="1"/>
  <c r="H3959" i="1"/>
  <c r="H4385" i="1"/>
  <c r="H4818" i="1"/>
  <c r="H4039" i="1"/>
  <c r="H1430" i="1"/>
  <c r="H634" i="1"/>
  <c r="H4993" i="1"/>
  <c r="H1514" i="1"/>
  <c r="H2127" i="1"/>
  <c r="H1509" i="1"/>
  <c r="H3688" i="1"/>
  <c r="H4112" i="1"/>
  <c r="H4277" i="1"/>
  <c r="H863" i="1"/>
  <c r="H759" i="1"/>
  <c r="H1992" i="1"/>
  <c r="H3679" i="1"/>
  <c r="H3732" i="1"/>
  <c r="H4329" i="1"/>
  <c r="H1936" i="1"/>
  <c r="H5146" i="1"/>
  <c r="H4064" i="1"/>
  <c r="H2742" i="1"/>
  <c r="H4429" i="1"/>
  <c r="H1734" i="1"/>
  <c r="H3455" i="1"/>
  <c r="H2443" i="1"/>
  <c r="H4528" i="1"/>
  <c r="H3143" i="1"/>
  <c r="H2345" i="1"/>
  <c r="H645" i="1"/>
  <c r="H1767" i="1"/>
  <c r="H844" i="1"/>
  <c r="H1891" i="1"/>
  <c r="H2156" i="1"/>
  <c r="H152" i="1"/>
  <c r="H2843" i="1"/>
  <c r="H4493" i="1"/>
  <c r="H1954" i="1"/>
  <c r="H3741" i="1"/>
  <c r="H5122" i="1"/>
  <c r="H4095" i="1"/>
  <c r="H4497" i="1"/>
  <c r="H2324" i="1"/>
  <c r="H149" i="1"/>
  <c r="H2577" i="1"/>
  <c r="H1874" i="1"/>
  <c r="H623" i="1"/>
  <c r="H4561" i="1"/>
  <c r="H198" i="1"/>
  <c r="H447" i="1"/>
  <c r="H4351" i="1"/>
  <c r="H1699" i="1"/>
  <c r="H2952" i="1"/>
  <c r="H3258" i="1"/>
  <c r="H2406" i="1"/>
  <c r="H1603" i="1"/>
  <c r="H473" i="1"/>
  <c r="H3210" i="1"/>
  <c r="H3214" i="1"/>
  <c r="H4939" i="1"/>
  <c r="H3074" i="1"/>
  <c r="H3037" i="1"/>
  <c r="H421" i="1"/>
  <c r="H4606" i="1"/>
  <c r="H2638" i="1"/>
  <c r="H1801" i="1"/>
  <c r="H568" i="1"/>
  <c r="H264" i="1"/>
  <c r="H1632" i="1"/>
  <c r="H3582" i="1"/>
  <c r="H635" i="1"/>
  <c r="H930" i="1"/>
  <c r="H4749" i="1"/>
  <c r="H1427" i="1"/>
  <c r="H2282" i="1"/>
  <c r="H3570" i="1"/>
  <c r="H487" i="1"/>
  <c r="H398" i="1"/>
  <c r="H1256" i="1"/>
  <c r="H1991" i="1"/>
  <c r="H375" i="1"/>
  <c r="H2500" i="1"/>
  <c r="H2218" i="1"/>
  <c r="H811" i="1"/>
  <c r="H819" i="1"/>
  <c r="H3045" i="1"/>
  <c r="H3335" i="1"/>
  <c r="H1087" i="1"/>
  <c r="H1318" i="1"/>
  <c r="H4359" i="1"/>
  <c r="H982" i="1"/>
  <c r="H4483" i="1"/>
  <c r="H604" i="1"/>
  <c r="H4367" i="1"/>
  <c r="H3275" i="1"/>
  <c r="H4048" i="1"/>
  <c r="H4977" i="1"/>
  <c r="H4780" i="1"/>
  <c r="H2084" i="1"/>
  <c r="H385" i="1"/>
  <c r="H3721" i="1"/>
  <c r="H3745" i="1"/>
  <c r="H2560" i="1"/>
  <c r="H1322" i="1"/>
  <c r="H3686" i="1"/>
  <c r="H1858" i="1"/>
  <c r="H4874" i="1"/>
  <c r="H3488" i="1"/>
  <c r="H4832" i="1"/>
  <c r="H885" i="1"/>
  <c r="H2225" i="1"/>
  <c r="H111" i="1"/>
  <c r="H3322" i="1"/>
  <c r="H2712" i="1"/>
  <c r="H3430" i="1"/>
  <c r="H3486" i="1"/>
  <c r="H5032" i="1"/>
  <c r="H3326" i="1"/>
  <c r="H3476" i="1"/>
  <c r="H4720" i="1"/>
  <c r="H5222" i="1"/>
  <c r="H1609" i="1"/>
  <c r="H915" i="1"/>
  <c r="H2523" i="1"/>
  <c r="H4758" i="1"/>
  <c r="H1619" i="1"/>
  <c r="H3654" i="1"/>
  <c r="H1345" i="1"/>
  <c r="H4096" i="1"/>
  <c r="H2435" i="1"/>
  <c r="H1236" i="1"/>
  <c r="H2378" i="1"/>
  <c r="H328" i="1"/>
  <c r="H4372" i="1"/>
  <c r="H2667" i="1"/>
  <c r="H849" i="1"/>
  <c r="H714" i="1"/>
  <c r="H3164" i="1"/>
  <c r="H3883" i="1"/>
  <c r="H3128" i="1"/>
  <c r="H612" i="1"/>
  <c r="H1308" i="1"/>
  <c r="H3316" i="1"/>
  <c r="H3236" i="1"/>
  <c r="H5187" i="1"/>
  <c r="H3293" i="1"/>
  <c r="H4944" i="1"/>
  <c r="H23" i="1"/>
  <c r="H1415" i="1"/>
  <c r="H2799" i="1"/>
  <c r="H2572" i="1"/>
  <c r="H3783" i="1"/>
  <c r="H2259" i="1"/>
  <c r="H1201" i="1"/>
  <c r="H4" i="1"/>
  <c r="H1086" i="1"/>
  <c r="H2877" i="1"/>
  <c r="H4248" i="1"/>
  <c r="H2237" i="1"/>
  <c r="H5088" i="1"/>
  <c r="H105" i="1"/>
  <c r="H4133" i="1"/>
  <c r="H4038" i="1"/>
  <c r="H1200" i="1"/>
  <c r="H3829" i="1"/>
  <c r="H3466" i="1"/>
  <c r="H2455" i="1"/>
  <c r="H4632" i="1"/>
  <c r="H438" i="1"/>
  <c r="H1078" i="1"/>
  <c r="H3043" i="1"/>
  <c r="H3416" i="1"/>
  <c r="H3522" i="1"/>
  <c r="H4715" i="1"/>
  <c r="H3470" i="1"/>
  <c r="H1944" i="1"/>
  <c r="H129" i="1"/>
  <c r="H3180" i="1"/>
  <c r="H1575" i="1"/>
  <c r="H227" i="1"/>
  <c r="H4271" i="1"/>
  <c r="H2965" i="1"/>
  <c r="H922" i="1"/>
  <c r="H2394" i="1"/>
  <c r="H1525" i="1"/>
  <c r="H3314" i="1"/>
  <c r="H904" i="1"/>
  <c r="H2258" i="1"/>
  <c r="H3231" i="1"/>
  <c r="H913" i="1"/>
  <c r="H3850" i="1"/>
  <c r="H631" i="1"/>
  <c r="H2124" i="1"/>
  <c r="H2917" i="1"/>
  <c r="H3064" i="1"/>
  <c r="H2335" i="1"/>
  <c r="H2550" i="1"/>
  <c r="H802" i="1"/>
  <c r="H2261" i="1"/>
  <c r="H651" i="1"/>
  <c r="H1920" i="1"/>
  <c r="H4165" i="1"/>
  <c r="H561" i="1"/>
  <c r="H3739" i="1"/>
  <c r="H18" i="1"/>
  <c r="H995" i="1"/>
  <c r="H2198" i="1"/>
  <c r="H1210" i="1"/>
  <c r="H2186" i="1"/>
  <c r="H5227" i="1"/>
  <c r="H3958" i="1"/>
  <c r="H3033" i="1"/>
  <c r="H1541" i="1"/>
  <c r="H3723" i="1"/>
  <c r="H337" i="1"/>
  <c r="H4044" i="1"/>
  <c r="H85" i="1"/>
  <c r="H2220" i="1"/>
  <c r="H2501" i="1"/>
  <c r="H3385" i="1"/>
  <c r="H4302" i="1"/>
  <c r="H4427" i="1"/>
  <c r="H4116" i="1"/>
  <c r="H3810" i="1"/>
  <c r="H1237" i="1"/>
  <c r="H2487" i="1"/>
  <c r="H2475" i="1"/>
  <c r="H4514" i="1"/>
  <c r="H4661" i="1"/>
  <c r="H5058" i="1"/>
  <c r="H3108" i="1"/>
  <c r="H3713" i="1"/>
  <c r="H3861" i="1"/>
  <c r="H2400" i="1"/>
  <c r="H4669" i="1"/>
  <c r="H851" i="1"/>
  <c r="H611" i="1"/>
  <c r="H2913" i="1"/>
  <c r="H4291" i="1"/>
  <c r="H301" i="1"/>
  <c r="H5135" i="1"/>
  <c r="H224" i="1"/>
  <c r="H741" i="1"/>
  <c r="H1931" i="1"/>
  <c r="H3159" i="1"/>
  <c r="H4619" i="1"/>
  <c r="H3146" i="1"/>
  <c r="H1711" i="1"/>
  <c r="H3736" i="1"/>
  <c r="H1469" i="1"/>
  <c r="H3896" i="1"/>
  <c r="H2863" i="1"/>
  <c r="H4764" i="1"/>
  <c r="H2138" i="1"/>
  <c r="H4997" i="1"/>
  <c r="H1167" i="1"/>
  <c r="H4024" i="1"/>
  <c r="H1472" i="1"/>
  <c r="H3437" i="1"/>
  <c r="H5164" i="1"/>
  <c r="H2989" i="1"/>
  <c r="H267" i="1"/>
  <c r="H3008" i="1"/>
  <c r="H4489" i="1"/>
  <c r="H4107" i="1"/>
  <c r="H2697" i="1"/>
  <c r="H3992" i="1"/>
  <c r="H694" i="1"/>
  <c r="H2304" i="1"/>
  <c r="H2639" i="1"/>
  <c r="H2809" i="1"/>
  <c r="H7" i="1"/>
  <c r="H5165" i="1"/>
  <c r="H2070" i="1"/>
  <c r="H1079" i="1"/>
  <c r="H4610" i="1"/>
  <c r="H4037" i="1"/>
  <c r="H1068" i="1"/>
  <c r="H5236" i="1"/>
  <c r="H66" i="1"/>
  <c r="H3201" i="1"/>
  <c r="H5204" i="1"/>
  <c r="H3513" i="1"/>
  <c r="H4739" i="1"/>
  <c r="H693" i="1"/>
  <c r="H4519" i="1"/>
  <c r="H4182" i="1"/>
  <c r="H4153" i="1"/>
  <c r="H1709" i="1"/>
  <c r="H4981" i="1"/>
  <c r="H3092" i="1"/>
  <c r="H3436" i="1"/>
  <c r="H5214" i="1"/>
  <c r="H1805" i="1"/>
  <c r="H21" i="1"/>
  <c r="H4161" i="1"/>
  <c r="H751" i="1"/>
  <c r="H1502" i="1"/>
  <c r="H2209" i="1"/>
  <c r="H661" i="1"/>
  <c r="H1286" i="1"/>
  <c r="H1216" i="1"/>
  <c r="H296" i="1"/>
  <c r="H3029" i="1"/>
  <c r="H2823" i="1"/>
  <c r="H1893" i="1"/>
  <c r="H795" i="1"/>
  <c r="H5155" i="1"/>
  <c r="H4816" i="1"/>
  <c r="H3855" i="1"/>
  <c r="H2264" i="1"/>
  <c r="H1900" i="1"/>
  <c r="H4783" i="1"/>
  <c r="H1258" i="1"/>
  <c r="H3398" i="1"/>
  <c r="H2782" i="1"/>
  <c r="H3501" i="1"/>
  <c r="H493" i="1"/>
  <c r="H229" i="1"/>
  <c r="H784" i="1"/>
  <c r="H2725" i="1"/>
  <c r="H2547" i="1"/>
  <c r="H4361" i="1"/>
  <c r="H97" i="1"/>
  <c r="H3132" i="1"/>
  <c r="H1488" i="1"/>
  <c r="H1624" i="1"/>
  <c r="H810" i="1"/>
  <c r="H1380" i="1"/>
  <c r="H367" i="1"/>
  <c r="H1777" i="1"/>
  <c r="H3824" i="1"/>
  <c r="H676" i="1"/>
  <c r="H5093" i="1"/>
  <c r="H5091" i="1"/>
  <c r="H4074" i="1"/>
  <c r="H5004" i="1"/>
  <c r="H2771" i="1"/>
  <c r="H2912" i="1"/>
  <c r="H3082" i="1"/>
  <c r="H836" i="1"/>
  <c r="H4889" i="1"/>
  <c r="H1686" i="1"/>
  <c r="H3769" i="1"/>
  <c r="H3079" i="1"/>
  <c r="H5126" i="1"/>
  <c r="H1142" i="1"/>
  <c r="H3269" i="1"/>
  <c r="H824" i="1"/>
  <c r="H1836" i="1"/>
  <c r="H3852" i="1"/>
  <c r="H5188" i="1"/>
  <c r="H4025" i="1"/>
  <c r="H3794" i="1"/>
  <c r="H2820" i="1"/>
  <c r="H4077" i="1"/>
  <c r="H287" i="1"/>
  <c r="H1271" i="1"/>
  <c r="H3856" i="1"/>
  <c r="H210" i="1"/>
  <c r="H1759" i="1"/>
  <c r="H252" i="1"/>
  <c r="H3186" i="1"/>
  <c r="H1337" i="1"/>
  <c r="H1793" i="1"/>
  <c r="H1312" i="1"/>
  <c r="H2655" i="1"/>
  <c r="H4106" i="1"/>
  <c r="H769" i="1"/>
  <c r="H446" i="1"/>
  <c r="H3596" i="1"/>
  <c r="H4965" i="1"/>
  <c r="H3740" i="1"/>
  <c r="H2818" i="1"/>
  <c r="H2855" i="1"/>
  <c r="H5156" i="1"/>
  <c r="H1384" i="1"/>
  <c r="H1754" i="1"/>
  <c r="H5037" i="1"/>
  <c r="H1625" i="1"/>
  <c r="H2268" i="1"/>
  <c r="H5051" i="1"/>
  <c r="H2874" i="1"/>
  <c r="H3226" i="1"/>
  <c r="H5215" i="1"/>
  <c r="H2921" i="1"/>
  <c r="H44" i="1"/>
  <c r="H3785" i="1"/>
  <c r="H966" i="1"/>
  <c r="H2377" i="1"/>
  <c r="H3776" i="1"/>
  <c r="H1307" i="1"/>
  <c r="H1046" i="1"/>
  <c r="H2404" i="1"/>
  <c r="H2957" i="1"/>
  <c r="H3708" i="1"/>
  <c r="H3580" i="1"/>
  <c r="H1067" i="1"/>
  <c r="H3986" i="1"/>
  <c r="H2176" i="1"/>
  <c r="H1961" i="1"/>
  <c r="H72" i="1"/>
  <c r="H1241" i="1"/>
  <c r="H243" i="1"/>
  <c r="H658" i="1"/>
  <c r="H2856" i="1"/>
  <c r="H2251" i="1"/>
  <c r="H829" i="1"/>
  <c r="H408" i="1"/>
  <c r="H1568" i="1"/>
  <c r="H3963" i="1"/>
  <c r="H2784" i="1"/>
  <c r="H1666" i="1"/>
  <c r="H2483" i="1"/>
  <c r="H3447" i="1"/>
  <c r="H2508" i="1"/>
  <c r="H1374" i="1"/>
  <c r="H1884" i="1"/>
  <c r="H4745" i="1"/>
  <c r="H3112" i="1"/>
  <c r="H249" i="1"/>
  <c r="H3429" i="1"/>
  <c r="H5205" i="1"/>
  <c r="H3643" i="1"/>
  <c r="H5196" i="1"/>
  <c r="H1398" i="1"/>
  <c r="H1119" i="1"/>
  <c r="H3050" i="1"/>
  <c r="H5042" i="1"/>
  <c r="H975" i="1"/>
  <c r="H165" i="1"/>
  <c r="H4469" i="1"/>
  <c r="H3225" i="1"/>
  <c r="H657" i="1"/>
  <c r="H4786" i="1"/>
  <c r="H4592" i="1"/>
  <c r="H1564" i="1"/>
  <c r="H875" i="1"/>
  <c r="H2683" i="1"/>
  <c r="H5081" i="1"/>
  <c r="H390" i="1"/>
  <c r="H2720" i="1"/>
  <c r="H3391" i="1"/>
  <c r="H3947" i="1"/>
  <c r="H524" i="1"/>
  <c r="H4821" i="1"/>
  <c r="H2168" i="1"/>
  <c r="H1102" i="1"/>
  <c r="H3614" i="1"/>
  <c r="H4097" i="1"/>
  <c r="H2516" i="1"/>
  <c r="H3526" i="1"/>
  <c r="H708" i="1"/>
  <c r="H480" i="1"/>
  <c r="H1646" i="1"/>
  <c r="H2023" i="1"/>
  <c r="H2204" i="1"/>
  <c r="H3528" i="1"/>
  <c r="H2096" i="1"/>
  <c r="H5147" i="1"/>
  <c r="H2530" i="1"/>
  <c r="H3289" i="1"/>
  <c r="H2188" i="1"/>
  <c r="H4896" i="1"/>
  <c r="H926" i="1"/>
  <c r="H4283" i="1"/>
  <c r="H3974" i="1"/>
  <c r="H5005" i="1"/>
  <c r="H1640" i="1"/>
  <c r="H2214" i="1"/>
  <c r="H3317" i="1"/>
  <c r="H2337" i="1"/>
  <c r="H677" i="1"/>
  <c r="H3287" i="1"/>
  <c r="H2031" i="1"/>
  <c r="H3864" i="1"/>
  <c r="H3603" i="1"/>
  <c r="H5044" i="1"/>
  <c r="H1650" i="1"/>
  <c r="H170" i="1"/>
  <c r="H3894" i="1"/>
  <c r="H3017" i="1"/>
  <c r="H2751" i="1"/>
  <c r="H4774" i="1"/>
  <c r="H5011" i="1"/>
  <c r="H1091" i="1"/>
  <c r="H2037" i="1"/>
  <c r="H3949" i="1"/>
  <c r="H376" i="1"/>
  <c r="H3324" i="1"/>
  <c r="H3657" i="1"/>
  <c r="H703" i="1"/>
  <c r="H241" i="1"/>
  <c r="H3270" i="1"/>
  <c r="H4727" i="1"/>
  <c r="H3101" i="1"/>
  <c r="H1260" i="1"/>
  <c r="H5149" i="1"/>
  <c r="H730" i="1"/>
  <c r="H717" i="1"/>
  <c r="H1828" i="1"/>
  <c r="H955" i="1"/>
  <c r="H704" i="1"/>
  <c r="H1604" i="1"/>
  <c r="H2599" i="1"/>
  <c r="H3809" i="1"/>
  <c r="H3257" i="1"/>
  <c r="H1199" i="1"/>
  <c r="H4414" i="1"/>
  <c r="H4000" i="1"/>
  <c r="H2535" i="1"/>
  <c r="H139" i="1"/>
  <c r="H4057" i="1"/>
  <c r="H1015" i="1"/>
  <c r="H320" i="1"/>
  <c r="H5217" i="1"/>
  <c r="H220" i="1"/>
  <c r="H3352" i="1"/>
  <c r="H3660" i="1"/>
  <c r="H3841" i="1"/>
  <c r="H2133" i="1"/>
  <c r="H3624" i="1"/>
  <c r="H1799" i="1"/>
  <c r="H1393" i="1"/>
  <c r="H2888" i="1"/>
  <c r="H3845" i="1"/>
  <c r="H2953" i="1"/>
  <c r="H2403" i="1"/>
  <c r="H1841" i="1"/>
  <c r="H1030" i="1"/>
  <c r="H3731" i="1"/>
  <c r="H3606" i="1"/>
  <c r="H3620" i="1"/>
  <c r="H3764" i="1"/>
  <c r="H3175" i="1"/>
  <c r="H3540" i="1"/>
  <c r="H887" i="1"/>
  <c r="H3639" i="1"/>
  <c r="H1418" i="1"/>
  <c r="H2073" i="1"/>
  <c r="H5132" i="1"/>
  <c r="H803" i="1"/>
  <c r="H3863" i="1"/>
  <c r="H2382" i="1"/>
  <c r="H4642" i="1"/>
  <c r="H322" i="1"/>
  <c r="H4262" i="1"/>
  <c r="H271" i="1"/>
  <c r="H1339" i="1"/>
  <c r="H3268" i="1"/>
  <c r="H4877" i="1"/>
  <c r="H4042" i="1"/>
  <c r="H3157" i="1"/>
  <c r="H193" i="1"/>
  <c r="H3494" i="1"/>
  <c r="H3093" i="1"/>
  <c r="H697" i="1"/>
  <c r="H4004" i="1"/>
  <c r="H2598" i="1"/>
  <c r="H1144" i="1"/>
  <c r="H4614" i="1"/>
  <c r="H1909" i="1"/>
  <c r="H4938" i="1"/>
  <c r="H2152" i="1"/>
  <c r="H1691" i="1"/>
  <c r="H1542" i="1"/>
  <c r="H3431" i="1"/>
  <c r="H4572" i="1"/>
  <c r="H10" i="1"/>
  <c r="H3206" i="1"/>
  <c r="H86" i="1"/>
  <c r="H798" i="1"/>
  <c r="H5127" i="1"/>
  <c r="H2593" i="1"/>
  <c r="H3816" i="1"/>
  <c r="H3080" i="1"/>
  <c r="H4121" i="1"/>
  <c r="H3762" i="1"/>
  <c r="H2845" i="1"/>
  <c r="H4102" i="1"/>
  <c r="H3196" i="1"/>
  <c r="H556" i="1"/>
  <c r="H4743" i="1"/>
  <c r="H3012" i="1"/>
  <c r="H4566" i="1"/>
  <c r="H1924" i="1"/>
  <c r="H3217" i="1"/>
  <c r="H508" i="1"/>
  <c r="H1580" i="1"/>
  <c r="H3505" i="1"/>
  <c r="H4549" i="1"/>
  <c r="H5104" i="1"/>
  <c r="H3853" i="1"/>
  <c r="H259" i="1"/>
  <c r="H434" i="1"/>
  <c r="H4649" i="1"/>
  <c r="H852" i="1"/>
  <c r="H3504" i="1"/>
  <c r="H52" i="1"/>
  <c r="H1794" i="1"/>
  <c r="H2244" i="1"/>
  <c r="H4062" i="1"/>
  <c r="H1760" i="1"/>
  <c r="H3309" i="1"/>
  <c r="H1724" i="1"/>
  <c r="H4865" i="1"/>
  <c r="H3508" i="1"/>
  <c r="H4539" i="1"/>
  <c r="H1554" i="1"/>
  <c r="H1866" i="1"/>
  <c r="H1636" i="1"/>
  <c r="H1222" i="1"/>
  <c r="H882" i="1"/>
  <c r="H3652" i="1"/>
  <c r="H4243" i="1"/>
  <c r="H2732" i="1"/>
  <c r="H3647" i="1"/>
  <c r="H4075" i="1"/>
  <c r="H2040" i="1"/>
  <c r="H711" i="1"/>
  <c r="H356" i="1"/>
  <c r="H2343" i="1"/>
  <c r="H2693" i="1"/>
  <c r="H3524" i="1"/>
  <c r="H3397" i="1"/>
  <c r="H3642" i="1"/>
  <c r="H253" i="1"/>
  <c r="H4137" i="1"/>
  <c r="H3665" i="1"/>
  <c r="H3347" i="1"/>
  <c r="H3744" i="1"/>
  <c r="H2951" i="1"/>
  <c r="H3998" i="1"/>
  <c r="H506" i="1"/>
  <c r="H2851" i="1"/>
  <c r="H4945" i="1"/>
  <c r="H919" i="1"/>
  <c r="H1085" i="1"/>
  <c r="H5050" i="1"/>
  <c r="H3718" i="1"/>
  <c r="H1530" i="1"/>
  <c r="H622" i="1"/>
  <c r="H1947" i="1"/>
  <c r="H4449" i="1"/>
  <c r="H4834" i="1"/>
  <c r="H4513" i="1"/>
  <c r="H3439" i="1"/>
  <c r="H3684" i="1"/>
  <c r="H5166" i="1"/>
  <c r="H1692" i="1"/>
  <c r="H4852" i="1"/>
  <c r="H4658" i="1"/>
  <c r="H1592" i="1"/>
  <c r="H1732" i="1"/>
  <c r="H815" i="1"/>
  <c r="H4586" i="1"/>
  <c r="H4470" i="1"/>
  <c r="H3543" i="1"/>
  <c r="H1527" i="1"/>
  <c r="H1368" i="1"/>
  <c r="H1485" i="1"/>
  <c r="H4258" i="1"/>
  <c r="H1779" i="1"/>
  <c r="H1252" i="1"/>
  <c r="H46" i="1"/>
  <c r="H747" i="1"/>
  <c r="H4320" i="1"/>
  <c r="H4747" i="1"/>
  <c r="H715" i="1"/>
  <c r="H466" i="1"/>
  <c r="H2542" i="1"/>
  <c r="H3375" i="1"/>
  <c r="H2090" i="1"/>
  <c r="H644" i="1"/>
  <c r="H75" i="1"/>
  <c r="H757" i="1"/>
  <c r="H4895" i="1"/>
  <c r="H4018" i="1"/>
  <c r="H2802" i="1"/>
  <c r="H4122" i="1"/>
  <c r="H361" i="1"/>
  <c r="H2410" i="1"/>
  <c r="H2081" i="1"/>
  <c r="H1950" i="1"/>
  <c r="H4692" i="1"/>
  <c r="H1462" i="1"/>
  <c r="H2974" i="1"/>
  <c r="H5169" i="1"/>
  <c r="H4046" i="1"/>
  <c r="H2551" i="1"/>
  <c r="H4795" i="1"/>
  <c r="H4613" i="1"/>
  <c r="H4863" i="1"/>
  <c r="H4083" i="1"/>
  <c r="H756" i="1"/>
  <c r="H5041" i="1"/>
  <c r="H1867" i="1"/>
  <c r="H1543" i="1"/>
  <c r="H4238" i="1"/>
  <c r="H4388" i="1"/>
  <c r="H3825" i="1"/>
  <c r="H482" i="1"/>
  <c r="H2533" i="1"/>
  <c r="H283" i="1"/>
  <c r="H4856" i="1"/>
  <c r="H3506" i="1"/>
  <c r="H513" i="1"/>
  <c r="H3635" i="1"/>
  <c r="H419" i="1"/>
  <c r="H527" i="1"/>
  <c r="H3151" i="1"/>
  <c r="H2545" i="1"/>
  <c r="H4933" i="1"/>
  <c r="H2092" i="1"/>
  <c r="H2365" i="1"/>
  <c r="H11" i="1"/>
  <c r="H1493" i="1"/>
  <c r="H3622" i="1"/>
  <c r="H1700" i="1"/>
  <c r="H2666" i="1"/>
  <c r="H535" i="1"/>
  <c r="H384" i="1"/>
  <c r="H3584" i="1"/>
  <c r="H4391" i="1"/>
  <c r="H3496" i="1"/>
  <c r="H3072" i="1"/>
  <c r="H834" i="1"/>
  <c r="H3619" i="1"/>
  <c r="H696" i="1"/>
  <c r="H610" i="1"/>
  <c r="H3462" i="1"/>
  <c r="H134" i="1"/>
  <c r="H4349" i="1"/>
  <c r="H1293" i="1"/>
  <c r="H1600" i="1"/>
  <c r="H5077" i="1"/>
  <c r="H860" i="1"/>
  <c r="H1922" i="1"/>
  <c r="H1423" i="1"/>
  <c r="H3971" i="1"/>
  <c r="H1510" i="1"/>
  <c r="H5124" i="1"/>
  <c r="H3233" i="1"/>
  <c r="H3380" i="1"/>
  <c r="H3672" i="1"/>
  <c r="H698" i="1"/>
  <c r="H3656" i="1"/>
  <c r="H727" i="1"/>
  <c r="H4565" i="1"/>
  <c r="H630" i="1"/>
  <c r="H5106" i="1"/>
  <c r="H1512" i="1"/>
  <c r="H3446" i="1"/>
  <c r="H1402" i="1"/>
  <c r="H73" i="1"/>
  <c r="H3979" i="1"/>
  <c r="H1300" i="1"/>
  <c r="H3433" i="1"/>
  <c r="H276" i="1"/>
  <c r="H2228" i="1"/>
  <c r="H1669" i="1"/>
  <c r="H2567" i="1"/>
  <c r="H1749" i="1"/>
  <c r="H3442" i="1"/>
  <c r="H499" i="1"/>
  <c r="H3212" i="1"/>
  <c r="H2626" i="1"/>
  <c r="H1746" i="1"/>
  <c r="H5001" i="1"/>
  <c r="H3252" i="1"/>
  <c r="H2111" i="1"/>
  <c r="H1560" i="1"/>
  <c r="H5094" i="1"/>
  <c r="H3519" i="1"/>
  <c r="H1778" i="1"/>
  <c r="H2316" i="1"/>
  <c r="H4534" i="1"/>
  <c r="H3176" i="1"/>
  <c r="H943" i="1"/>
  <c r="H1752" i="1"/>
  <c r="H2540" i="1"/>
  <c r="H2100" i="1"/>
  <c r="H4872" i="1"/>
  <c r="H427" i="1"/>
  <c r="H1022" i="1"/>
  <c r="H906" i="1"/>
  <c r="H2414" i="1"/>
  <c r="H3753" i="1"/>
  <c r="H548" i="1"/>
  <c r="H3485" i="1"/>
  <c r="H3228" i="1"/>
  <c r="H1804" i="1"/>
  <c r="H141" i="1"/>
  <c r="H1771" i="1"/>
  <c r="H1610" i="1"/>
  <c r="H1809" i="1"/>
  <c r="H4231" i="1"/>
  <c r="H870" i="1"/>
  <c r="H1545" i="1"/>
  <c r="H317" i="1"/>
  <c r="H5013" i="1"/>
  <c r="H2926" i="1"/>
  <c r="H4222" i="1"/>
  <c r="H2055" i="1"/>
  <c r="H1747" i="1"/>
  <c r="H2101" i="1"/>
  <c r="H504" i="1"/>
  <c r="H3981" i="1"/>
  <c r="H1712" i="1"/>
  <c r="H371" i="1"/>
  <c r="H4726" i="1"/>
  <c r="H4393" i="1"/>
  <c r="H3650" i="1"/>
  <c r="H1628" i="1"/>
  <c r="H123" i="1"/>
  <c r="H1981" i="1"/>
  <c r="H2366" i="1"/>
  <c r="H832" i="1"/>
  <c r="H2929" i="1"/>
  <c r="H977" i="1"/>
  <c r="H194" i="1"/>
  <c r="H2773" i="1"/>
  <c r="H401" i="1"/>
  <c r="H4647" i="1"/>
  <c r="H1157" i="1"/>
  <c r="H4717" i="1"/>
  <c r="H3988" i="1"/>
  <c r="H2436" i="1"/>
  <c r="H1736" i="1"/>
  <c r="H4655" i="1"/>
  <c r="H1827" i="1"/>
  <c r="H5064" i="1"/>
  <c r="H2835" i="1"/>
  <c r="H4967" i="1"/>
  <c r="H3399" i="1"/>
  <c r="H1986" i="1"/>
  <c r="H3714" i="1"/>
  <c r="H169" i="1"/>
  <c r="H1702" i="1"/>
  <c r="H1679" i="1"/>
  <c r="H2504" i="1"/>
  <c r="H1907" i="1"/>
  <c r="H1552" i="1"/>
  <c r="H4368" i="1"/>
  <c r="H1048" i="1"/>
  <c r="H3537" i="1"/>
  <c r="H572" i="1"/>
  <c r="H4003" i="1"/>
  <c r="H3126" i="1"/>
  <c r="H341" i="1"/>
  <c r="H1483" i="1"/>
  <c r="H47" i="1"/>
  <c r="H3239" i="1"/>
  <c r="H199" i="1"/>
  <c r="H89" i="1"/>
  <c r="H2212" i="1"/>
  <c r="H1842" i="1"/>
  <c r="H3610" i="1"/>
  <c r="H2837" i="1"/>
  <c r="H3011" i="1"/>
  <c r="H2925" i="1"/>
  <c r="H3265" i="1"/>
  <c r="H2353" i="1"/>
  <c r="H4955" i="1"/>
  <c r="H2067" i="1"/>
  <c r="H3628" i="1"/>
  <c r="H4831" i="1"/>
  <c r="H4204" i="1"/>
  <c r="H258" i="1"/>
  <c r="H4443" i="1"/>
  <c r="H3253" i="1"/>
  <c r="H3967" i="1"/>
  <c r="H2417" i="1"/>
  <c r="H417" i="1"/>
  <c r="H1505" i="1"/>
  <c r="H1831" i="1"/>
  <c r="H2021" i="1"/>
  <c r="H3814" i="1"/>
  <c r="H951" i="1"/>
  <c r="H3902" i="1"/>
  <c r="H479" i="1"/>
  <c r="H3357" i="1"/>
  <c r="H1150" i="1"/>
  <c r="H673" i="1"/>
  <c r="H2145" i="1"/>
  <c r="H1131" i="1"/>
  <c r="H4942" i="1"/>
  <c r="H3757" i="1"/>
  <c r="H1334" i="1"/>
  <c r="H2361" i="1"/>
  <c r="H1212" i="1"/>
  <c r="H4328" i="1"/>
  <c r="H3014" i="1"/>
  <c r="H4668" i="1"/>
  <c r="H3975" i="1"/>
  <c r="H1081" i="1"/>
  <c r="H30" i="1"/>
  <c r="H1816" i="1"/>
  <c r="H4543" i="1"/>
  <c r="H4478" i="1"/>
  <c r="H721" i="1"/>
  <c r="H3615" i="1"/>
  <c r="H3787" i="1"/>
  <c r="H3697" i="1"/>
  <c r="H5234" i="1"/>
  <c r="H4267" i="1"/>
  <c r="H4113" i="1"/>
  <c r="H1149" i="1"/>
  <c r="H4092" i="1"/>
  <c r="H2146" i="1"/>
  <c r="H2120" i="1"/>
  <c r="H3264" i="1"/>
  <c r="H476" i="1"/>
  <c r="H1912" i="1"/>
  <c r="H807" i="1"/>
  <c r="H1611" i="1"/>
  <c r="H3305" i="1"/>
  <c r="H391" i="1"/>
  <c r="H2909" i="1"/>
  <c r="H2583" i="1"/>
  <c r="H1006" i="1"/>
  <c r="H1518" i="1"/>
  <c r="H137" i="1"/>
  <c r="H3972" i="1"/>
  <c r="H2098" i="1"/>
  <c r="H1244" i="1"/>
  <c r="H4814" i="1"/>
  <c r="H4061" i="1"/>
  <c r="H4434" i="1"/>
  <c r="H3371" i="1"/>
  <c r="H4674" i="1"/>
  <c r="H2804" i="1"/>
  <c r="H4844" i="1"/>
  <c r="H2298" i="1"/>
  <c r="H2262" i="1"/>
  <c r="H484" i="1"/>
  <c r="H4573" i="1"/>
  <c r="H1097" i="1"/>
  <c r="H3725" i="1"/>
  <c r="H1533" i="1"/>
  <c r="H639" i="1"/>
  <c r="H835" i="1"/>
  <c r="H5121" i="1"/>
  <c r="H4409" i="1"/>
  <c r="H924" i="1"/>
  <c r="H637" i="1"/>
  <c r="H889" i="1"/>
  <c r="H2226" i="1"/>
  <c r="H3123" i="1"/>
  <c r="H1138" i="1"/>
  <c r="H4272" i="1"/>
  <c r="H4440" i="1"/>
  <c r="H1662" i="1"/>
  <c r="H4015" i="1"/>
  <c r="H900" i="1"/>
  <c r="H4331" i="1"/>
  <c r="H2480" i="1"/>
  <c r="H510" i="1"/>
  <c r="H2280" i="1"/>
  <c r="H1703" i="1"/>
  <c r="H638" i="1"/>
  <c r="H4767" i="1"/>
  <c r="H1878" i="1"/>
  <c r="H1438" i="1"/>
  <c r="H4635" i="1"/>
  <c r="H3560" i="1"/>
  <c r="H1565" i="1"/>
  <c r="H4053" i="1"/>
  <c r="H453" i="1"/>
  <c r="H5035" i="1"/>
  <c r="H1386" i="1"/>
  <c r="H4611" i="1"/>
  <c r="H292" i="1"/>
  <c r="H4796" i="1"/>
  <c r="H4884" i="1"/>
  <c r="H4129" i="1"/>
  <c r="H3553" i="1"/>
  <c r="H5018" i="1"/>
  <c r="H1516" i="1"/>
  <c r="H90" i="1"/>
  <c r="H688" i="1"/>
  <c r="H3765" i="1"/>
  <c r="H1758" i="1"/>
  <c r="H2810" i="1"/>
  <c r="H454" i="1"/>
  <c r="H4462" i="1"/>
  <c r="H5003" i="1"/>
  <c r="H1072" i="1"/>
  <c r="H1412" i="1"/>
  <c r="H342" i="1"/>
  <c r="H2681" i="1"/>
  <c r="H1227" i="1"/>
  <c r="H1566" i="1"/>
  <c r="H2465" i="1"/>
  <c r="H343" i="1"/>
  <c r="H3365" i="1"/>
  <c r="H1169" i="1"/>
  <c r="H1718" i="1"/>
  <c r="H1183" i="1"/>
  <c r="H5142" i="1"/>
  <c r="H2139" i="1"/>
  <c r="H3966" i="1"/>
  <c r="H791" i="1"/>
  <c r="H4363" i="1"/>
  <c r="H4633" i="1"/>
  <c r="H2319" i="1"/>
  <c r="H1825" i="1"/>
  <c r="H70" i="1"/>
  <c r="H31" i="1"/>
  <c r="H6" i="1"/>
  <c r="H2359" i="1"/>
  <c r="H941" i="1"/>
  <c r="H1885" i="1"/>
  <c r="H429" i="1"/>
  <c r="H4150" i="1"/>
  <c r="H2467" i="1"/>
  <c r="H2676" i="1"/>
  <c r="H24" i="1"/>
  <c r="H2105" i="1"/>
  <c r="H1971" i="1"/>
  <c r="H2147" i="1"/>
  <c r="H3589" i="1"/>
  <c r="H2588" i="1"/>
  <c r="H648" i="1"/>
  <c r="H554" i="1"/>
  <c r="H4323" i="1"/>
  <c r="H1626" i="1"/>
  <c r="H4859" i="1"/>
  <c r="H965" i="1"/>
  <c r="H3194" i="1"/>
  <c r="H3299" i="1"/>
  <c r="H2687" i="1"/>
  <c r="H4212" i="1"/>
  <c r="H1461" i="1"/>
  <c r="H3728" i="1"/>
  <c r="H4339" i="1"/>
  <c r="H2554" i="1"/>
  <c r="H2762" i="1"/>
  <c r="H1919" i="1"/>
  <c r="H155" i="1"/>
  <c r="H2300" i="1"/>
  <c r="H1522" i="1"/>
  <c r="H1283" i="1"/>
  <c r="H307" i="1"/>
  <c r="H1665" i="1"/>
  <c r="H4205" i="1"/>
  <c r="H235" i="1"/>
  <c r="H890" i="1"/>
  <c r="H2563" i="1"/>
  <c r="H2482" i="1"/>
  <c r="H4040" i="1"/>
  <c r="H2235" i="1"/>
  <c r="H124" i="1"/>
  <c r="H4399" i="1"/>
  <c r="H1639" i="1"/>
  <c r="H972" i="1"/>
  <c r="H3631" i="1"/>
  <c r="H536" i="1"/>
  <c r="H545" i="1"/>
  <c r="H3865" i="1"/>
  <c r="H2" i="1"/>
  <c r="H4558" i="1"/>
  <c r="H2688" i="1"/>
  <c r="H1773" i="1"/>
  <c r="H1918" i="1"/>
  <c r="H2657" i="1"/>
  <c r="H2399" i="1"/>
  <c r="H840" i="1"/>
  <c r="H2864" i="1"/>
  <c r="H1417" i="1"/>
  <c r="H492" i="1"/>
  <c r="H899" i="1"/>
  <c r="H2109" i="1"/>
  <c r="H1336" i="1"/>
  <c r="H2708" i="1"/>
  <c r="H2659" i="1"/>
  <c r="H3630" i="1"/>
  <c r="H2872" i="1"/>
  <c r="H99" i="1"/>
  <c r="H407" i="1"/>
  <c r="H5179" i="1"/>
  <c r="H1106" i="1"/>
  <c r="H273" i="1"/>
  <c r="H3692" i="1"/>
  <c r="H1928" i="1"/>
  <c r="H771" i="1"/>
  <c r="H4535" i="1"/>
  <c r="H114" i="1"/>
  <c r="H3770" i="1"/>
  <c r="H1601" i="1"/>
  <c r="H1664" i="1"/>
  <c r="H562" i="1"/>
  <c r="H1009" i="1"/>
  <c r="H2306" i="1"/>
  <c r="H3608" i="1"/>
  <c r="H3775" i="1"/>
  <c r="H1333" i="1"/>
  <c r="H327" i="1"/>
  <c r="H2565" i="1"/>
  <c r="H5045" i="1"/>
  <c r="H4232" i="1"/>
  <c r="H2293" i="1"/>
  <c r="H2072" i="1"/>
  <c r="H4511" i="1"/>
  <c r="H3066" i="1"/>
  <c r="H3780" i="1"/>
  <c r="H3190" i="1"/>
  <c r="H2445" i="1"/>
  <c r="H3987" i="1"/>
  <c r="H3554" i="1"/>
  <c r="H2312" i="1"/>
  <c r="H2575" i="1"/>
  <c r="H4496" i="1"/>
  <c r="H1774" i="1"/>
  <c r="H3273" i="1"/>
  <c r="H649" i="1"/>
  <c r="H1115" i="1"/>
  <c r="H1377" i="1"/>
  <c r="H1014" i="1"/>
  <c r="H3598" i="1"/>
  <c r="H4160" i="1"/>
  <c r="H672" i="1"/>
  <c r="H2619" i="1"/>
  <c r="H38" i="1"/>
  <c r="H4045" i="1"/>
  <c r="H3649" i="1"/>
  <c r="H118" i="1"/>
  <c r="H2702" i="1"/>
  <c r="H1952" i="1"/>
  <c r="H2344" i="1"/>
  <c r="H3521" i="1"/>
  <c r="H4773" i="1"/>
  <c r="H5224" i="1"/>
  <c r="H1889" i="1"/>
  <c r="H3701" i="1"/>
  <c r="H34" i="1"/>
  <c r="H2011" i="1"/>
  <c r="H4502" i="1"/>
  <c r="H3134" i="1"/>
  <c r="H3872" i="1"/>
  <c r="H4673" i="1"/>
  <c r="H1772" i="1"/>
  <c r="H1567" i="1"/>
  <c r="H192" i="1"/>
  <c r="H1707" i="1"/>
  <c r="H2915" i="1"/>
  <c r="H1501" i="1"/>
  <c r="H3465" i="1"/>
  <c r="H1745" i="1"/>
  <c r="H1731" i="1"/>
  <c r="H2841" i="1"/>
  <c r="H854" i="1"/>
  <c r="H4445" i="1"/>
  <c r="H3019" i="1"/>
  <c r="H3441" i="1"/>
  <c r="H1431" i="1"/>
  <c r="H2217" i="1"/>
  <c r="H4379" i="1"/>
  <c r="H4295" i="1"/>
  <c r="H3926" i="1"/>
  <c r="H4348" i="1"/>
  <c r="H4825" i="1"/>
  <c r="H2847" i="1"/>
  <c r="H394" i="1"/>
  <c r="H2320" i="1"/>
  <c r="H3857" i="1"/>
  <c r="H3667" i="1"/>
  <c r="H684" i="1"/>
  <c r="H2716" i="1"/>
  <c r="H609" i="1"/>
  <c r="H2694" i="1"/>
  <c r="H964" i="1"/>
  <c r="H1764" i="1"/>
  <c r="H2743" i="1"/>
  <c r="H278" i="1"/>
  <c r="H2736" i="1"/>
  <c r="H4677" i="1"/>
  <c r="H1998" i="1"/>
  <c r="H2230" i="1"/>
  <c r="H4756" i="1"/>
  <c r="H4094" i="1"/>
  <c r="H3607" i="1"/>
  <c r="H2227" i="1"/>
  <c r="H4233" i="1"/>
  <c r="H4559" i="1"/>
  <c r="H624" i="1"/>
  <c r="H4174" i="1"/>
  <c r="H804" i="1"/>
  <c r="H812" i="1"/>
  <c r="H4158" i="1"/>
  <c r="H396" i="1"/>
  <c r="H4547" i="1"/>
  <c r="H4352" i="1"/>
  <c r="H799" i="1"/>
  <c r="H5197" i="1"/>
  <c r="H530" i="1"/>
  <c r="H4638" i="1"/>
  <c r="H5057" i="1"/>
  <c r="H1027" i="1"/>
  <c r="H776" i="1"/>
  <c r="H5225" i="1"/>
  <c r="H646" i="1"/>
  <c r="H4335" i="1"/>
  <c r="H2026" i="1"/>
  <c r="H4857" i="1"/>
  <c r="H1561" i="1"/>
  <c r="H4318" i="1"/>
  <c r="H4371" i="1"/>
  <c r="H1026" i="1"/>
  <c r="H528" i="1"/>
  <c r="H3061" i="1"/>
  <c r="H3798" i="1"/>
  <c r="H4201" i="1"/>
  <c r="H3280" i="1"/>
  <c r="H3241" i="1"/>
  <c r="H1511" i="1"/>
  <c r="H3588" i="1"/>
  <c r="H490" i="1"/>
  <c r="H1761" i="1"/>
  <c r="H4167" i="1"/>
  <c r="H5074" i="1"/>
  <c r="H1029" i="1"/>
  <c r="H1096" i="1"/>
  <c r="H1587" i="1"/>
  <c r="H4381" i="1"/>
  <c r="H2942" i="1"/>
  <c r="H3867" i="1"/>
  <c r="H3156" i="1"/>
  <c r="H333" i="1"/>
  <c r="H2893" i="1"/>
  <c r="H3469" i="1"/>
  <c r="H2949" i="1"/>
  <c r="H705" i="1"/>
  <c r="H1588" i="1"/>
  <c r="H1172" i="1"/>
  <c r="H5038" i="1"/>
  <c r="H2142" i="1"/>
  <c r="H4250" i="1"/>
  <c r="H5097" i="1"/>
  <c r="H457" i="1"/>
  <c r="H1852" i="1"/>
  <c r="H331" i="1"/>
  <c r="H2566" i="1"/>
  <c r="H88" i="1"/>
  <c r="H1823" i="1"/>
  <c r="H1933" i="1"/>
  <c r="H228" i="1"/>
  <c r="H1392" i="1"/>
  <c r="H1247" i="1"/>
  <c r="H3534" i="1"/>
  <c r="H1696" i="1"/>
  <c r="H2589" i="1"/>
  <c r="H4652" i="1"/>
  <c r="H4685" i="1"/>
  <c r="H3882" i="1"/>
  <c r="H1972" i="1"/>
  <c r="H5195" i="1"/>
  <c r="H2983" i="1"/>
  <c r="H1363" i="1"/>
  <c r="H2900" i="1"/>
  <c r="H4998" i="1"/>
  <c r="H2201" i="1"/>
  <c r="H3874" i="1"/>
  <c r="H873" i="1"/>
  <c r="H2768" i="1"/>
  <c r="H903" i="1"/>
  <c r="H2610" i="1"/>
  <c r="H2094" i="1"/>
  <c r="H4597" i="1"/>
  <c r="H742" i="1"/>
  <c r="H4453" i="1"/>
  <c r="H4119" i="1"/>
  <c r="H3648" i="1"/>
  <c r="H4602" i="1"/>
  <c r="H2557" i="1"/>
  <c r="H1196" i="1"/>
  <c r="H5193" i="1"/>
  <c r="H3400" i="1"/>
  <c r="H744" i="1"/>
  <c r="H351" i="1"/>
  <c r="H2427" i="1"/>
  <c r="H412" i="1"/>
  <c r="H2470" i="1"/>
  <c r="H2206" i="1"/>
  <c r="H5010" i="1"/>
  <c r="H1467" i="1"/>
  <c r="H4562" i="1"/>
  <c r="H4546" i="1"/>
  <c r="H1005" i="1"/>
  <c r="H2309" i="1"/>
  <c r="H1780" i="1"/>
  <c r="H4809" i="1"/>
  <c r="H1722" i="1"/>
  <c r="H894" i="1"/>
  <c r="H4476" i="1"/>
  <c r="H3000" i="1"/>
  <c r="H2885" i="1"/>
  <c r="H2458" i="1"/>
  <c r="H4961" i="1"/>
  <c r="H5191" i="1"/>
  <c r="H3879" i="1"/>
  <c r="H2691" i="1"/>
  <c r="H2387" i="1"/>
  <c r="H164" i="1"/>
  <c r="H980" i="1"/>
  <c r="H4461" i="1"/>
  <c r="H3090" i="1"/>
  <c r="H3955" i="1"/>
  <c r="H689" i="1"/>
  <c r="H451" i="1"/>
  <c r="H2397" i="1"/>
  <c r="H1503" i="1"/>
  <c r="H5176" i="1"/>
  <c r="H543" i="1"/>
  <c r="H1211" i="1"/>
  <c r="H2213" i="1"/>
  <c r="H3197" i="1"/>
  <c r="H3661" i="1"/>
  <c r="H896" i="1"/>
  <c r="H4213" i="1"/>
  <c r="H3683" i="1"/>
  <c r="H185" i="1"/>
  <c r="H1729" i="1"/>
  <c r="H4957" i="1"/>
  <c r="H4286" i="1"/>
  <c r="H1606" i="1"/>
  <c r="H212" i="1"/>
  <c r="H2029" i="1"/>
  <c r="H2825" i="1"/>
  <c r="H460" i="1"/>
  <c r="H4356" i="1"/>
  <c r="H3121" i="1"/>
  <c r="H3336" i="1"/>
  <c r="H3937" i="1"/>
  <c r="H1107" i="1"/>
  <c r="H1400" i="1"/>
  <c r="H2984" i="1"/>
  <c r="H2786" i="1"/>
  <c r="H3047" i="1"/>
  <c r="H2169" i="1"/>
  <c r="H3837" i="1"/>
  <c r="H4868" i="1"/>
  <c r="H4060" i="1"/>
  <c r="H3632" i="1"/>
  <c r="H4537" i="1"/>
  <c r="H3633" i="1"/>
  <c r="H3330" i="1"/>
  <c r="H2528" i="1"/>
  <c r="H4086" i="1"/>
  <c r="H869" i="1"/>
  <c r="H3730" i="1"/>
  <c r="H2906" i="1"/>
  <c r="H1716" i="1"/>
  <c r="H4667" i="1"/>
  <c r="H2866" i="1"/>
  <c r="H2996" i="1"/>
  <c r="H2189" i="1"/>
  <c r="H1579" i="1"/>
  <c r="H4897" i="1"/>
  <c r="H3085" i="1"/>
  <c r="H5170" i="1"/>
  <c r="H4402" i="1"/>
  <c r="H560" i="1"/>
  <c r="H3096" i="1"/>
  <c r="H363" i="1"/>
  <c r="H2229" i="1"/>
  <c r="H4683" i="1"/>
  <c r="H4994" i="1"/>
  <c r="H4560" i="1"/>
  <c r="H4301" i="1"/>
  <c r="H4623" i="1"/>
  <c r="H33" i="1"/>
  <c r="H1515" i="1"/>
  <c r="H5" i="1"/>
  <c r="H2958" i="1"/>
  <c r="H1475" i="1"/>
  <c r="H2030" i="1"/>
  <c r="H3040" i="1"/>
  <c r="H2165" i="1"/>
  <c r="H1310" i="1"/>
  <c r="H910" i="1"/>
  <c r="H4172" i="1"/>
  <c r="H935" i="1"/>
  <c r="H2738" i="1"/>
  <c r="H3355" i="1"/>
  <c r="H3276" i="1"/>
  <c r="H4512" i="1"/>
  <c r="H3720" i="1"/>
  <c r="H4492" i="1"/>
  <c r="H4709" i="1"/>
  <c r="H1019" i="1"/>
  <c r="H3118" i="1"/>
  <c r="H4276" i="1"/>
  <c r="H1017" i="1"/>
  <c r="H5016" i="1"/>
  <c r="H755" i="1"/>
  <c r="H4410" i="1"/>
  <c r="H3459" i="1"/>
  <c r="H4266" i="1"/>
  <c r="H4842" i="1"/>
  <c r="H41" i="1"/>
  <c r="H49" i="1"/>
  <c r="H1854" i="1"/>
  <c r="H4836" i="1"/>
  <c r="H1166" i="1"/>
  <c r="H3833" i="1"/>
  <c r="H1913" i="1"/>
  <c r="H177" i="1"/>
  <c r="H2405" i="1"/>
  <c r="H3838" i="1"/>
  <c r="H312" i="1"/>
  <c r="H3119" i="1"/>
  <c r="H153" i="1"/>
  <c r="H4084" i="1"/>
  <c r="H813" i="1"/>
  <c r="H4380" i="1"/>
  <c r="H366" i="1"/>
  <c r="H3051" i="1"/>
  <c r="H2750" i="1"/>
  <c r="H2669" i="1"/>
  <c r="H2519" i="1"/>
  <c r="H1016" i="1"/>
  <c r="H1198" i="1"/>
  <c r="H4989" i="1"/>
  <c r="H3710" i="1"/>
  <c r="H1675" i="1"/>
  <c r="H4187" i="1"/>
  <c r="H4925" i="1"/>
  <c r="H1123" i="1"/>
  <c r="H3417" i="1"/>
  <c r="H5163" i="1"/>
  <c r="H106" i="1"/>
  <c r="H3277" i="1"/>
  <c r="H4927" i="1"/>
  <c r="H3750" i="1"/>
  <c r="H2632" i="1"/>
  <c r="H4041" i="1"/>
  <c r="H3835" i="1"/>
  <c r="H4763" i="1"/>
  <c r="H3058" i="1"/>
  <c r="H3772" i="1"/>
  <c r="H1208" i="1"/>
  <c r="H3315" i="1"/>
  <c r="H3698" i="1"/>
  <c r="H822" i="1"/>
  <c r="H3539" i="1"/>
  <c r="H800" i="1"/>
  <c r="H2349" i="1"/>
  <c r="H2998" i="1"/>
  <c r="H4184" i="1"/>
  <c r="H4273" i="1"/>
  <c r="H2711" i="1"/>
  <c r="H1151" i="1"/>
  <c r="H2059" i="1"/>
  <c r="H2143" i="1"/>
  <c r="H4790" i="1"/>
  <c r="H1162" i="1"/>
  <c r="H2538" i="1"/>
  <c r="H1468" i="1"/>
  <c r="H585" i="1"/>
  <c r="H1371" i="1"/>
  <c r="H20" i="1"/>
  <c r="H1195" i="1"/>
  <c r="H3734" i="1"/>
  <c r="H2054" i="1"/>
  <c r="H633" i="1"/>
  <c r="H2095" i="1"/>
  <c r="H3933" i="1"/>
  <c r="H1976" i="1"/>
  <c r="H5233" i="1"/>
  <c r="H4905" i="1"/>
  <c r="H1765" i="1"/>
  <c r="H1320" i="1"/>
  <c r="H3921" i="1"/>
  <c r="H318" i="1"/>
  <c r="H1870" i="1"/>
  <c r="H1141" i="1"/>
  <c r="H4118" i="1"/>
  <c r="H4585" i="1"/>
  <c r="H2692" i="1"/>
  <c r="H3142" i="1"/>
  <c r="H1187" i="1"/>
  <c r="H4487" i="1"/>
  <c r="H2018" i="1"/>
  <c r="H219" i="1"/>
  <c r="H3009" i="1"/>
  <c r="H3461" i="1"/>
  <c r="H2469" i="1"/>
  <c r="H4022" i="1"/>
  <c r="H4634" i="1"/>
  <c r="H656" i="1"/>
  <c r="H555" i="1"/>
  <c r="H4931" i="1"/>
  <c r="H895" i="1"/>
  <c r="H178" i="1"/>
  <c r="H4377" i="1"/>
  <c r="H1551" i="1"/>
  <c r="H3797" i="1"/>
  <c r="H1770" i="1"/>
  <c r="H2503" i="1"/>
  <c r="H2486" i="1"/>
  <c r="H917" i="1"/>
  <c r="H1811" i="1"/>
  <c r="H3735" i="1"/>
  <c r="H4510" i="1"/>
  <c r="H2980" i="1"/>
  <c r="H4482" i="1"/>
  <c r="H175" i="1"/>
  <c r="H3291" i="1"/>
  <c r="H3755" i="1"/>
  <c r="H1135" i="1"/>
  <c r="H3877" i="1"/>
  <c r="H1490" i="1"/>
  <c r="H1185" i="1"/>
  <c r="H2586" i="1"/>
  <c r="H2761" i="1"/>
  <c r="H761" i="1"/>
  <c r="H2333" i="1"/>
  <c r="H1031" i="1"/>
  <c r="H3493" i="1"/>
  <c r="H96" i="1"/>
  <c r="H4851" i="1"/>
  <c r="H712" i="1"/>
  <c r="H1591" i="1"/>
  <c r="H766" i="1"/>
  <c r="H3952" i="1"/>
  <c r="H4835" i="1"/>
  <c r="H1047" i="1"/>
  <c r="H4013" i="1"/>
  <c r="H4904" i="1"/>
  <c r="H3990" i="1"/>
  <c r="H3115" i="1"/>
  <c r="H1122" i="1"/>
  <c r="H2245" i="1"/>
  <c r="H1910" i="1"/>
  <c r="H1990" i="1"/>
  <c r="H4823" i="1"/>
  <c r="H2873" i="1"/>
  <c r="H3292" i="1"/>
  <c r="H1391" i="1"/>
  <c r="H2117" i="1"/>
  <c r="H477" i="1"/>
  <c r="H2107" i="1"/>
  <c r="H2424" i="1"/>
  <c r="H4765" i="1"/>
  <c r="H3673" i="1"/>
  <c r="H3836" i="1"/>
  <c r="H3005" i="1"/>
  <c r="H2559" i="1"/>
  <c r="H4518" i="1"/>
  <c r="H1853" i="1"/>
  <c r="H2039" i="1"/>
  <c r="H2689" i="1"/>
  <c r="H2125" i="1"/>
  <c r="H3957" i="1"/>
  <c r="H4229" i="1"/>
  <c r="H3859" i="1"/>
  <c r="H2956" i="1"/>
  <c r="H4218" i="1"/>
  <c r="H3396" i="1"/>
  <c r="H3071" i="1"/>
  <c r="H3668" i="1"/>
  <c r="H3873" i="1"/>
  <c r="H3567" i="1"/>
  <c r="H750" i="1"/>
  <c r="H3173" i="1"/>
  <c r="H2388" i="1"/>
  <c r="H2281" i="1"/>
  <c r="H4910" i="1"/>
  <c r="H4304" i="1"/>
  <c r="H682" i="1"/>
  <c r="H2703" i="1"/>
  <c r="H4828" i="1"/>
  <c r="H2379" i="1"/>
  <c r="H1476" i="1"/>
  <c r="H3788" i="1"/>
  <c r="H3306" i="1"/>
  <c r="H3313" i="1"/>
  <c r="H2350" i="1"/>
  <c r="H1401" i="1"/>
  <c r="H3854" i="1"/>
  <c r="H3308" i="1"/>
  <c r="H234" i="1"/>
  <c r="H1116" i="1"/>
  <c r="H1995" i="1"/>
  <c r="H2623" i="1"/>
  <c r="H2208" i="1"/>
  <c r="H1373" i="1"/>
  <c r="H5115" i="1"/>
  <c r="H335" i="1"/>
  <c r="H3373" i="1"/>
  <c r="H3575" i="1"/>
  <c r="H3166" i="1"/>
  <c r="H156" i="1"/>
  <c r="H1273" i="1"/>
  <c r="H1221" i="1"/>
  <c r="H4087" i="1"/>
  <c r="H5172" i="1"/>
  <c r="H1018" i="1"/>
  <c r="H3826" i="1"/>
  <c r="H358" i="1"/>
  <c r="H3881" i="1"/>
  <c r="H842" i="1"/>
  <c r="H1253" i="1"/>
  <c r="H3678" i="1"/>
  <c r="H3625" i="1"/>
  <c r="H248" i="1"/>
  <c r="H1783" i="1"/>
  <c r="H4645" i="1"/>
  <c r="H2462" i="1"/>
  <c r="H1410" i="1"/>
  <c r="H1357" i="1"/>
  <c r="H3943" i="1"/>
  <c r="H3946" i="1"/>
  <c r="H171" i="1"/>
  <c r="H2308"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F1223" i="1" l="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B320" i="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<sst xmlns="http://schemas.openxmlformats.org/spreadsheetml/2006/main" count="12629" uniqueCount="34">
  <si>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</si>
  <si>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</si>
  <si>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</si>
  <si>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</si>
  <si>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</si>
  <si>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</si>
  <si>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</si>
  <si>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</si>
  <si>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</si>
  <si>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</si>
  <si>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</si>
  <si>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</si>
  <si>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</si>
  <si>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</si>
  <si>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</si>
  <si>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</si>
  <si>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</si>
  <si>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</si>
  <si>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</si>
  <si>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</si>
  <si>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</si>
  <si>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</si>
  <si>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</si>
  <si>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</si>
  <si>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</si>
  <si>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</si>
  <si>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</si>
  <si>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</si>
  <si>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</si>
  <si>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</si>
  <si>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</si>
  <si>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</si>
  <si>
    <t>메일 수신일 (or 파일 작성일)</t>
    <phoneticPr fontId="5" type="noConversion"/>
  </si>
  <si>
    <r>
      <t xml:space="preserve">DJ </t>
    </r>
    <r>
      <rPr>
        <b/>
        <sz val="9"/>
        <color theme="0"/>
        <rFont val="맑은 고딕"/>
        <family val="3"/>
        <charset val="129"/>
      </rPr>
      <t>입력일</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</si>
</sst>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1"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s>
  <fills count="5">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s>
  <borders count="8">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31">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xf numFmtId="0" fontId="8" fillId="0" borderId="1" xfId="0" applyFont="1" applyAlignment="1">
      <alignment vertical="center"/>
    </xf>
    <xf numFmtId="0" fontId="8" fillId="0" borderId="1" xfId="0" applyFont="1">
      <alignment vertical="top"/>
    </xf>
    <xf numFmtId="1" fontId="8" fillId="0" borderId="1" xfId="0" applyNumberFormat="1" applyFont="1" applyAlignment="1">
      <alignment vertical="center"/>
    </xf>
    <xf numFmtId="14" fontId="8" fillId="0" borderId="1" xfId="0" applyNumberFormat="1" applyFont="1" applyAlignment="1">
      <alignment vertical="center"/>
    </xf>
    <xf numFmtId="176" fontId="9" fillId="4" borderId="7" xfId="3" applyNumberFormat="1" applyFont="1" applyFill="1" applyBorder="1" applyAlignment="1">
      <alignment horizontal="center" vertical="center"/>
    </xf>
    <xf numFmtId="176" fontId="10" fillId="4" borderId="7" xfId="3" applyNumberFormat="1" applyFont="1" applyFill="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10" headerRowBorderDxfId="9" tableBorderDxfId="8">
  <autoFilter ref="A1:F5248" xr:uid="{00000000-0009-0000-0000-000000000000}">
    <filterColumn colId="1">
      <filters>
        <filter val="15"/>
        <filter val="16"/>
        <filter val="17"/>
      </filters>
    </filterColumn>
    <filterColumn colId="3">
      <filters>
        <filter val="Performance"/>
      </filters>
    </filterColumn>
  </autoFilter>
  <tableColumns count="6">
    <tableColumn id="1" xr3:uid="{0248D2C5-0522-4454-BEB6-4459149F7409}" name="Year" dataDxfId="7"/>
    <tableColumn id="2" xr3:uid="{1ECBABA7-2C7D-493E-9467-BB0E54E272B8}" name="Week" dataDxfId="6"/>
    <tableColumn id="3" xr3:uid="{E8A7E459-1BC4-4C89-A74D-F28D17CF70E6}" name="Factory" dataDxfId="5"/>
    <tableColumn id="4" xr3:uid="{0F505936-0689-4F8D-A7C5-1B6506A9E303}" name="Type" dataDxfId="4"/>
    <tableColumn id="5" xr3:uid="{54F501CE-B2E0-4879-AF44-147AE7CF5318}" name="Category" dataDxfId="3"/>
    <tableColumn id="6" xr3:uid="{8C4B9ECA-2E15-49F1-8592-B440CF782659}"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Q5248"/>
  <sheetViews>
    <sheetView showGridLines="0" tabSelected="1" zoomScaleNormal="100" workbookViewId="0">
      <pane ySplit="1" topLeftCell="A1638" activePane="bottomLeft" state="frozen"/>
      <selection activeCell="U1" sqref="U1:U1048576"/>
      <selection pane="bottomLeft" activeCell="F5249" sqref="F5249"/>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5976562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33</v>
      </c>
      <c r="J1" s="30" t="s">
        <v>32</v>
      </c>
    </row>
    <row r="2" spans="1:10" ht="15" hidden="1" customHeight="1" thickTop="1" x14ac:dyDescent="0.4">
      <c r="A2" s="9">
        <v>2026</v>
      </c>
      <c r="B2" s="9">
        <v>1</v>
      </c>
      <c r="C2" s="10" t="s">
        <v>28</v>
      </c>
      <c r="D2" s="11" t="s">
        <v>6</v>
      </c>
      <c r="E2" s="12" t="s">
        <v>7</v>
      </c>
      <c r="F2" s="21">
        <v>15</v>
      </c>
      <c r="H2" s="5" t="e">
        <f ca="1">_xlfn.FORMULATEXT(표1[[#This Row],[Q''ty]])</f>
        <v>#N/A</v>
      </c>
    </row>
    <row r="3" spans="1:10" s="2" customFormat="1" ht="15" hidden="1" customHeight="1" x14ac:dyDescent="0.4">
      <c r="A3" s="6">
        <v>2026</v>
      </c>
      <c r="B3" s="6">
        <v>1</v>
      </c>
      <c r="C3" s="13" t="s">
        <v>23</v>
      </c>
      <c r="D3" s="2" t="s">
        <v>6</v>
      </c>
      <c r="E3" s="14" t="s">
        <v>8</v>
      </c>
      <c r="F3" s="22">
        <v>10</v>
      </c>
      <c r="H3" s="5" t="e">
        <f ca="1">_xlfn.FORMULATEXT(표1[[#This Row],[Q''ty]])</f>
        <v>#N/A</v>
      </c>
      <c r="I3" s="26"/>
      <c r="J3" s="26"/>
    </row>
    <row r="4" spans="1:10" s="2" customFormat="1" ht="15" hidden="1" customHeight="1" x14ac:dyDescent="0.4">
      <c r="A4" s="6">
        <v>2026</v>
      </c>
      <c r="B4" s="6">
        <v>1</v>
      </c>
      <c r="C4" s="13" t="s">
        <v>23</v>
      </c>
      <c r="D4" s="2" t="s">
        <v>6</v>
      </c>
      <c r="E4" s="14" t="s">
        <v>9</v>
      </c>
      <c r="F4" s="22">
        <v>5</v>
      </c>
      <c r="H4" s="5" t="e">
        <f ca="1">_xlfn.FORMULATEXT(표1[[#This Row],[Q''ty]])</f>
        <v>#N/A</v>
      </c>
      <c r="I4" s="26"/>
      <c r="J4" s="26"/>
    </row>
    <row r="5" spans="1:10" ht="15" hidden="1" customHeight="1" x14ac:dyDescent="0.4">
      <c r="A5" s="6">
        <v>2026</v>
      </c>
      <c r="B5" s="6">
        <v>1</v>
      </c>
      <c r="C5" s="13" t="s">
        <v>23</v>
      </c>
      <c r="D5" s="2" t="s">
        <v>6</v>
      </c>
      <c r="E5" s="14" t="s">
        <v>27</v>
      </c>
      <c r="F5" s="22">
        <v>6</v>
      </c>
      <c r="H5" s="5" t="e">
        <f ca="1">_xlfn.FORMULATEXT(표1[[#This Row],[Q''ty]])</f>
        <v>#N/A</v>
      </c>
    </row>
    <row r="6" spans="1:10" ht="15" hidden="1" customHeight="1" x14ac:dyDescent="0.4">
      <c r="A6" s="6">
        <v>2026</v>
      </c>
      <c r="B6" s="6">
        <v>1</v>
      </c>
      <c r="C6" s="13" t="s">
        <v>23</v>
      </c>
      <c r="D6" s="2" t="s">
        <v>6</v>
      </c>
      <c r="E6" s="14" t="s">
        <v>10</v>
      </c>
      <c r="F6" s="22">
        <v>10</v>
      </c>
      <c r="H6" s="5" t="e">
        <f ca="1">_xlfn.FORMULATEXT(표1[[#This Row],[Q''ty]])</f>
        <v>#N/A</v>
      </c>
    </row>
    <row r="7" spans="1:10" ht="15" hidden="1" customHeight="1" x14ac:dyDescent="0.4">
      <c r="A7" s="6">
        <v>2026</v>
      </c>
      <c r="B7" s="6">
        <v>1</v>
      </c>
      <c r="C7" s="13" t="s">
        <v>23</v>
      </c>
      <c r="D7" s="2" t="s">
        <v>6</v>
      </c>
      <c r="E7" s="14" t="s">
        <v>11</v>
      </c>
      <c r="F7" s="22">
        <v>10</v>
      </c>
      <c r="H7" s="5" t="e">
        <f ca="1">_xlfn.FORMULATEXT(표1[[#This Row],[Q''ty]])</f>
        <v>#N/A</v>
      </c>
    </row>
    <row r="8" spans="1:10" ht="15" hidden="1" customHeight="1" x14ac:dyDescent="0.4">
      <c r="A8" s="6">
        <v>2026</v>
      </c>
      <c r="B8" s="6">
        <v>1</v>
      </c>
      <c r="C8" s="13" t="s">
        <v>23</v>
      </c>
      <c r="D8" s="2" t="s">
        <v>12</v>
      </c>
      <c r="E8" s="14" t="s">
        <v>13</v>
      </c>
      <c r="F8" s="22">
        <v>23</v>
      </c>
      <c r="H8" s="5" t="e">
        <f ca="1">_xlfn.FORMULATEXT(표1[[#This Row],[Q''ty]])</f>
        <v>#N/A</v>
      </c>
    </row>
    <row r="9" spans="1:10" s="2" customFormat="1" ht="15" hidden="1" customHeight="1" x14ac:dyDescent="0.4">
      <c r="A9" s="6">
        <v>2026</v>
      </c>
      <c r="B9" s="6">
        <v>1</v>
      </c>
      <c r="C9" s="13" t="s">
        <v>23</v>
      </c>
      <c r="D9" s="2" t="s">
        <v>12</v>
      </c>
      <c r="E9" s="14" t="s">
        <v>14</v>
      </c>
      <c r="F9" s="22">
        <v>19</v>
      </c>
      <c r="H9" s="5" t="e">
        <f ca="1">_xlfn.FORMULATEXT(표1[[#This Row],[Q''ty]])</f>
        <v>#N/A</v>
      </c>
      <c r="I9" s="26"/>
      <c r="J9" s="26"/>
    </row>
    <row r="10" spans="1:10" ht="15" hidden="1" customHeight="1" x14ac:dyDescent="0.4">
      <c r="A10" s="6">
        <v>2026</v>
      </c>
      <c r="B10" s="6">
        <v>1</v>
      </c>
      <c r="C10" s="13" t="s">
        <v>23</v>
      </c>
      <c r="D10" s="2" t="s">
        <v>12</v>
      </c>
      <c r="E10" s="14" t="s">
        <v>15</v>
      </c>
      <c r="F10" s="22">
        <v>217</v>
      </c>
      <c r="H10" s="5" t="e">
        <f ca="1">_xlfn.FORMULATEXT(표1[[#This Row],[Q''ty]])</f>
        <v>#N/A</v>
      </c>
    </row>
    <row r="11" spans="1:10" ht="15" hidden="1" customHeight="1" x14ac:dyDescent="0.4">
      <c r="A11" s="6">
        <v>2026</v>
      </c>
      <c r="B11" s="6">
        <v>1</v>
      </c>
      <c r="C11" s="13" t="s">
        <v>23</v>
      </c>
      <c r="D11" s="2" t="s">
        <v>12</v>
      </c>
      <c r="E11" s="14" t="s">
        <v>16</v>
      </c>
      <c r="F11" s="22">
        <v>217.2</v>
      </c>
      <c r="H11" s="5" t="e">
        <f ca="1">_xlfn.FORMULATEXT(표1[[#This Row],[Q''ty]])</f>
        <v>#N/A</v>
      </c>
    </row>
    <row r="12" spans="1:10" ht="15" hidden="1" customHeight="1" thickBot="1" x14ac:dyDescent="0.45">
      <c r="A12" s="15">
        <v>2026</v>
      </c>
      <c r="B12" s="15">
        <v>1</v>
      </c>
      <c r="C12" s="16" t="s">
        <v>23</v>
      </c>
      <c r="D12" s="17" t="s">
        <v>12</v>
      </c>
      <c r="E12" s="18" t="s">
        <v>17</v>
      </c>
      <c r="F12" s="23">
        <v>244.10000000000002</v>
      </c>
      <c r="H12" s="5" t="e">
        <f ca="1">_xlfn.FORMULATEXT(표1[[#This Row],[Q''ty]])</f>
        <v>#N/A</v>
      </c>
    </row>
    <row r="13" spans="1:10" ht="15" hidden="1" customHeight="1" thickTop="1" x14ac:dyDescent="0.4">
      <c r="A13" s="9">
        <v>2026</v>
      </c>
      <c r="B13" s="9">
        <v>1</v>
      </c>
      <c r="C13" s="10" t="s">
        <v>29</v>
      </c>
      <c r="D13" s="11" t="s">
        <v>6</v>
      </c>
      <c r="E13" s="12" t="s">
        <v>7</v>
      </c>
      <c r="F13" s="21">
        <v>14</v>
      </c>
      <c r="H13" s="5" t="e">
        <f ca="1">_xlfn.FORMULATEXT(표1[[#This Row],[Q''ty]])</f>
        <v>#N/A</v>
      </c>
    </row>
    <row r="14" spans="1:10" s="2" customFormat="1" ht="15" hidden="1" customHeight="1" x14ac:dyDescent="0.4">
      <c r="A14" s="6">
        <v>2026</v>
      </c>
      <c r="B14" s="6">
        <v>1</v>
      </c>
      <c r="C14" s="13" t="s">
        <v>24</v>
      </c>
      <c r="D14" s="2" t="s">
        <v>6</v>
      </c>
      <c r="E14" s="14" t="s">
        <v>8</v>
      </c>
      <c r="F14" s="22">
        <v>8</v>
      </c>
      <c r="H14" s="5" t="e">
        <f ca="1">_xlfn.FORMULATEXT(표1[[#This Row],[Q''ty]])</f>
        <v>#N/A</v>
      </c>
      <c r="I14" s="26"/>
      <c r="J14" s="26"/>
    </row>
    <row r="15" spans="1:10" s="2" customFormat="1" ht="15" hidden="1" customHeight="1" x14ac:dyDescent="0.4">
      <c r="A15" s="6">
        <v>2026</v>
      </c>
      <c r="B15" s="6">
        <v>1</v>
      </c>
      <c r="C15" s="13" t="s">
        <v>24</v>
      </c>
      <c r="D15" s="2" t="s">
        <v>6</v>
      </c>
      <c r="E15" s="14" t="s">
        <v>9</v>
      </c>
      <c r="F15" s="22">
        <v>4</v>
      </c>
      <c r="H15" s="5" t="e">
        <f ca="1">_xlfn.FORMULATEXT(표1[[#This Row],[Q''ty]])</f>
        <v>#N/A</v>
      </c>
      <c r="I15" s="26"/>
      <c r="J15" s="26"/>
    </row>
    <row r="16" spans="1:10" ht="15" hidden="1" customHeight="1" x14ac:dyDescent="0.4">
      <c r="A16" s="6">
        <v>2026</v>
      </c>
      <c r="B16" s="6">
        <v>1</v>
      </c>
      <c r="C16" s="13" t="s">
        <v>24</v>
      </c>
      <c r="D16" s="2" t="s">
        <v>6</v>
      </c>
      <c r="E16" s="14" t="s">
        <v>27</v>
      </c>
      <c r="F16" s="22">
        <v>3</v>
      </c>
      <c r="H16" s="5" t="e">
        <f ca="1">_xlfn.FORMULATEXT(표1[[#This Row],[Q''ty]])</f>
        <v>#N/A</v>
      </c>
    </row>
    <row r="17" spans="1:10" ht="15" hidden="1" customHeight="1" x14ac:dyDescent="0.4">
      <c r="A17" s="6">
        <v>2026</v>
      </c>
      <c r="B17" s="6">
        <v>1</v>
      </c>
      <c r="C17" s="13" t="s">
        <v>24</v>
      </c>
      <c r="D17" s="2" t="s">
        <v>6</v>
      </c>
      <c r="E17" s="14" t="s">
        <v>10</v>
      </c>
      <c r="F17" s="22">
        <v>6</v>
      </c>
      <c r="H17" s="5" t="e">
        <f ca="1">_xlfn.FORMULATEXT(표1[[#This Row],[Q''ty]])</f>
        <v>#N/A</v>
      </c>
    </row>
    <row r="18" spans="1:10" ht="15" hidden="1" customHeight="1" x14ac:dyDescent="0.4">
      <c r="A18" s="6">
        <v>2026</v>
      </c>
      <c r="B18" s="6">
        <v>1</v>
      </c>
      <c r="C18" s="13" t="s">
        <v>24</v>
      </c>
      <c r="D18" s="2" t="s">
        <v>6</v>
      </c>
      <c r="E18" s="14" t="s">
        <v>11</v>
      </c>
      <c r="F18" s="22">
        <v>8.8000000000000007</v>
      </c>
      <c r="H18" s="5" t="e">
        <f ca="1">_xlfn.FORMULATEXT(표1[[#This Row],[Q''ty]])</f>
        <v>#N/A</v>
      </c>
    </row>
    <row r="19" spans="1:10" ht="15" hidden="1" customHeight="1" x14ac:dyDescent="0.4">
      <c r="A19" s="6">
        <v>2026</v>
      </c>
      <c r="B19" s="6">
        <v>1</v>
      </c>
      <c r="C19" s="13" t="s">
        <v>24</v>
      </c>
      <c r="D19" s="2" t="s">
        <v>12</v>
      </c>
      <c r="E19" s="14" t="s">
        <v>13</v>
      </c>
      <c r="F19" s="22">
        <v>23</v>
      </c>
      <c r="H19" s="5" t="e">
        <f ca="1">_xlfn.FORMULATEXT(표1[[#This Row],[Q''ty]])</f>
        <v>#N/A</v>
      </c>
    </row>
    <row r="20" spans="1:10" s="2" customFormat="1" ht="15" hidden="1" customHeight="1" x14ac:dyDescent="0.4">
      <c r="A20" s="6">
        <v>2026</v>
      </c>
      <c r="B20" s="6">
        <v>1</v>
      </c>
      <c r="C20" s="13" t="s">
        <v>24</v>
      </c>
      <c r="D20" s="2" t="s">
        <v>12</v>
      </c>
      <c r="E20" s="14" t="s">
        <v>14</v>
      </c>
      <c r="F20" s="22">
        <v>22</v>
      </c>
      <c r="H20" s="5" t="e">
        <f ca="1">_xlfn.FORMULATEXT(표1[[#This Row],[Q''ty]])</f>
        <v>#N/A</v>
      </c>
      <c r="I20" s="26"/>
      <c r="J20" s="26"/>
    </row>
    <row r="21" spans="1:10" ht="15" hidden="1" customHeight="1" x14ac:dyDescent="0.4">
      <c r="A21" s="6">
        <v>2026</v>
      </c>
      <c r="B21" s="6">
        <v>1</v>
      </c>
      <c r="C21" s="13" t="s">
        <v>24</v>
      </c>
      <c r="D21" s="2" t="s">
        <v>12</v>
      </c>
      <c r="E21" s="14" t="s">
        <v>15</v>
      </c>
      <c r="F21" s="22">
        <v>156</v>
      </c>
      <c r="H21" s="5" t="e">
        <f ca="1">_xlfn.FORMULATEXT(표1[[#This Row],[Q''ty]])</f>
        <v>#N/A</v>
      </c>
    </row>
    <row r="22" spans="1:10" ht="15" hidden="1" customHeight="1" x14ac:dyDescent="0.4">
      <c r="A22" s="6">
        <v>2026</v>
      </c>
      <c r="B22" s="6">
        <v>1</v>
      </c>
      <c r="C22" s="13" t="s">
        <v>24</v>
      </c>
      <c r="D22" s="2" t="s">
        <v>12</v>
      </c>
      <c r="E22" s="14" t="s">
        <v>16</v>
      </c>
      <c r="F22" s="22">
        <v>158</v>
      </c>
      <c r="H22" s="5" t="e">
        <f ca="1">_xlfn.FORMULATEXT(표1[[#This Row],[Q''ty]])</f>
        <v>#N/A</v>
      </c>
    </row>
    <row r="23" spans="1:10" ht="15" hidden="1" customHeight="1" thickBot="1" x14ac:dyDescent="0.45">
      <c r="A23" s="15">
        <v>2026</v>
      </c>
      <c r="B23" s="15">
        <v>1</v>
      </c>
      <c r="C23" s="16" t="s">
        <v>24</v>
      </c>
      <c r="D23" s="17" t="s">
        <v>12</v>
      </c>
      <c r="E23" s="18" t="s">
        <v>17</v>
      </c>
      <c r="F23" s="23">
        <v>164.6</v>
      </c>
      <c r="H23" s="5" t="e">
        <f ca="1">_xlfn.FORMULATEXT(표1[[#This Row],[Q''ty]])</f>
        <v>#N/A</v>
      </c>
    </row>
    <row r="24" spans="1:10" ht="15" hidden="1" customHeight="1" thickTop="1" x14ac:dyDescent="0.4">
      <c r="A24" s="6">
        <v>2026</v>
      </c>
      <c r="B24" s="6">
        <v>1</v>
      </c>
      <c r="C24" s="13" t="s">
        <v>18</v>
      </c>
      <c r="D24" s="2" t="s">
        <v>6</v>
      </c>
      <c r="E24" s="14" t="s">
        <v>7</v>
      </c>
      <c r="F24" s="22">
        <v>5</v>
      </c>
      <c r="H24" s="5" t="e">
        <f ca="1">_xlfn.FORMULATEXT(표1[[#This Row],[Q''ty]])</f>
        <v>#N/A</v>
      </c>
    </row>
    <row r="25" spans="1:10" ht="15" hidden="1" customHeight="1" x14ac:dyDescent="0.4">
      <c r="A25" s="6">
        <v>2026</v>
      </c>
      <c r="B25" s="6">
        <v>1</v>
      </c>
      <c r="C25" s="13" t="s">
        <v>18</v>
      </c>
      <c r="D25" s="2" t="s">
        <v>6</v>
      </c>
      <c r="E25" s="14" t="s">
        <v>8</v>
      </c>
      <c r="F25" s="22">
        <v>3</v>
      </c>
      <c r="H25" s="5" t="e">
        <f ca="1">_xlfn.FORMULATEXT(표1[[#This Row],[Q''ty]])</f>
        <v>#N/A</v>
      </c>
    </row>
    <row r="26" spans="1:10" ht="15" hidden="1" customHeight="1" x14ac:dyDescent="0.4">
      <c r="A26" s="6">
        <v>2026</v>
      </c>
      <c r="B26" s="6">
        <v>1</v>
      </c>
      <c r="C26" s="13" t="s">
        <v>18</v>
      </c>
      <c r="D26" s="2" t="s">
        <v>6</v>
      </c>
      <c r="E26" s="14" t="s">
        <v>9</v>
      </c>
      <c r="F26" s="22">
        <v>2</v>
      </c>
      <c r="H26" s="5" t="e">
        <f ca="1">_xlfn.FORMULATEXT(표1[[#This Row],[Q''ty]])</f>
        <v>#N/A</v>
      </c>
    </row>
    <row r="27" spans="1:10" ht="15" hidden="1" customHeight="1" x14ac:dyDescent="0.4">
      <c r="A27" s="6">
        <v>2026</v>
      </c>
      <c r="B27" s="6">
        <v>1</v>
      </c>
      <c r="C27" s="13" t="s">
        <v>18</v>
      </c>
      <c r="D27" s="2" t="s">
        <v>6</v>
      </c>
      <c r="E27" s="14" t="s">
        <v>27</v>
      </c>
      <c r="F27" s="22">
        <v>2</v>
      </c>
      <c r="H27" s="5" t="e">
        <f ca="1">_xlfn.FORMULATEXT(표1[[#This Row],[Q''ty]])</f>
        <v>#N/A</v>
      </c>
    </row>
    <row r="28" spans="1:10" ht="15" hidden="1" customHeight="1" x14ac:dyDescent="0.4">
      <c r="A28" s="6">
        <v>2026</v>
      </c>
      <c r="B28" s="6">
        <v>1</v>
      </c>
      <c r="C28" s="13" t="s">
        <v>18</v>
      </c>
      <c r="D28" s="2" t="s">
        <v>6</v>
      </c>
      <c r="E28" s="14" t="s">
        <v>10</v>
      </c>
      <c r="F28" s="22">
        <v>2</v>
      </c>
      <c r="H28" s="5" t="e">
        <f ca="1">_xlfn.FORMULATEXT(표1[[#This Row],[Q''ty]])</f>
        <v>#N/A</v>
      </c>
    </row>
    <row r="29" spans="1:10" ht="15" hidden="1" customHeight="1" x14ac:dyDescent="0.4">
      <c r="A29" s="6">
        <v>2026</v>
      </c>
      <c r="B29" s="6">
        <v>1</v>
      </c>
      <c r="C29" s="13" t="s">
        <v>18</v>
      </c>
      <c r="D29" s="2" t="s">
        <v>6</v>
      </c>
      <c r="E29" s="14" t="s">
        <v>11</v>
      </c>
      <c r="F29" s="22">
        <v>3</v>
      </c>
      <c r="H29" s="5" t="e">
        <f ca="1">_xlfn.FORMULATEXT(표1[[#This Row],[Q''ty]])</f>
        <v>#N/A</v>
      </c>
    </row>
    <row r="30" spans="1:10" ht="15" hidden="1" customHeight="1" x14ac:dyDescent="0.4">
      <c r="A30" s="6">
        <v>2026</v>
      </c>
      <c r="B30" s="6">
        <v>1</v>
      </c>
      <c r="C30" s="13" t="s">
        <v>18</v>
      </c>
      <c r="D30" s="2" t="s">
        <v>12</v>
      </c>
      <c r="E30" s="14" t="s">
        <v>13</v>
      </c>
      <c r="F30" s="22">
        <v>0</v>
      </c>
      <c r="H30" s="5" t="e">
        <f ca="1">_xlfn.FORMULATEXT(표1[[#This Row],[Q''ty]])</f>
        <v>#N/A</v>
      </c>
    </row>
    <row r="31" spans="1:10" ht="15" hidden="1" customHeight="1" x14ac:dyDescent="0.4">
      <c r="A31" s="6">
        <v>2026</v>
      </c>
      <c r="B31" s="6">
        <v>1</v>
      </c>
      <c r="C31" s="13" t="s">
        <v>18</v>
      </c>
      <c r="D31" s="2" t="s">
        <v>12</v>
      </c>
      <c r="E31" s="14" t="s">
        <v>14</v>
      </c>
      <c r="F31" s="22">
        <v>0</v>
      </c>
      <c r="H31" s="5" t="e">
        <f ca="1">_xlfn.FORMULATEXT(표1[[#This Row],[Q''ty]])</f>
        <v>#N/A</v>
      </c>
    </row>
    <row r="32" spans="1:10" ht="15" hidden="1" customHeight="1" x14ac:dyDescent="0.4">
      <c r="A32" s="6">
        <v>2026</v>
      </c>
      <c r="B32" s="6">
        <v>1</v>
      </c>
      <c r="C32" s="13" t="s">
        <v>18</v>
      </c>
      <c r="D32" s="2" t="s">
        <v>12</v>
      </c>
      <c r="E32" s="14" t="s">
        <v>15</v>
      </c>
      <c r="F32" s="22">
        <v>0</v>
      </c>
      <c r="H32" s="5" t="e">
        <f ca="1">_xlfn.FORMULATEXT(표1[[#This Row],[Q''ty]])</f>
        <v>#N/A</v>
      </c>
    </row>
    <row r="33" spans="1:8" ht="15" hidden="1" customHeight="1" x14ac:dyDescent="0.4">
      <c r="A33" s="6">
        <v>2026</v>
      </c>
      <c r="B33" s="6">
        <v>1</v>
      </c>
      <c r="C33" s="13" t="s">
        <v>18</v>
      </c>
      <c r="D33" s="2" t="s">
        <v>12</v>
      </c>
      <c r="E33" s="14" t="s">
        <v>16</v>
      </c>
      <c r="F33" s="22">
        <v>0</v>
      </c>
      <c r="H33" s="5" t="e">
        <f ca="1">_xlfn.FORMULATEXT(표1[[#This Row],[Q''ty]])</f>
        <v>#N/A</v>
      </c>
    </row>
    <row r="34" spans="1:8" ht="15" hidden="1" customHeight="1" thickBot="1" x14ac:dyDescent="0.45">
      <c r="A34" s="15">
        <v>2026</v>
      </c>
      <c r="B34" s="15">
        <v>1</v>
      </c>
      <c r="C34" s="16" t="s">
        <v>18</v>
      </c>
      <c r="D34" s="17" t="s">
        <v>12</v>
      </c>
      <c r="E34" s="18" t="s">
        <v>17</v>
      </c>
      <c r="F34" s="23">
        <v>0</v>
      </c>
      <c r="H34" s="5" t="e">
        <f ca="1">_xlfn.FORMULATEXT(표1[[#This Row],[Q''ty]])</f>
        <v>#N/A</v>
      </c>
    </row>
    <row r="35" spans="1:8" ht="15" hidden="1" customHeight="1" thickTop="1" x14ac:dyDescent="0.4">
      <c r="A35" s="6">
        <v>2026</v>
      </c>
      <c r="B35" s="6">
        <v>1</v>
      </c>
      <c r="C35" s="13" t="s">
        <v>19</v>
      </c>
      <c r="D35" s="2" t="s">
        <v>6</v>
      </c>
      <c r="E35" s="14" t="s">
        <v>7</v>
      </c>
      <c r="F35" s="22">
        <v>20</v>
      </c>
      <c r="H35" s="5" t="e">
        <f ca="1">_xlfn.FORMULATEXT(표1[[#This Row],[Q''ty]])</f>
        <v>#N/A</v>
      </c>
    </row>
    <row r="36" spans="1:8" ht="15" hidden="1" customHeight="1" x14ac:dyDescent="0.4">
      <c r="A36" s="6">
        <v>2026</v>
      </c>
      <c r="B36" s="6">
        <v>1</v>
      </c>
      <c r="C36" s="13" t="s">
        <v>19</v>
      </c>
      <c r="D36" s="2" t="s">
        <v>6</v>
      </c>
      <c r="E36" s="14" t="s">
        <v>8</v>
      </c>
      <c r="F36" s="22">
        <v>22</v>
      </c>
      <c r="H36" s="5" t="e">
        <f ca="1">_xlfn.FORMULATEXT(표1[[#This Row],[Q''ty]])</f>
        <v>#N/A</v>
      </c>
    </row>
    <row r="37" spans="1:8" ht="15" hidden="1" customHeight="1" x14ac:dyDescent="0.4">
      <c r="A37" s="6">
        <v>2026</v>
      </c>
      <c r="B37" s="6">
        <v>1</v>
      </c>
      <c r="C37" s="13" t="s">
        <v>19</v>
      </c>
      <c r="D37" s="2" t="s">
        <v>6</v>
      </c>
      <c r="E37" s="14" t="s">
        <v>9</v>
      </c>
      <c r="F37" s="22">
        <v>6</v>
      </c>
      <c r="H37" s="5" t="e">
        <f ca="1">_xlfn.FORMULATEXT(표1[[#This Row],[Q''ty]])</f>
        <v>#N/A</v>
      </c>
    </row>
    <row r="38" spans="1:8" ht="15" hidden="1" customHeight="1" x14ac:dyDescent="0.4">
      <c r="A38" s="6">
        <v>2026</v>
      </c>
      <c r="B38" s="6">
        <v>1</v>
      </c>
      <c r="C38" s="13" t="s">
        <v>19</v>
      </c>
      <c r="D38" s="2" t="s">
        <v>6</v>
      </c>
      <c r="E38" s="14" t="s">
        <v>27</v>
      </c>
      <c r="F38" s="22">
        <v>4</v>
      </c>
      <c r="H38" s="5" t="e">
        <f ca="1">_xlfn.FORMULATEXT(표1[[#This Row],[Q''ty]])</f>
        <v>#N/A</v>
      </c>
    </row>
    <row r="39" spans="1:8" ht="15" hidden="1" customHeight="1" x14ac:dyDescent="0.4">
      <c r="A39" s="6">
        <v>2026</v>
      </c>
      <c r="B39" s="6">
        <v>1</v>
      </c>
      <c r="C39" s="13" t="s">
        <v>19</v>
      </c>
      <c r="D39" s="2" t="s">
        <v>6</v>
      </c>
      <c r="E39" s="14" t="s">
        <v>10</v>
      </c>
      <c r="F39" s="22">
        <v>10</v>
      </c>
      <c r="H39" s="5" t="e">
        <f ca="1">_xlfn.FORMULATEXT(표1[[#This Row],[Q''ty]])</f>
        <v>#N/A</v>
      </c>
    </row>
    <row r="40" spans="1:8" ht="15" hidden="1" customHeight="1" x14ac:dyDescent="0.4">
      <c r="A40" s="6">
        <v>2026</v>
      </c>
      <c r="B40" s="6">
        <v>1</v>
      </c>
      <c r="C40" s="13" t="s">
        <v>19</v>
      </c>
      <c r="D40" s="2" t="s">
        <v>6</v>
      </c>
      <c r="E40" s="14" t="s">
        <v>11</v>
      </c>
      <c r="F40" s="22">
        <v>12</v>
      </c>
      <c r="H40" s="5" t="e">
        <f ca="1">_xlfn.FORMULATEXT(표1[[#This Row],[Q''ty]])</f>
        <v>#N/A</v>
      </c>
    </row>
    <row r="41" spans="1:8" ht="15" hidden="1" customHeight="1" x14ac:dyDescent="0.4">
      <c r="A41" s="6">
        <v>2026</v>
      </c>
      <c r="B41" s="6">
        <v>1</v>
      </c>
      <c r="C41" s="13" t="s">
        <v>19</v>
      </c>
      <c r="D41" s="2" t="s">
        <v>12</v>
      </c>
      <c r="E41" s="14" t="s">
        <v>13</v>
      </c>
      <c r="F41" s="22">
        <v>24</v>
      </c>
      <c r="H41" s="5" t="e">
        <f ca="1">_xlfn.FORMULATEXT(표1[[#This Row],[Q''ty]])</f>
        <v>#N/A</v>
      </c>
    </row>
    <row r="42" spans="1:8" ht="15" hidden="1" customHeight="1" x14ac:dyDescent="0.4">
      <c r="A42" s="6">
        <v>2026</v>
      </c>
      <c r="B42" s="6">
        <v>1</v>
      </c>
      <c r="C42" s="13" t="s">
        <v>19</v>
      </c>
      <c r="D42" s="2" t="s">
        <v>12</v>
      </c>
      <c r="E42" s="14" t="s">
        <v>14</v>
      </c>
      <c r="F42" s="22">
        <v>24</v>
      </c>
      <c r="H42" s="5" t="e">
        <f ca="1">_xlfn.FORMULATEXT(표1[[#This Row],[Q''ty]])</f>
        <v>#N/A</v>
      </c>
    </row>
    <row r="43" spans="1:8" ht="15" hidden="1" customHeight="1" x14ac:dyDescent="0.4">
      <c r="A43" s="6">
        <v>2026</v>
      </c>
      <c r="B43" s="6">
        <v>1</v>
      </c>
      <c r="C43" s="13" t="s">
        <v>19</v>
      </c>
      <c r="D43" s="2" t="s">
        <v>12</v>
      </c>
      <c r="E43" s="14" t="s">
        <v>15</v>
      </c>
      <c r="F43" s="22">
        <v>215</v>
      </c>
      <c r="H43" s="5" t="e">
        <f ca="1">_xlfn.FORMULATEXT(표1[[#This Row],[Q''ty]])</f>
        <v>#N/A</v>
      </c>
    </row>
    <row r="44" spans="1:8" ht="15" hidden="1" customHeight="1" x14ac:dyDescent="0.4">
      <c r="A44" s="6">
        <v>2026</v>
      </c>
      <c r="B44" s="6">
        <v>1</v>
      </c>
      <c r="C44" s="13" t="s">
        <v>19</v>
      </c>
      <c r="D44" s="2" t="s">
        <v>12</v>
      </c>
      <c r="E44" s="14" t="s">
        <v>16</v>
      </c>
      <c r="F44" s="22">
        <v>215</v>
      </c>
      <c r="H44" s="5" t="e">
        <f ca="1">_xlfn.FORMULATEXT(표1[[#This Row],[Q''ty]])</f>
        <v>#N/A</v>
      </c>
    </row>
    <row r="45" spans="1:8" ht="15" hidden="1" customHeight="1" thickBot="1" x14ac:dyDescent="0.45">
      <c r="A45" s="15">
        <v>2026</v>
      </c>
      <c r="B45" s="15">
        <v>1</v>
      </c>
      <c r="C45" s="16" t="s">
        <v>19</v>
      </c>
      <c r="D45" s="17" t="s">
        <v>12</v>
      </c>
      <c r="E45" s="18" t="s">
        <v>17</v>
      </c>
      <c r="F45" s="23">
        <v>247</v>
      </c>
      <c r="H45" s="5" t="e">
        <f ca="1">_xlfn.FORMULATEXT(표1[[#This Row],[Q''ty]])</f>
        <v>#N/A</v>
      </c>
    </row>
    <row r="46" spans="1:8" ht="15" hidden="1" customHeight="1" thickTop="1" x14ac:dyDescent="0.4">
      <c r="A46" s="6">
        <v>2026</v>
      </c>
      <c r="B46" s="6">
        <v>1</v>
      </c>
      <c r="C46" s="13" t="s">
        <v>30</v>
      </c>
      <c r="D46" s="2" t="s">
        <v>6</v>
      </c>
      <c r="E46" s="14" t="s">
        <v>7</v>
      </c>
      <c r="F46" s="22">
        <v>3</v>
      </c>
      <c r="H46" s="5" t="e">
        <f ca="1">_xlfn.FORMULATEXT(표1[[#This Row],[Q''ty]])</f>
        <v>#N/A</v>
      </c>
    </row>
    <row r="47" spans="1:8" ht="15" hidden="1" customHeight="1" x14ac:dyDescent="0.4">
      <c r="A47" s="6">
        <v>2026</v>
      </c>
      <c r="B47" s="6">
        <v>1</v>
      </c>
      <c r="C47" s="13" t="s">
        <v>25</v>
      </c>
      <c r="D47" s="2" t="s">
        <v>6</v>
      </c>
      <c r="E47" s="14" t="s">
        <v>8</v>
      </c>
      <c r="F47" s="22">
        <v>3</v>
      </c>
      <c r="H47" s="5" t="e">
        <f ca="1">_xlfn.FORMULATEXT(표1[[#This Row],[Q''ty]])</f>
        <v>#N/A</v>
      </c>
    </row>
    <row r="48" spans="1:8" ht="15" hidden="1" customHeight="1" x14ac:dyDescent="0.4">
      <c r="A48" s="6">
        <v>2026</v>
      </c>
      <c r="B48" s="6">
        <v>1</v>
      </c>
      <c r="C48" s="13" t="s">
        <v>25</v>
      </c>
      <c r="D48" s="2" t="s">
        <v>6</v>
      </c>
      <c r="E48" s="14" t="s">
        <v>9</v>
      </c>
      <c r="F48" s="22">
        <v>2</v>
      </c>
      <c r="H48" s="5" t="e">
        <f ca="1">_xlfn.FORMULATEXT(표1[[#This Row],[Q''ty]])</f>
        <v>#N/A</v>
      </c>
    </row>
    <row r="49" spans="1:8" ht="15" hidden="1" customHeight="1" x14ac:dyDescent="0.4">
      <c r="A49" s="6">
        <v>2026</v>
      </c>
      <c r="B49" s="6">
        <v>1</v>
      </c>
      <c r="C49" s="13" t="s">
        <v>25</v>
      </c>
      <c r="D49" s="2" t="s">
        <v>6</v>
      </c>
      <c r="E49" s="14" t="s">
        <v>27</v>
      </c>
      <c r="F49" s="22">
        <v>2</v>
      </c>
      <c r="H49" s="5" t="e">
        <f ca="1">_xlfn.FORMULATEXT(표1[[#This Row],[Q''ty]])</f>
        <v>#N/A</v>
      </c>
    </row>
    <row r="50" spans="1:8" ht="15" hidden="1" customHeight="1" x14ac:dyDescent="0.4">
      <c r="A50" s="6">
        <v>2026</v>
      </c>
      <c r="B50" s="6">
        <v>1</v>
      </c>
      <c r="C50" s="13" t="s">
        <v>25</v>
      </c>
      <c r="D50" s="2" t="s">
        <v>6</v>
      </c>
      <c r="E50" s="14" t="s">
        <v>10</v>
      </c>
      <c r="F50" s="22">
        <v>3</v>
      </c>
      <c r="H50" s="5" t="e">
        <f ca="1">_xlfn.FORMULATEXT(표1[[#This Row],[Q''ty]])</f>
        <v>#N/A</v>
      </c>
    </row>
    <row r="51" spans="1:8" ht="15" hidden="1" customHeight="1" x14ac:dyDescent="0.4">
      <c r="A51" s="6">
        <v>2026</v>
      </c>
      <c r="B51" s="6">
        <v>1</v>
      </c>
      <c r="C51" s="13" t="s">
        <v>25</v>
      </c>
      <c r="D51" s="2" t="s">
        <v>6</v>
      </c>
      <c r="E51" s="14" t="s">
        <v>11</v>
      </c>
      <c r="F51" s="22">
        <v>4</v>
      </c>
      <c r="H51" s="5" t="e">
        <f ca="1">_xlfn.FORMULATEXT(표1[[#This Row],[Q''ty]])</f>
        <v>#N/A</v>
      </c>
    </row>
    <row r="52" spans="1:8" ht="15" hidden="1" customHeight="1" x14ac:dyDescent="0.4">
      <c r="A52" s="6">
        <v>2026</v>
      </c>
      <c r="B52" s="6">
        <v>1</v>
      </c>
      <c r="C52" s="13" t="s">
        <v>25</v>
      </c>
      <c r="D52" s="2" t="s">
        <v>12</v>
      </c>
      <c r="E52" s="14" t="s">
        <v>13</v>
      </c>
      <c r="F52" s="22">
        <v>0</v>
      </c>
      <c r="H52" s="5" t="e">
        <f ca="1">_xlfn.FORMULATEXT(표1[[#This Row],[Q''ty]])</f>
        <v>#N/A</v>
      </c>
    </row>
    <row r="53" spans="1:8" ht="15" hidden="1" customHeight="1" x14ac:dyDescent="0.4">
      <c r="A53" s="6">
        <v>2026</v>
      </c>
      <c r="B53" s="6">
        <v>1</v>
      </c>
      <c r="C53" s="13" t="s">
        <v>25</v>
      </c>
      <c r="D53" s="2" t="s">
        <v>12</v>
      </c>
      <c r="E53" s="14" t="s">
        <v>14</v>
      </c>
      <c r="F53" s="22">
        <v>0</v>
      </c>
      <c r="H53" s="5" t="e">
        <f ca="1">_xlfn.FORMULATEXT(표1[[#This Row],[Q''ty]])</f>
        <v>#N/A</v>
      </c>
    </row>
    <row r="54" spans="1:8" ht="15" hidden="1" customHeight="1" x14ac:dyDescent="0.4">
      <c r="A54" s="6">
        <v>2026</v>
      </c>
      <c r="B54" s="6">
        <v>1</v>
      </c>
      <c r="C54" s="13" t="s">
        <v>25</v>
      </c>
      <c r="D54" s="2" t="s">
        <v>12</v>
      </c>
      <c r="E54" s="14" t="s">
        <v>15</v>
      </c>
      <c r="F54" s="22">
        <v>0</v>
      </c>
      <c r="H54" s="5" t="e">
        <f ca="1">_xlfn.FORMULATEXT(표1[[#This Row],[Q''ty]])</f>
        <v>#N/A</v>
      </c>
    </row>
    <row r="55" spans="1:8" ht="15" hidden="1" customHeight="1" x14ac:dyDescent="0.4">
      <c r="A55" s="6">
        <v>2026</v>
      </c>
      <c r="B55" s="6">
        <v>1</v>
      </c>
      <c r="C55" s="13" t="s">
        <v>25</v>
      </c>
      <c r="D55" s="2" t="s">
        <v>12</v>
      </c>
      <c r="E55" s="14" t="s">
        <v>16</v>
      </c>
      <c r="F55" s="22">
        <v>0</v>
      </c>
      <c r="H55" s="5" t="e">
        <f ca="1">_xlfn.FORMULATEXT(표1[[#This Row],[Q''ty]])</f>
        <v>#N/A</v>
      </c>
    </row>
    <row r="56" spans="1:8" ht="15" hidden="1" customHeight="1" thickBot="1" x14ac:dyDescent="0.45">
      <c r="A56" s="15">
        <v>2026</v>
      </c>
      <c r="B56" s="15">
        <v>1</v>
      </c>
      <c r="C56" s="16" t="s">
        <v>25</v>
      </c>
      <c r="D56" s="17" t="s">
        <v>12</v>
      </c>
      <c r="E56" s="18" t="s">
        <v>17</v>
      </c>
      <c r="F56" s="23">
        <v>0</v>
      </c>
      <c r="H56" s="5" t="e">
        <f ca="1">_xlfn.FORMULATEXT(표1[[#This Row],[Q''ty]])</f>
        <v>#N/A</v>
      </c>
    </row>
    <row r="57" spans="1:8" ht="15" hidden="1" customHeight="1" thickTop="1" x14ac:dyDescent="0.4">
      <c r="A57" s="6">
        <v>2026</v>
      </c>
      <c r="B57" s="6">
        <v>1</v>
      </c>
      <c r="C57" s="13" t="s">
        <v>31</v>
      </c>
      <c r="D57" s="2" t="s">
        <v>6</v>
      </c>
      <c r="E57" s="14" t="s">
        <v>7</v>
      </c>
      <c r="F57" s="22">
        <v>6</v>
      </c>
      <c r="H57" s="5" t="e">
        <f ca="1">_xlfn.FORMULATEXT(표1[[#This Row],[Q''ty]])</f>
        <v>#N/A</v>
      </c>
    </row>
    <row r="58" spans="1:8" ht="15" hidden="1" customHeight="1" x14ac:dyDescent="0.4">
      <c r="A58" s="6">
        <v>2026</v>
      </c>
      <c r="B58" s="6">
        <v>1</v>
      </c>
      <c r="C58" s="13" t="s">
        <v>26</v>
      </c>
      <c r="D58" s="2" t="s">
        <v>6</v>
      </c>
      <c r="E58" s="14" t="s">
        <v>8</v>
      </c>
      <c r="F58" s="22">
        <v>4</v>
      </c>
      <c r="H58" s="5" t="e">
        <f ca="1">_xlfn.FORMULATEXT(표1[[#This Row],[Q''ty]])</f>
        <v>#N/A</v>
      </c>
    </row>
    <row r="59" spans="1:8" ht="15" hidden="1" customHeight="1" x14ac:dyDescent="0.4">
      <c r="A59" s="6">
        <v>2026</v>
      </c>
      <c r="B59" s="6">
        <v>1</v>
      </c>
      <c r="C59" s="13" t="s">
        <v>26</v>
      </c>
      <c r="D59" s="2" t="s">
        <v>6</v>
      </c>
      <c r="E59" s="14" t="s">
        <v>9</v>
      </c>
      <c r="F59" s="22">
        <v>2</v>
      </c>
      <c r="H59" s="5" t="e">
        <f ca="1">_xlfn.FORMULATEXT(표1[[#This Row],[Q''ty]])</f>
        <v>#N/A</v>
      </c>
    </row>
    <row r="60" spans="1:8" ht="15" hidden="1" customHeight="1" x14ac:dyDescent="0.4">
      <c r="A60" s="6">
        <v>2026</v>
      </c>
      <c r="B60" s="6">
        <v>1</v>
      </c>
      <c r="C60" s="13" t="s">
        <v>26</v>
      </c>
      <c r="D60" s="2" t="s">
        <v>6</v>
      </c>
      <c r="E60" s="14" t="s">
        <v>27</v>
      </c>
      <c r="F60" s="22">
        <v>3</v>
      </c>
      <c r="H60" s="5" t="e">
        <f ca="1">_xlfn.FORMULATEXT(표1[[#This Row],[Q''ty]])</f>
        <v>#N/A</v>
      </c>
    </row>
    <row r="61" spans="1:8" ht="15" hidden="1" customHeight="1" x14ac:dyDescent="0.4">
      <c r="A61" s="6">
        <v>2026</v>
      </c>
      <c r="B61" s="6">
        <v>1</v>
      </c>
      <c r="C61" s="13" t="s">
        <v>26</v>
      </c>
      <c r="D61" s="2" t="s">
        <v>6</v>
      </c>
      <c r="E61" s="14" t="s">
        <v>10</v>
      </c>
      <c r="F61" s="22">
        <v>4</v>
      </c>
      <c r="H61" s="5" t="e">
        <f ca="1">_xlfn.FORMULATEXT(표1[[#This Row],[Q''ty]])</f>
        <v>#N/A</v>
      </c>
    </row>
    <row r="62" spans="1:8" ht="15" hidden="1" customHeight="1" x14ac:dyDescent="0.4">
      <c r="A62" s="6">
        <v>2026</v>
      </c>
      <c r="B62" s="6">
        <v>1</v>
      </c>
      <c r="C62" s="13" t="s">
        <v>26</v>
      </c>
      <c r="D62" s="2" t="s">
        <v>6</v>
      </c>
      <c r="E62" s="14" t="s">
        <v>11</v>
      </c>
      <c r="F62" s="22">
        <v>6</v>
      </c>
      <c r="H62" s="5" t="e">
        <f ca="1">_xlfn.FORMULATEXT(표1[[#This Row],[Q''ty]])</f>
        <v>#N/A</v>
      </c>
    </row>
    <row r="63" spans="1:8" ht="15" hidden="1" customHeight="1" x14ac:dyDescent="0.4">
      <c r="A63" s="6">
        <v>2026</v>
      </c>
      <c r="B63" s="6">
        <v>1</v>
      </c>
      <c r="C63" s="13" t="s">
        <v>26</v>
      </c>
      <c r="D63" s="2" t="s">
        <v>12</v>
      </c>
      <c r="E63" s="14" t="s">
        <v>13</v>
      </c>
      <c r="F63" s="22">
        <v>15</v>
      </c>
      <c r="H63" s="5" t="e">
        <f ca="1">_xlfn.FORMULATEXT(표1[[#This Row],[Q''ty]])</f>
        <v>#N/A</v>
      </c>
    </row>
    <row r="64" spans="1:8" ht="15" hidden="1" customHeight="1" x14ac:dyDescent="0.4">
      <c r="A64" s="6">
        <v>2026</v>
      </c>
      <c r="B64" s="6">
        <v>1</v>
      </c>
      <c r="C64" s="13" t="s">
        <v>26</v>
      </c>
      <c r="D64" s="2" t="s">
        <v>12</v>
      </c>
      <c r="E64" s="14" t="s">
        <v>14</v>
      </c>
      <c r="F64" s="22">
        <v>20</v>
      </c>
      <c r="H64" s="5" t="e">
        <f ca="1">_xlfn.FORMULATEXT(표1[[#This Row],[Q''ty]])</f>
        <v>#N/A</v>
      </c>
    </row>
    <row r="65" spans="1:8" ht="15" hidden="1" customHeight="1" x14ac:dyDescent="0.4">
      <c r="A65" s="6">
        <v>2026</v>
      </c>
      <c r="B65" s="6">
        <v>1</v>
      </c>
      <c r="C65" s="13" t="s">
        <v>26</v>
      </c>
      <c r="D65" s="2" t="s">
        <v>12</v>
      </c>
      <c r="E65" s="14" t="s">
        <v>15</v>
      </c>
      <c r="F65" s="22">
        <v>118</v>
      </c>
      <c r="H65" s="5" t="e">
        <f ca="1">_xlfn.FORMULATEXT(표1[[#This Row],[Q''ty]])</f>
        <v>#N/A</v>
      </c>
    </row>
    <row r="66" spans="1:8" ht="15" hidden="1" customHeight="1" x14ac:dyDescent="0.4">
      <c r="A66" s="6">
        <v>2026</v>
      </c>
      <c r="B66" s="6">
        <v>1</v>
      </c>
      <c r="C66" s="13" t="s">
        <v>26</v>
      </c>
      <c r="D66" s="2" t="s">
        <v>12</v>
      </c>
      <c r="E66" s="14" t="s">
        <v>16</v>
      </c>
      <c r="F66" s="22">
        <v>124</v>
      </c>
      <c r="H66" s="5" t="e">
        <f ca="1">_xlfn.FORMULATEXT(표1[[#This Row],[Q''ty]])</f>
        <v>#N/A</v>
      </c>
    </row>
    <row r="67" spans="1:8" ht="15" hidden="1" customHeight="1" thickBot="1" x14ac:dyDescent="0.45">
      <c r="A67" s="15">
        <v>2026</v>
      </c>
      <c r="B67" s="15">
        <v>1</v>
      </c>
      <c r="C67" s="16" t="s">
        <v>26</v>
      </c>
      <c r="D67" s="17" t="s">
        <v>12</v>
      </c>
      <c r="E67" s="18" t="s">
        <v>17</v>
      </c>
      <c r="F67" s="23">
        <v>158</v>
      </c>
      <c r="H67" s="5" t="e">
        <f ca="1">_xlfn.FORMULATEXT(표1[[#This Row],[Q''ty]])</f>
        <v>#N/A</v>
      </c>
    </row>
    <row r="68" spans="1:8" ht="15" hidden="1" customHeight="1" thickTop="1" x14ac:dyDescent="0.4">
      <c r="A68" s="6">
        <v>2026</v>
      </c>
      <c r="B68" s="6">
        <v>1</v>
      </c>
      <c r="C68" s="13" t="s">
        <v>20</v>
      </c>
      <c r="D68" s="2" t="s">
        <v>6</v>
      </c>
      <c r="E68" s="14" t="s">
        <v>7</v>
      </c>
      <c r="F68" s="22">
        <v>30</v>
      </c>
      <c r="H68" s="5" t="e">
        <f ca="1">_xlfn.FORMULATEXT(표1[[#This Row],[Q''ty]])</f>
        <v>#N/A</v>
      </c>
    </row>
    <row r="69" spans="1:8" ht="15" hidden="1" customHeight="1" x14ac:dyDescent="0.4">
      <c r="A69" s="6">
        <v>2026</v>
      </c>
      <c r="B69" s="6">
        <v>1</v>
      </c>
      <c r="C69" s="13" t="s">
        <v>20</v>
      </c>
      <c r="D69" s="2" t="s">
        <v>6</v>
      </c>
      <c r="E69" s="14" t="s">
        <v>8</v>
      </c>
      <c r="F69" s="22">
        <v>16</v>
      </c>
      <c r="H69" s="5" t="e">
        <f ca="1">_xlfn.FORMULATEXT(표1[[#This Row],[Q''ty]])</f>
        <v>#N/A</v>
      </c>
    </row>
    <row r="70" spans="1:8" ht="15" hidden="1" customHeight="1" x14ac:dyDescent="0.4">
      <c r="A70" s="6">
        <v>2026</v>
      </c>
      <c r="B70" s="6">
        <v>1</v>
      </c>
      <c r="C70" s="13" t="s">
        <v>20</v>
      </c>
      <c r="D70" s="2" t="s">
        <v>6</v>
      </c>
      <c r="E70" s="14" t="s">
        <v>9</v>
      </c>
      <c r="F70" s="22">
        <v>8</v>
      </c>
      <c r="H70" s="5" t="e">
        <f ca="1">_xlfn.FORMULATEXT(표1[[#This Row],[Q''ty]])</f>
        <v>#N/A</v>
      </c>
    </row>
    <row r="71" spans="1:8" ht="15" hidden="1" customHeight="1" x14ac:dyDescent="0.4">
      <c r="A71" s="6">
        <v>2026</v>
      </c>
      <c r="B71" s="6">
        <v>1</v>
      </c>
      <c r="C71" s="13" t="s">
        <v>20</v>
      </c>
      <c r="D71" s="2" t="s">
        <v>6</v>
      </c>
      <c r="E71" s="14" t="s">
        <v>27</v>
      </c>
      <c r="F71" s="22">
        <v>6</v>
      </c>
      <c r="H71" s="5" t="e">
        <f ca="1">_xlfn.FORMULATEXT(표1[[#This Row],[Q''ty]])</f>
        <v>#N/A</v>
      </c>
    </row>
    <row r="72" spans="1:8" ht="15" hidden="1" customHeight="1" x14ac:dyDescent="0.4">
      <c r="A72" s="6">
        <v>2026</v>
      </c>
      <c r="B72" s="6">
        <v>1</v>
      </c>
      <c r="C72" s="13" t="s">
        <v>20</v>
      </c>
      <c r="D72" s="2" t="s">
        <v>6</v>
      </c>
      <c r="E72" s="14" t="s">
        <v>10</v>
      </c>
      <c r="F72" s="22">
        <v>11</v>
      </c>
      <c r="H72" s="5" t="e">
        <f ca="1">_xlfn.FORMULATEXT(표1[[#This Row],[Q''ty]])</f>
        <v>#N/A</v>
      </c>
    </row>
    <row r="73" spans="1:8" ht="15" hidden="1" customHeight="1" x14ac:dyDescent="0.4">
      <c r="A73" s="6">
        <v>2026</v>
      </c>
      <c r="B73" s="6">
        <v>1</v>
      </c>
      <c r="C73" s="13" t="s">
        <v>20</v>
      </c>
      <c r="D73" s="2" t="s">
        <v>6</v>
      </c>
      <c r="E73" s="14" t="s">
        <v>11</v>
      </c>
      <c r="F73" s="22">
        <v>15</v>
      </c>
      <c r="H73" s="5" t="e">
        <f ca="1">_xlfn.FORMULATEXT(표1[[#This Row],[Q''ty]])</f>
        <v>#N/A</v>
      </c>
    </row>
    <row r="74" spans="1:8" ht="15" hidden="1" customHeight="1" x14ac:dyDescent="0.4">
      <c r="A74" s="6">
        <v>2026</v>
      </c>
      <c r="B74" s="6">
        <v>1</v>
      </c>
      <c r="C74" s="13" t="s">
        <v>20</v>
      </c>
      <c r="D74" s="2" t="s">
        <v>12</v>
      </c>
      <c r="E74" s="14" t="s">
        <v>13</v>
      </c>
      <c r="F74" s="22">
        <v>0</v>
      </c>
      <c r="H74" s="5" t="e">
        <f ca="1">_xlfn.FORMULATEXT(표1[[#This Row],[Q''ty]])</f>
        <v>#N/A</v>
      </c>
    </row>
    <row r="75" spans="1:8" ht="15" hidden="1" customHeight="1" x14ac:dyDescent="0.4">
      <c r="A75" s="6">
        <v>2026</v>
      </c>
      <c r="B75" s="6">
        <v>1</v>
      </c>
      <c r="C75" s="13" t="s">
        <v>20</v>
      </c>
      <c r="D75" s="2" t="s">
        <v>12</v>
      </c>
      <c r="E75" s="14" t="s">
        <v>14</v>
      </c>
      <c r="F75" s="22">
        <v>0</v>
      </c>
      <c r="H75" s="5" t="e">
        <f ca="1">_xlfn.FORMULATEXT(표1[[#This Row],[Q''ty]])</f>
        <v>#N/A</v>
      </c>
    </row>
    <row r="76" spans="1:8" ht="15" hidden="1" customHeight="1" x14ac:dyDescent="0.4">
      <c r="A76" s="6">
        <v>2026</v>
      </c>
      <c r="B76" s="6">
        <v>1</v>
      </c>
      <c r="C76" s="13" t="s">
        <v>20</v>
      </c>
      <c r="D76" s="2" t="s">
        <v>12</v>
      </c>
      <c r="E76" s="14" t="s">
        <v>15</v>
      </c>
      <c r="F76" s="22">
        <v>0</v>
      </c>
      <c r="H76" s="5" t="e">
        <f ca="1">_xlfn.FORMULATEXT(표1[[#This Row],[Q''ty]])</f>
        <v>#N/A</v>
      </c>
    </row>
    <row r="77" spans="1:8" ht="15" hidden="1" customHeight="1" x14ac:dyDescent="0.4">
      <c r="A77" s="6">
        <v>2026</v>
      </c>
      <c r="B77" s="6">
        <v>1</v>
      </c>
      <c r="C77" s="13" t="s">
        <v>20</v>
      </c>
      <c r="D77" s="2" t="s">
        <v>12</v>
      </c>
      <c r="E77" s="14" t="s">
        <v>16</v>
      </c>
      <c r="F77" s="22">
        <v>0</v>
      </c>
      <c r="H77" s="5" t="e">
        <f ca="1">_xlfn.FORMULATEXT(표1[[#This Row],[Q''ty]])</f>
        <v>#N/A</v>
      </c>
    </row>
    <row r="78" spans="1:8" ht="15" hidden="1" customHeight="1" thickBot="1" x14ac:dyDescent="0.45">
      <c r="A78" s="15">
        <v>2026</v>
      </c>
      <c r="B78" s="15">
        <v>1</v>
      </c>
      <c r="C78" s="16" t="s">
        <v>20</v>
      </c>
      <c r="D78" s="17" t="s">
        <v>12</v>
      </c>
      <c r="E78" s="18" t="s">
        <v>17</v>
      </c>
      <c r="F78" s="23">
        <v>0</v>
      </c>
      <c r="H78" s="5" t="e">
        <f ca="1">_xlfn.FORMULATEXT(표1[[#This Row],[Q''ty]])</f>
        <v>#N/A</v>
      </c>
    </row>
    <row r="79" spans="1:8" ht="15" hidden="1" customHeight="1" thickTop="1" x14ac:dyDescent="0.4">
      <c r="A79" s="6">
        <v>2026</v>
      </c>
      <c r="B79" s="6">
        <v>1</v>
      </c>
      <c r="C79" s="13" t="s">
        <v>21</v>
      </c>
      <c r="D79" s="2" t="s">
        <v>6</v>
      </c>
      <c r="E79" s="14" t="s">
        <v>7</v>
      </c>
      <c r="F79" s="22">
        <v>6</v>
      </c>
      <c r="H79" s="5" t="e">
        <f ca="1">_xlfn.FORMULATEXT(표1[[#This Row],[Q''ty]])</f>
        <v>#N/A</v>
      </c>
    </row>
    <row r="80" spans="1:8" ht="15" hidden="1" customHeight="1" x14ac:dyDescent="0.4">
      <c r="A80" s="6">
        <v>2026</v>
      </c>
      <c r="B80" s="6">
        <v>1</v>
      </c>
      <c r="C80" s="13" t="s">
        <v>21</v>
      </c>
      <c r="D80" s="2" t="s">
        <v>6</v>
      </c>
      <c r="E80" s="14" t="s">
        <v>8</v>
      </c>
      <c r="F80" s="22">
        <v>4</v>
      </c>
      <c r="H80" s="5" t="e">
        <f ca="1">_xlfn.FORMULATEXT(표1[[#This Row],[Q''ty]])</f>
        <v>#N/A</v>
      </c>
    </row>
    <row r="81" spans="1:8" ht="15" hidden="1" customHeight="1" x14ac:dyDescent="0.4">
      <c r="A81" s="6">
        <v>2026</v>
      </c>
      <c r="B81" s="6">
        <v>1</v>
      </c>
      <c r="C81" s="13" t="s">
        <v>21</v>
      </c>
      <c r="D81" s="2" t="s">
        <v>6</v>
      </c>
      <c r="E81" s="14" t="s">
        <v>9</v>
      </c>
      <c r="F81" s="22">
        <v>4</v>
      </c>
      <c r="H81" s="5" t="e">
        <f ca="1">_xlfn.FORMULATEXT(표1[[#This Row],[Q''ty]])</f>
        <v>#N/A</v>
      </c>
    </row>
    <row r="82" spans="1:8" ht="15" hidden="1" customHeight="1" x14ac:dyDescent="0.4">
      <c r="A82" s="6">
        <v>2026</v>
      </c>
      <c r="B82" s="6">
        <v>1</v>
      </c>
      <c r="C82" s="13" t="s">
        <v>21</v>
      </c>
      <c r="D82" s="2" t="s">
        <v>6</v>
      </c>
      <c r="E82" s="14" t="s">
        <v>27</v>
      </c>
      <c r="F82" s="22">
        <v>3</v>
      </c>
      <c r="H82" s="5" t="e">
        <f ca="1">_xlfn.FORMULATEXT(표1[[#This Row],[Q''ty]])</f>
        <v>#N/A</v>
      </c>
    </row>
    <row r="83" spans="1:8" ht="15" hidden="1" customHeight="1" x14ac:dyDescent="0.4">
      <c r="A83" s="6">
        <v>2026</v>
      </c>
      <c r="B83" s="6">
        <v>1</v>
      </c>
      <c r="C83" s="13" t="s">
        <v>21</v>
      </c>
      <c r="D83" s="2" t="s">
        <v>6</v>
      </c>
      <c r="E83" s="14" t="s">
        <v>10</v>
      </c>
      <c r="F83" s="22">
        <v>4</v>
      </c>
      <c r="H83" s="5" t="e">
        <f ca="1">_xlfn.FORMULATEXT(표1[[#This Row],[Q''ty]])</f>
        <v>#N/A</v>
      </c>
    </row>
    <row r="84" spans="1:8" ht="15" hidden="1" customHeight="1" x14ac:dyDescent="0.4">
      <c r="A84" s="6">
        <v>2026</v>
      </c>
      <c r="B84" s="6">
        <v>1</v>
      </c>
      <c r="C84" s="13" t="s">
        <v>21</v>
      </c>
      <c r="D84" s="2" t="s">
        <v>6</v>
      </c>
      <c r="E84" s="14" t="s">
        <v>11</v>
      </c>
      <c r="F84" s="22">
        <v>6.5</v>
      </c>
      <c r="H84" s="5" t="e">
        <f ca="1">_xlfn.FORMULATEXT(표1[[#This Row],[Q''ty]])</f>
        <v>#N/A</v>
      </c>
    </row>
    <row r="85" spans="1:8" ht="15" hidden="1" customHeight="1" x14ac:dyDescent="0.4">
      <c r="A85" s="6">
        <v>2026</v>
      </c>
      <c r="B85" s="6">
        <v>1</v>
      </c>
      <c r="C85" s="13" t="s">
        <v>21</v>
      </c>
      <c r="D85" s="2" t="s">
        <v>12</v>
      </c>
      <c r="E85" s="14" t="s">
        <v>13</v>
      </c>
      <c r="F85" s="22">
        <v>0</v>
      </c>
      <c r="H85" s="5" t="e">
        <f ca="1">_xlfn.FORMULATEXT(표1[[#This Row],[Q''ty]])</f>
        <v>#N/A</v>
      </c>
    </row>
    <row r="86" spans="1:8" ht="15" hidden="1" customHeight="1" x14ac:dyDescent="0.4">
      <c r="A86" s="6">
        <v>2026</v>
      </c>
      <c r="B86" s="6">
        <v>1</v>
      </c>
      <c r="C86" s="13" t="s">
        <v>21</v>
      </c>
      <c r="D86" s="2" t="s">
        <v>12</v>
      </c>
      <c r="E86" s="14" t="s">
        <v>14</v>
      </c>
      <c r="F86" s="22">
        <v>0</v>
      </c>
      <c r="H86" s="5" t="e">
        <f ca="1">_xlfn.FORMULATEXT(표1[[#This Row],[Q''ty]])</f>
        <v>#N/A</v>
      </c>
    </row>
    <row r="87" spans="1:8" ht="15" hidden="1" customHeight="1" x14ac:dyDescent="0.4">
      <c r="A87" s="6">
        <v>2026</v>
      </c>
      <c r="B87" s="6">
        <v>1</v>
      </c>
      <c r="C87" s="13" t="s">
        <v>21</v>
      </c>
      <c r="D87" s="2" t="s">
        <v>12</v>
      </c>
      <c r="E87" s="14" t="s">
        <v>15</v>
      </c>
      <c r="F87" s="22">
        <v>0</v>
      </c>
      <c r="H87" s="5" t="e">
        <f ca="1">_xlfn.FORMULATEXT(표1[[#This Row],[Q''ty]])</f>
        <v>#N/A</v>
      </c>
    </row>
    <row r="88" spans="1:8" ht="15" hidden="1" customHeight="1" x14ac:dyDescent="0.4">
      <c r="A88" s="6">
        <v>2026</v>
      </c>
      <c r="B88" s="6">
        <v>1</v>
      </c>
      <c r="C88" s="13" t="s">
        <v>21</v>
      </c>
      <c r="D88" s="2" t="s">
        <v>12</v>
      </c>
      <c r="E88" s="14" t="s">
        <v>16</v>
      </c>
      <c r="F88" s="22">
        <v>0</v>
      </c>
      <c r="H88" s="5" t="e">
        <f ca="1">_xlfn.FORMULATEXT(표1[[#This Row],[Q''ty]])</f>
        <v>#N/A</v>
      </c>
    </row>
    <row r="89" spans="1:8" ht="15" hidden="1" customHeight="1" thickBot="1" x14ac:dyDescent="0.45">
      <c r="A89" s="15">
        <v>2026</v>
      </c>
      <c r="B89" s="15">
        <v>1</v>
      </c>
      <c r="C89" s="16" t="s">
        <v>21</v>
      </c>
      <c r="D89" s="17" t="s">
        <v>12</v>
      </c>
      <c r="E89" s="18" t="s">
        <v>17</v>
      </c>
      <c r="F89" s="23">
        <v>0</v>
      </c>
      <c r="H89" s="5" t="e">
        <f ca="1">_xlfn.FORMULATEXT(표1[[#This Row],[Q''ty]])</f>
        <v>#N/A</v>
      </c>
    </row>
    <row r="90" spans="1:8" ht="15" hidden="1" customHeight="1" thickTop="1" x14ac:dyDescent="0.4">
      <c r="A90" s="6">
        <v>2026</v>
      </c>
      <c r="B90" s="6">
        <v>1</v>
      </c>
      <c r="C90" s="13" t="s">
        <v>22</v>
      </c>
      <c r="D90" s="2" t="s">
        <v>6</v>
      </c>
      <c r="E90" s="14" t="s">
        <v>7</v>
      </c>
      <c r="F90" s="21">
        <v>11</v>
      </c>
      <c r="H90" s="5" t="e">
        <f ca="1">_xlfn.FORMULATEXT(표1[[#This Row],[Q''ty]])</f>
        <v>#N/A</v>
      </c>
    </row>
    <row r="91" spans="1:8" ht="15" hidden="1" customHeight="1" x14ac:dyDescent="0.4">
      <c r="A91" s="6">
        <v>2026</v>
      </c>
      <c r="B91" s="6">
        <v>1</v>
      </c>
      <c r="C91" s="13" t="s">
        <v>22</v>
      </c>
      <c r="D91" s="2" t="s">
        <v>6</v>
      </c>
      <c r="E91" s="14" t="s">
        <v>8</v>
      </c>
      <c r="F91" s="22">
        <v>6</v>
      </c>
      <c r="H91" s="5" t="e">
        <f ca="1">_xlfn.FORMULATEXT(표1[[#This Row],[Q''ty]])</f>
        <v>#N/A</v>
      </c>
    </row>
    <row r="92" spans="1:8" ht="15" hidden="1" customHeight="1" x14ac:dyDescent="0.4">
      <c r="A92" s="6">
        <v>2026</v>
      </c>
      <c r="B92" s="6">
        <v>1</v>
      </c>
      <c r="C92" s="13" t="s">
        <v>22</v>
      </c>
      <c r="D92" s="2" t="s">
        <v>6</v>
      </c>
      <c r="E92" s="14" t="s">
        <v>9</v>
      </c>
      <c r="F92" s="22">
        <v>4</v>
      </c>
      <c r="H92" s="5" t="e">
        <f ca="1">_xlfn.FORMULATEXT(표1[[#This Row],[Q''ty]])</f>
        <v>#N/A</v>
      </c>
    </row>
    <row r="93" spans="1:8" ht="15" hidden="1" customHeight="1" x14ac:dyDescent="0.4">
      <c r="A93" s="6">
        <v>2026</v>
      </c>
      <c r="B93" s="6">
        <v>1</v>
      </c>
      <c r="C93" s="13" t="s">
        <v>22</v>
      </c>
      <c r="D93" s="2" t="s">
        <v>6</v>
      </c>
      <c r="E93" s="14" t="s">
        <v>27</v>
      </c>
      <c r="F93" s="22">
        <v>4</v>
      </c>
      <c r="H93" s="5" t="e">
        <f ca="1">_xlfn.FORMULATEXT(표1[[#This Row],[Q''ty]])</f>
        <v>#N/A</v>
      </c>
    </row>
    <row r="94" spans="1:8" ht="15" hidden="1" customHeight="1" x14ac:dyDescent="0.4">
      <c r="A94" s="6">
        <v>2026</v>
      </c>
      <c r="B94" s="6">
        <v>1</v>
      </c>
      <c r="C94" s="13" t="s">
        <v>22</v>
      </c>
      <c r="D94" s="2" t="s">
        <v>6</v>
      </c>
      <c r="E94" s="14" t="s">
        <v>10</v>
      </c>
      <c r="F94" s="22">
        <v>7</v>
      </c>
      <c r="H94" s="5" t="e">
        <f ca="1">_xlfn.FORMULATEXT(표1[[#This Row],[Q''ty]])</f>
        <v>#N/A</v>
      </c>
    </row>
    <row r="95" spans="1:8" ht="15" hidden="1" customHeight="1" x14ac:dyDescent="0.4">
      <c r="A95" s="6">
        <v>2026</v>
      </c>
      <c r="B95" s="6">
        <v>1</v>
      </c>
      <c r="C95" s="13" t="s">
        <v>22</v>
      </c>
      <c r="D95" s="2" t="s">
        <v>6</v>
      </c>
      <c r="E95" s="14" t="s">
        <v>11</v>
      </c>
      <c r="F95" s="22">
        <v>12.5</v>
      </c>
      <c r="H95" s="5" t="e">
        <f ca="1">_xlfn.FORMULATEXT(표1[[#This Row],[Q''ty]])</f>
        <v>#N/A</v>
      </c>
    </row>
    <row r="96" spans="1:8" ht="15" hidden="1" customHeight="1" x14ac:dyDescent="0.4">
      <c r="A96" s="6">
        <v>2026</v>
      </c>
      <c r="B96" s="6">
        <v>1</v>
      </c>
      <c r="C96" s="13" t="s">
        <v>22</v>
      </c>
      <c r="D96" s="2" t="s">
        <v>12</v>
      </c>
      <c r="E96" s="14" t="s">
        <v>13</v>
      </c>
      <c r="F96" s="22">
        <v>0</v>
      </c>
      <c r="H96" s="5" t="e">
        <f ca="1">_xlfn.FORMULATEXT(표1[[#This Row],[Q''ty]])</f>
        <v>#N/A</v>
      </c>
    </row>
    <row r="97" spans="1:10" ht="15" hidden="1" customHeight="1" x14ac:dyDescent="0.4">
      <c r="A97" s="6">
        <v>2026</v>
      </c>
      <c r="B97" s="6">
        <v>1</v>
      </c>
      <c r="C97" s="13" t="s">
        <v>22</v>
      </c>
      <c r="D97" s="2" t="s">
        <v>12</v>
      </c>
      <c r="E97" s="14" t="s">
        <v>14</v>
      </c>
      <c r="F97" s="22">
        <v>0</v>
      </c>
      <c r="H97" s="5" t="e">
        <f ca="1">_xlfn.FORMULATEXT(표1[[#This Row],[Q''ty]])</f>
        <v>#N/A</v>
      </c>
    </row>
    <row r="98" spans="1:10" ht="15" hidden="1" customHeight="1" x14ac:dyDescent="0.4">
      <c r="A98" s="6">
        <v>2026</v>
      </c>
      <c r="B98" s="6">
        <v>1</v>
      </c>
      <c r="C98" s="13" t="s">
        <v>22</v>
      </c>
      <c r="D98" s="2" t="s">
        <v>12</v>
      </c>
      <c r="E98" s="14" t="s">
        <v>15</v>
      </c>
      <c r="F98" s="22">
        <v>0</v>
      </c>
      <c r="H98" s="5" t="e">
        <f ca="1">_xlfn.FORMULATEXT(표1[[#This Row],[Q''ty]])</f>
        <v>#N/A</v>
      </c>
    </row>
    <row r="99" spans="1:10" ht="15" hidden="1" customHeight="1" x14ac:dyDescent="0.4">
      <c r="A99" s="6">
        <v>2026</v>
      </c>
      <c r="B99" s="6">
        <v>1</v>
      </c>
      <c r="C99" s="13" t="s">
        <v>22</v>
      </c>
      <c r="D99" s="2" t="s">
        <v>12</v>
      </c>
      <c r="E99" s="14" t="s">
        <v>16</v>
      </c>
      <c r="F99" s="22">
        <v>0</v>
      </c>
      <c r="H99" s="5" t="e">
        <f ca="1">_xlfn.FORMULATEXT(표1[[#This Row],[Q''ty]])</f>
        <v>#N/A</v>
      </c>
    </row>
    <row r="100" spans="1:10" ht="15" hidden="1" customHeight="1" thickBot="1" x14ac:dyDescent="0.45">
      <c r="A100" s="15">
        <v>2026</v>
      </c>
      <c r="B100" s="15">
        <v>1</v>
      </c>
      <c r="C100" s="16" t="s">
        <v>22</v>
      </c>
      <c r="D100" s="17" t="s">
        <v>12</v>
      </c>
      <c r="E100" s="18" t="s">
        <v>17</v>
      </c>
      <c r="F100" s="23">
        <v>0</v>
      </c>
      <c r="H100" s="5" t="e">
        <f ca="1">_xlfn.FORMULATEXT(표1[[#This Row],[Q''ty]])</f>
        <v>#N/A</v>
      </c>
    </row>
    <row r="101" spans="1:10" ht="15" hidden="1" customHeight="1" thickTop="1" x14ac:dyDescent="0.4">
      <c r="A101" s="9">
        <v>2026</v>
      </c>
      <c r="B101" s="9">
        <f>B2+1</f>
        <v>2</v>
      </c>
      <c r="C101" s="10" t="s">
        <v>28</v>
      </c>
      <c r="D101" s="11" t="s">
        <v>6</v>
      </c>
      <c r="E101" s="12" t="s">
        <v>7</v>
      </c>
      <c r="F101" s="21">
        <f t="shared" ref="F101:F106" si="0">F2</f>
        <v>15</v>
      </c>
      <c r="H101" s="5" t="str">
        <f ca="1">_xlfn.FORMULATEXT(표1[[#This Row],[Q''ty]])</f>
        <v>=F2</v>
      </c>
    </row>
    <row r="102" spans="1:10" s="2" customFormat="1" ht="15" hidden="1" customHeight="1" x14ac:dyDescent="0.4">
      <c r="A102" s="6">
        <v>2026</v>
      </c>
      <c r="B102" s="6">
        <f t="shared" ref="B102:B165" si="1">B3+1</f>
        <v>2</v>
      </c>
      <c r="C102" s="13" t="s">
        <v>23</v>
      </c>
      <c r="D102" s="2" t="s">
        <v>6</v>
      </c>
      <c r="E102" s="14" t="s">
        <v>8</v>
      </c>
      <c r="F102" s="22">
        <f t="shared" si="0"/>
        <v>10</v>
      </c>
      <c r="H102" s="5" t="str">
        <f ca="1">_xlfn.FORMULATEXT(표1[[#This Row],[Q''ty]])</f>
        <v>=F3</v>
      </c>
      <c r="I102" s="26"/>
      <c r="J102" s="26"/>
    </row>
    <row r="103" spans="1:10" s="2" customFormat="1" ht="15" hidden="1" customHeight="1" x14ac:dyDescent="0.4">
      <c r="A103" s="6">
        <v>2026</v>
      </c>
      <c r="B103" s="6">
        <f t="shared" si="1"/>
        <v>2</v>
      </c>
      <c r="C103" s="13" t="s">
        <v>23</v>
      </c>
      <c r="D103" s="2" t="s">
        <v>6</v>
      </c>
      <c r="E103" s="14" t="s">
        <v>9</v>
      </c>
      <c r="F103" s="22">
        <f t="shared" si="0"/>
        <v>5</v>
      </c>
      <c r="H103" s="5" t="str">
        <f ca="1">_xlfn.FORMULATEXT(표1[[#This Row],[Q''ty]])</f>
        <v>=F4</v>
      </c>
      <c r="I103" s="26"/>
      <c r="J103" s="26"/>
    </row>
    <row r="104" spans="1:10" ht="15" hidden="1" customHeight="1" x14ac:dyDescent="0.4">
      <c r="A104" s="6">
        <v>2026</v>
      </c>
      <c r="B104" s="6">
        <f t="shared" si="1"/>
        <v>2</v>
      </c>
      <c r="C104" s="13" t="s">
        <v>23</v>
      </c>
      <c r="D104" s="2" t="s">
        <v>6</v>
      </c>
      <c r="E104" s="14" t="s">
        <v>27</v>
      </c>
      <c r="F104" s="22">
        <f t="shared" si="0"/>
        <v>6</v>
      </c>
      <c r="H104" s="5" t="str">
        <f ca="1">_xlfn.FORMULATEXT(표1[[#This Row],[Q''ty]])</f>
        <v>=F5</v>
      </c>
    </row>
    <row r="105" spans="1:10" ht="15" hidden="1" customHeight="1" x14ac:dyDescent="0.4">
      <c r="A105" s="6">
        <v>2026</v>
      </c>
      <c r="B105" s="6">
        <f t="shared" si="1"/>
        <v>2</v>
      </c>
      <c r="C105" s="13" t="s">
        <v>23</v>
      </c>
      <c r="D105" s="2" t="s">
        <v>6</v>
      </c>
      <c r="E105" s="14" t="s">
        <v>10</v>
      </c>
      <c r="F105" s="22">
        <f t="shared" si="0"/>
        <v>10</v>
      </c>
      <c r="H105" s="5" t="str">
        <f ca="1">_xlfn.FORMULATEXT(표1[[#This Row],[Q''ty]])</f>
        <v>=F6</v>
      </c>
    </row>
    <row r="106" spans="1:10" ht="15" hidden="1" customHeight="1" x14ac:dyDescent="0.4">
      <c r="A106" s="6">
        <v>2026</v>
      </c>
      <c r="B106" s="6">
        <f t="shared" si="1"/>
        <v>2</v>
      </c>
      <c r="C106" s="13" t="s">
        <v>23</v>
      </c>
      <c r="D106" s="2" t="s">
        <v>6</v>
      </c>
      <c r="E106" s="14" t="s">
        <v>11</v>
      </c>
      <c r="F106" s="22">
        <f t="shared" si="0"/>
        <v>10</v>
      </c>
      <c r="H106" s="5" t="str">
        <f ca="1">_xlfn.FORMULATEXT(표1[[#This Row],[Q''ty]])</f>
        <v>=F7</v>
      </c>
    </row>
    <row r="107" spans="1:10" ht="15" hidden="1" customHeight="1" x14ac:dyDescent="0.4">
      <c r="A107" s="6">
        <v>2026</v>
      </c>
      <c r="B107" s="6">
        <f t="shared" si="1"/>
        <v>2</v>
      </c>
      <c r="C107" s="13" t="s">
        <v>23</v>
      </c>
      <c r="D107" s="2" t="s">
        <v>12</v>
      </c>
      <c r="E107" s="14" t="s">
        <v>13</v>
      </c>
      <c r="F107" s="22">
        <v>24</v>
      </c>
      <c r="H107" s="5" t="e">
        <f ca="1">_xlfn.FORMULATEXT(표1[[#This Row],[Q''ty]])</f>
        <v>#N/A</v>
      </c>
    </row>
    <row r="108" spans="1:10" s="2" customFormat="1" ht="15" hidden="1" customHeight="1" x14ac:dyDescent="0.4">
      <c r="A108" s="6">
        <v>2026</v>
      </c>
      <c r="B108" s="6">
        <f t="shared" si="1"/>
        <v>2</v>
      </c>
      <c r="C108" s="13" t="s">
        <v>23</v>
      </c>
      <c r="D108" s="2" t="s">
        <v>12</v>
      </c>
      <c r="E108" s="14" t="s">
        <v>14</v>
      </c>
      <c r="F108" s="22">
        <v>25</v>
      </c>
      <c r="H108" s="5" t="e">
        <f ca="1">_xlfn.FORMULATEXT(표1[[#This Row],[Q''ty]])</f>
        <v>#N/A</v>
      </c>
      <c r="I108" s="26"/>
      <c r="J108" s="26"/>
    </row>
    <row r="109" spans="1:10" ht="15" hidden="1" customHeight="1" x14ac:dyDescent="0.4">
      <c r="A109" s="6">
        <v>2026</v>
      </c>
      <c r="B109" s="6">
        <f t="shared" si="1"/>
        <v>2</v>
      </c>
      <c r="C109" s="13" t="s">
        <v>23</v>
      </c>
      <c r="D109" s="2" t="s">
        <v>12</v>
      </c>
      <c r="E109" s="14" t="s">
        <v>15</v>
      </c>
      <c r="F109" s="22">
        <v>240.39999999999998</v>
      </c>
      <c r="H109" s="5" t="e">
        <f ca="1">_xlfn.FORMULATEXT(표1[[#This Row],[Q''ty]])</f>
        <v>#N/A</v>
      </c>
    </row>
    <row r="110" spans="1:10" ht="15" hidden="1" customHeight="1" x14ac:dyDescent="0.4">
      <c r="A110" s="6">
        <v>2026</v>
      </c>
      <c r="B110" s="6">
        <f t="shared" si="1"/>
        <v>2</v>
      </c>
      <c r="C110" s="13" t="s">
        <v>23</v>
      </c>
      <c r="D110" s="2" t="s">
        <v>12</v>
      </c>
      <c r="E110" s="14" t="s">
        <v>16</v>
      </c>
      <c r="F110" s="22">
        <v>237.8</v>
      </c>
      <c r="H110" s="5" t="e">
        <f ca="1">_xlfn.FORMULATEXT(표1[[#This Row],[Q''ty]])</f>
        <v>#N/A</v>
      </c>
    </row>
    <row r="111" spans="1:10" ht="15" hidden="1" customHeight="1" thickBot="1" x14ac:dyDescent="0.45">
      <c r="A111" s="15">
        <v>2026</v>
      </c>
      <c r="B111" s="15">
        <f t="shared" si="1"/>
        <v>2</v>
      </c>
      <c r="C111" s="16" t="s">
        <v>23</v>
      </c>
      <c r="D111" s="17" t="s">
        <v>12</v>
      </c>
      <c r="E111" s="18" t="s">
        <v>17</v>
      </c>
      <c r="F111" s="23">
        <v>264.70000000000005</v>
      </c>
      <c r="H111" s="5" t="e">
        <f ca="1">_xlfn.FORMULATEXT(표1[[#This Row],[Q''ty]])</f>
        <v>#N/A</v>
      </c>
    </row>
    <row r="112" spans="1:10" ht="15" hidden="1" customHeight="1" thickTop="1" x14ac:dyDescent="0.4">
      <c r="A112" s="9">
        <v>2026</v>
      </c>
      <c r="B112" s="9">
        <f t="shared" si="1"/>
        <v>2</v>
      </c>
      <c r="C112" s="10" t="s">
        <v>29</v>
      </c>
      <c r="D112" s="11" t="s">
        <v>6</v>
      </c>
      <c r="E112" s="12" t="s">
        <v>7</v>
      </c>
      <c r="F112" s="21">
        <f t="shared" ref="F112:F117" si="2">F13</f>
        <v>14</v>
      </c>
      <c r="H112" s="5" t="str">
        <f ca="1">_xlfn.FORMULATEXT(표1[[#This Row],[Q''ty]])</f>
        <v>=F13</v>
      </c>
    </row>
    <row r="113" spans="1:10" s="2" customFormat="1" ht="15" hidden="1" customHeight="1" x14ac:dyDescent="0.4">
      <c r="A113" s="6">
        <v>2026</v>
      </c>
      <c r="B113" s="6">
        <f t="shared" si="1"/>
        <v>2</v>
      </c>
      <c r="C113" s="13" t="s">
        <v>24</v>
      </c>
      <c r="D113" s="2" t="s">
        <v>6</v>
      </c>
      <c r="E113" s="14" t="s">
        <v>8</v>
      </c>
      <c r="F113" s="22">
        <f t="shared" si="2"/>
        <v>8</v>
      </c>
      <c r="H113" s="5" t="str">
        <f ca="1">_xlfn.FORMULATEXT(표1[[#This Row],[Q''ty]])</f>
        <v>=F14</v>
      </c>
      <c r="I113" s="26"/>
      <c r="J113" s="26"/>
    </row>
    <row r="114" spans="1:10" s="2" customFormat="1" ht="15" hidden="1" customHeight="1" x14ac:dyDescent="0.4">
      <c r="A114" s="6">
        <v>2026</v>
      </c>
      <c r="B114" s="6">
        <f t="shared" si="1"/>
        <v>2</v>
      </c>
      <c r="C114" s="13" t="s">
        <v>24</v>
      </c>
      <c r="D114" s="2" t="s">
        <v>6</v>
      </c>
      <c r="E114" s="14" t="s">
        <v>9</v>
      </c>
      <c r="F114" s="22">
        <f t="shared" si="2"/>
        <v>4</v>
      </c>
      <c r="H114" s="5" t="str">
        <f ca="1">_xlfn.FORMULATEXT(표1[[#This Row],[Q''ty]])</f>
        <v>=F15</v>
      </c>
      <c r="I114" s="26"/>
      <c r="J114" s="26"/>
    </row>
    <row r="115" spans="1:10" ht="15" hidden="1" customHeight="1" x14ac:dyDescent="0.4">
      <c r="A115" s="6">
        <v>2026</v>
      </c>
      <c r="B115" s="6">
        <f t="shared" si="1"/>
        <v>2</v>
      </c>
      <c r="C115" s="13" t="s">
        <v>24</v>
      </c>
      <c r="D115" s="2" t="s">
        <v>6</v>
      </c>
      <c r="E115" s="14" t="s">
        <v>27</v>
      </c>
      <c r="F115" s="22">
        <f t="shared" si="2"/>
        <v>3</v>
      </c>
      <c r="H115" s="5" t="str">
        <f ca="1">_xlfn.FORMULATEXT(표1[[#This Row],[Q''ty]])</f>
        <v>=F16</v>
      </c>
    </row>
    <row r="116" spans="1:10" ht="15" hidden="1" customHeight="1" x14ac:dyDescent="0.4">
      <c r="A116" s="6">
        <v>2026</v>
      </c>
      <c r="B116" s="6">
        <f t="shared" si="1"/>
        <v>2</v>
      </c>
      <c r="C116" s="13" t="s">
        <v>24</v>
      </c>
      <c r="D116" s="2" t="s">
        <v>6</v>
      </c>
      <c r="E116" s="14" t="s">
        <v>10</v>
      </c>
      <c r="F116" s="22">
        <f t="shared" si="2"/>
        <v>6</v>
      </c>
      <c r="H116" s="5" t="str">
        <f ca="1">_xlfn.FORMULATEXT(표1[[#This Row],[Q''ty]])</f>
        <v>=F17</v>
      </c>
    </row>
    <row r="117" spans="1:10" ht="15" hidden="1" customHeight="1" x14ac:dyDescent="0.4">
      <c r="A117" s="6">
        <v>2026</v>
      </c>
      <c r="B117" s="6">
        <f t="shared" si="1"/>
        <v>2</v>
      </c>
      <c r="C117" s="13" t="s">
        <v>24</v>
      </c>
      <c r="D117" s="2" t="s">
        <v>6</v>
      </c>
      <c r="E117" s="14" t="s">
        <v>11</v>
      </c>
      <c r="F117" s="22">
        <f t="shared" si="2"/>
        <v>8.8000000000000007</v>
      </c>
      <c r="H117" s="5" t="str">
        <f ca="1">_xlfn.FORMULATEXT(표1[[#This Row],[Q''ty]])</f>
        <v>=F18</v>
      </c>
    </row>
    <row r="118" spans="1:10" ht="15" hidden="1" customHeight="1" x14ac:dyDescent="0.4">
      <c r="A118" s="6">
        <v>2026</v>
      </c>
      <c r="B118" s="6">
        <f t="shared" si="1"/>
        <v>2</v>
      </c>
      <c r="C118" s="13" t="s">
        <v>24</v>
      </c>
      <c r="D118" s="2" t="s">
        <v>12</v>
      </c>
      <c r="E118" s="14" t="s">
        <v>13</v>
      </c>
      <c r="F118" s="22">
        <v>22</v>
      </c>
      <c r="H118" s="5" t="e">
        <f ca="1">_xlfn.FORMULATEXT(표1[[#This Row],[Q''ty]])</f>
        <v>#N/A</v>
      </c>
    </row>
    <row r="119" spans="1:10" s="2" customFormat="1" ht="15" hidden="1" customHeight="1" x14ac:dyDescent="0.4">
      <c r="A119" s="6">
        <v>2026</v>
      </c>
      <c r="B119" s="6">
        <f t="shared" si="1"/>
        <v>2</v>
      </c>
      <c r="C119" s="13" t="s">
        <v>24</v>
      </c>
      <c r="D119" s="2" t="s">
        <v>12</v>
      </c>
      <c r="E119" s="14" t="s">
        <v>14</v>
      </c>
      <c r="F119" s="22">
        <v>25</v>
      </c>
      <c r="H119" s="5" t="e">
        <f ca="1">_xlfn.FORMULATEXT(표1[[#This Row],[Q''ty]])</f>
        <v>#N/A</v>
      </c>
      <c r="I119" s="26"/>
      <c r="J119" s="26"/>
    </row>
    <row r="120" spans="1:10" ht="15" hidden="1" customHeight="1" x14ac:dyDescent="0.4">
      <c r="A120" s="6">
        <v>2026</v>
      </c>
      <c r="B120" s="6">
        <f t="shared" si="1"/>
        <v>2</v>
      </c>
      <c r="C120" s="13" t="s">
        <v>24</v>
      </c>
      <c r="D120" s="2" t="s">
        <v>12</v>
      </c>
      <c r="E120" s="14" t="s">
        <v>15</v>
      </c>
      <c r="F120" s="22">
        <v>179</v>
      </c>
      <c r="H120" s="5" t="e">
        <f ca="1">_xlfn.FORMULATEXT(표1[[#This Row],[Q''ty]])</f>
        <v>#N/A</v>
      </c>
    </row>
    <row r="121" spans="1:10" ht="15" hidden="1" customHeight="1" x14ac:dyDescent="0.4">
      <c r="A121" s="6">
        <v>2026</v>
      </c>
      <c r="B121" s="6">
        <f t="shared" si="1"/>
        <v>2</v>
      </c>
      <c r="C121" s="13" t="s">
        <v>24</v>
      </c>
      <c r="D121" s="2" t="s">
        <v>12</v>
      </c>
      <c r="E121" s="14" t="s">
        <v>16</v>
      </c>
      <c r="F121" s="22">
        <v>180</v>
      </c>
      <c r="H121" s="5" t="e">
        <f ca="1">_xlfn.FORMULATEXT(표1[[#This Row],[Q''ty]])</f>
        <v>#N/A</v>
      </c>
    </row>
    <row r="122" spans="1:10" ht="15" hidden="1" customHeight="1" thickBot="1" x14ac:dyDescent="0.45">
      <c r="A122" s="15">
        <v>2026</v>
      </c>
      <c r="B122" s="15">
        <f t="shared" si="1"/>
        <v>2</v>
      </c>
      <c r="C122" s="16" t="s">
        <v>24</v>
      </c>
      <c r="D122" s="17" t="s">
        <v>12</v>
      </c>
      <c r="E122" s="18" t="s">
        <v>17</v>
      </c>
      <c r="F122" s="23">
        <v>207.70000000000002</v>
      </c>
      <c r="H122" s="5" t="e">
        <f ca="1">_xlfn.FORMULATEXT(표1[[#This Row],[Q''ty]])</f>
        <v>#N/A</v>
      </c>
    </row>
    <row r="123" spans="1:10" ht="15" hidden="1" customHeight="1" thickTop="1" x14ac:dyDescent="0.4">
      <c r="A123" s="6">
        <v>2026</v>
      </c>
      <c r="B123" s="6">
        <f t="shared" si="1"/>
        <v>2</v>
      </c>
      <c r="C123" s="13" t="s">
        <v>18</v>
      </c>
      <c r="D123" s="2" t="s">
        <v>6</v>
      </c>
      <c r="E123" s="14" t="str">
        <f t="shared" ref="E123:F128" si="3">E24</f>
        <v>Growing Line</v>
      </c>
      <c r="F123" s="22">
        <f t="shared" si="3"/>
        <v>5</v>
      </c>
      <c r="H123" s="5" t="str">
        <f ca="1">_xlfn.FORMULATEXT(표1[[#This Row],[Q''ty]])</f>
        <v>=F24</v>
      </c>
    </row>
    <row r="124" spans="1:10" ht="15" hidden="1" customHeight="1" x14ac:dyDescent="0.4">
      <c r="A124" s="6">
        <v>2026</v>
      </c>
      <c r="B124" s="6">
        <f t="shared" si="1"/>
        <v>2</v>
      </c>
      <c r="C124" s="13" t="s">
        <v>18</v>
      </c>
      <c r="D124" s="2" t="s">
        <v>6</v>
      </c>
      <c r="E124" s="14" t="str">
        <f t="shared" si="3"/>
        <v>Paint Booth</v>
      </c>
      <c r="F124" s="22">
        <f t="shared" si="3"/>
        <v>3</v>
      </c>
      <c r="H124" s="5" t="str">
        <f ca="1">_xlfn.FORMULATEXT(표1[[#This Row],[Q''ty]])</f>
        <v>=F25</v>
      </c>
    </row>
    <row r="125" spans="1:10" ht="15" hidden="1" customHeight="1" x14ac:dyDescent="0.4">
      <c r="A125" s="6">
        <v>2026</v>
      </c>
      <c r="B125" s="6">
        <f t="shared" si="1"/>
        <v>2</v>
      </c>
      <c r="C125" s="13" t="s">
        <v>18</v>
      </c>
      <c r="D125" s="2" t="s">
        <v>6</v>
      </c>
      <c r="E125" s="14" t="str">
        <f t="shared" si="3"/>
        <v>Paint Line</v>
      </c>
      <c r="F125" s="22">
        <f t="shared" si="3"/>
        <v>2</v>
      </c>
      <c r="H125" s="5" t="str">
        <f ca="1">_xlfn.FORMULATEXT(표1[[#This Row],[Q''ty]])</f>
        <v>=F26</v>
      </c>
    </row>
    <row r="126" spans="1:10" ht="15" hidden="1" customHeight="1" x14ac:dyDescent="0.4">
      <c r="A126" s="6">
        <v>2026</v>
      </c>
      <c r="B126" s="6">
        <f t="shared" si="1"/>
        <v>2</v>
      </c>
      <c r="C126" s="13" t="s">
        <v>18</v>
      </c>
      <c r="D126" s="2" t="s">
        <v>6</v>
      </c>
      <c r="E126" s="14" t="str">
        <f t="shared" si="3"/>
        <v>Roll Bending Machine</v>
      </c>
      <c r="F126" s="22">
        <f t="shared" si="3"/>
        <v>2</v>
      </c>
      <c r="H126" s="5" t="str">
        <f ca="1">_xlfn.FORMULATEXT(표1[[#This Row],[Q''ty]])</f>
        <v>=F27</v>
      </c>
    </row>
    <row r="127" spans="1:10" ht="15" hidden="1" customHeight="1" x14ac:dyDescent="0.4">
      <c r="A127" s="6">
        <v>2026</v>
      </c>
      <c r="B127" s="6">
        <f t="shared" si="1"/>
        <v>2</v>
      </c>
      <c r="C127" s="13" t="s">
        <v>18</v>
      </c>
      <c r="D127" s="2" t="s">
        <v>6</v>
      </c>
      <c r="E127" s="14" t="str">
        <f t="shared" si="3"/>
        <v>L/W Machine</v>
      </c>
      <c r="F127" s="22">
        <f t="shared" si="3"/>
        <v>2</v>
      </c>
      <c r="H127" s="5" t="str">
        <f ca="1">_xlfn.FORMULATEXT(표1[[#This Row],[Q''ty]])</f>
        <v>=F28</v>
      </c>
    </row>
    <row r="128" spans="1:10" ht="15" hidden="1" customHeight="1" x14ac:dyDescent="0.4">
      <c r="A128" s="6">
        <v>2026</v>
      </c>
      <c r="B128" s="6">
        <f t="shared" si="1"/>
        <v>2</v>
      </c>
      <c r="C128" s="13" t="s">
        <v>18</v>
      </c>
      <c r="D128" s="2" t="s">
        <v>6</v>
      </c>
      <c r="E128" s="14" t="str">
        <f t="shared" si="3"/>
        <v>C/W Machine</v>
      </c>
      <c r="F128" s="22">
        <f t="shared" si="3"/>
        <v>3</v>
      </c>
      <c r="H128" s="5" t="str">
        <f ca="1">_xlfn.FORMULATEXT(표1[[#This Row],[Q''ty]])</f>
        <v>=F29</v>
      </c>
    </row>
    <row r="129" spans="1:8" ht="15" hidden="1" customHeight="1" x14ac:dyDescent="0.4">
      <c r="A129" s="6">
        <v>2026</v>
      </c>
      <c r="B129" s="6">
        <f t="shared" si="1"/>
        <v>2</v>
      </c>
      <c r="C129" s="13" t="s">
        <v>18</v>
      </c>
      <c r="D129" s="2" t="s">
        <v>12</v>
      </c>
      <c r="E129" s="14" t="str">
        <f t="shared" ref="E129:E144" si="4">E30</f>
        <v>BT GT</v>
      </c>
      <c r="F129" s="22">
        <v>0</v>
      </c>
      <c r="H129" s="5" t="e">
        <f ca="1">_xlfn.FORMULATEXT(표1[[#This Row],[Q''ty]])</f>
        <v>#N/A</v>
      </c>
    </row>
    <row r="130" spans="1:8" ht="15" hidden="1" customHeight="1" x14ac:dyDescent="0.4">
      <c r="A130" s="6">
        <v>2026</v>
      </c>
      <c r="B130" s="6">
        <f t="shared" si="1"/>
        <v>2</v>
      </c>
      <c r="C130" s="13" t="s">
        <v>18</v>
      </c>
      <c r="D130" s="2" t="s">
        <v>12</v>
      </c>
      <c r="E130" s="14" t="str">
        <f t="shared" si="4"/>
        <v>WT GT</v>
      </c>
      <c r="F130" s="22">
        <v>0</v>
      </c>
      <c r="H130" s="5" t="e">
        <f ca="1">_xlfn.FORMULATEXT(표1[[#This Row],[Q''ty]])</f>
        <v>#N/A</v>
      </c>
    </row>
    <row r="131" spans="1:8" ht="15" hidden="1" customHeight="1" x14ac:dyDescent="0.4">
      <c r="A131" s="6">
        <v>2026</v>
      </c>
      <c r="B131" s="6">
        <f t="shared" si="1"/>
        <v>2</v>
      </c>
      <c r="C131" s="13" t="s">
        <v>18</v>
      </c>
      <c r="D131" s="2" t="s">
        <v>12</v>
      </c>
      <c r="E131" s="14" t="str">
        <f t="shared" si="4"/>
        <v>Bending</v>
      </c>
      <c r="F131" s="22">
        <v>0</v>
      </c>
      <c r="H131" s="5" t="e">
        <f ca="1">_xlfn.FORMULATEXT(표1[[#This Row],[Q''ty]])</f>
        <v>#N/A</v>
      </c>
    </row>
    <row r="132" spans="1:8" ht="15" hidden="1" customHeight="1" x14ac:dyDescent="0.4">
      <c r="A132" s="6">
        <v>2026</v>
      </c>
      <c r="B132" s="6">
        <f t="shared" si="1"/>
        <v>2</v>
      </c>
      <c r="C132" s="13" t="s">
        <v>18</v>
      </c>
      <c r="D132" s="2" t="s">
        <v>12</v>
      </c>
      <c r="E132" s="14" t="str">
        <f t="shared" si="4"/>
        <v>L/W</v>
      </c>
      <c r="F132" s="22">
        <v>0</v>
      </c>
      <c r="H132" s="5" t="e">
        <f ca="1">_xlfn.FORMULATEXT(표1[[#This Row],[Q''ty]])</f>
        <v>#N/A</v>
      </c>
    </row>
    <row r="133" spans="1:8" ht="15" hidden="1" customHeight="1" thickBot="1" x14ac:dyDescent="0.45">
      <c r="A133" s="15">
        <v>2026</v>
      </c>
      <c r="B133" s="15">
        <f t="shared" si="1"/>
        <v>2</v>
      </c>
      <c r="C133" s="16" t="s">
        <v>18</v>
      </c>
      <c r="D133" s="17" t="s">
        <v>12</v>
      </c>
      <c r="E133" s="18" t="str">
        <f t="shared" si="4"/>
        <v>C/W</v>
      </c>
      <c r="F133" s="23">
        <v>0</v>
      </c>
      <c r="H133" s="5" t="e">
        <f ca="1">_xlfn.FORMULATEXT(표1[[#This Row],[Q''ty]])</f>
        <v>#N/A</v>
      </c>
    </row>
    <row r="134" spans="1:8" ht="15" hidden="1" customHeight="1" thickTop="1" x14ac:dyDescent="0.4">
      <c r="A134" s="6">
        <v>2026</v>
      </c>
      <c r="B134" s="6">
        <f t="shared" si="1"/>
        <v>2</v>
      </c>
      <c r="C134" s="13" t="s">
        <v>19</v>
      </c>
      <c r="D134" s="2" t="s">
        <v>6</v>
      </c>
      <c r="E134" s="14" t="str">
        <f t="shared" si="4"/>
        <v>Growing Line</v>
      </c>
      <c r="F134" s="22">
        <f t="shared" ref="F134:F139" si="5">F35</f>
        <v>20</v>
      </c>
      <c r="H134" s="5" t="str">
        <f ca="1">_xlfn.FORMULATEXT(표1[[#This Row],[Q''ty]])</f>
        <v>=F35</v>
      </c>
    </row>
    <row r="135" spans="1:8" ht="15" hidden="1" customHeight="1" x14ac:dyDescent="0.4">
      <c r="A135" s="6">
        <v>2026</v>
      </c>
      <c r="B135" s="6">
        <f t="shared" si="1"/>
        <v>2</v>
      </c>
      <c r="C135" s="13" t="s">
        <v>19</v>
      </c>
      <c r="D135" s="2" t="s">
        <v>6</v>
      </c>
      <c r="E135" s="14" t="str">
        <f t="shared" si="4"/>
        <v>Paint Booth</v>
      </c>
      <c r="F135" s="22">
        <f t="shared" si="5"/>
        <v>22</v>
      </c>
      <c r="H135" s="5" t="str">
        <f ca="1">_xlfn.FORMULATEXT(표1[[#This Row],[Q''ty]])</f>
        <v>=F36</v>
      </c>
    </row>
    <row r="136" spans="1:8" ht="15" hidden="1" customHeight="1" x14ac:dyDescent="0.4">
      <c r="A136" s="6">
        <v>2026</v>
      </c>
      <c r="B136" s="6">
        <f t="shared" si="1"/>
        <v>2</v>
      </c>
      <c r="C136" s="13" t="s">
        <v>19</v>
      </c>
      <c r="D136" s="2" t="s">
        <v>6</v>
      </c>
      <c r="E136" s="14" t="str">
        <f t="shared" si="4"/>
        <v>Paint Line</v>
      </c>
      <c r="F136" s="22">
        <f t="shared" si="5"/>
        <v>6</v>
      </c>
      <c r="H136" s="5" t="str">
        <f ca="1">_xlfn.FORMULATEXT(표1[[#This Row],[Q''ty]])</f>
        <v>=F37</v>
      </c>
    </row>
    <row r="137" spans="1:8" ht="15" hidden="1" customHeight="1" x14ac:dyDescent="0.4">
      <c r="A137" s="6">
        <v>2026</v>
      </c>
      <c r="B137" s="6">
        <f t="shared" si="1"/>
        <v>2</v>
      </c>
      <c r="C137" s="13" t="s">
        <v>19</v>
      </c>
      <c r="D137" s="2" t="s">
        <v>6</v>
      </c>
      <c r="E137" s="14" t="str">
        <f t="shared" si="4"/>
        <v>Roll Bending Machine</v>
      </c>
      <c r="F137" s="22">
        <f t="shared" si="5"/>
        <v>4</v>
      </c>
      <c r="H137" s="5" t="str">
        <f ca="1">_xlfn.FORMULATEXT(표1[[#This Row],[Q''ty]])</f>
        <v>=F38</v>
      </c>
    </row>
    <row r="138" spans="1:8" ht="15" hidden="1" customHeight="1" x14ac:dyDescent="0.4">
      <c r="A138" s="6">
        <v>2026</v>
      </c>
      <c r="B138" s="6">
        <f t="shared" si="1"/>
        <v>2</v>
      </c>
      <c r="C138" s="13" t="s">
        <v>19</v>
      </c>
      <c r="D138" s="2" t="s">
        <v>6</v>
      </c>
      <c r="E138" s="14" t="str">
        <f t="shared" si="4"/>
        <v>L/W Machine</v>
      </c>
      <c r="F138" s="22">
        <f t="shared" si="5"/>
        <v>10</v>
      </c>
      <c r="H138" s="5" t="str">
        <f ca="1">_xlfn.FORMULATEXT(표1[[#This Row],[Q''ty]])</f>
        <v>=F39</v>
      </c>
    </row>
    <row r="139" spans="1:8" ht="15" hidden="1" customHeight="1" x14ac:dyDescent="0.4">
      <c r="A139" s="6">
        <v>2026</v>
      </c>
      <c r="B139" s="6">
        <f t="shared" si="1"/>
        <v>2</v>
      </c>
      <c r="C139" s="13" t="s">
        <v>19</v>
      </c>
      <c r="D139" s="2" t="s">
        <v>6</v>
      </c>
      <c r="E139" s="14" t="str">
        <f t="shared" si="4"/>
        <v>C/W Machine</v>
      </c>
      <c r="F139" s="22">
        <f t="shared" si="5"/>
        <v>12</v>
      </c>
      <c r="H139" s="5" t="str">
        <f ca="1">_xlfn.FORMULATEXT(표1[[#This Row],[Q''ty]])</f>
        <v>=F40</v>
      </c>
    </row>
    <row r="140" spans="1:8" ht="15" hidden="1" customHeight="1" x14ac:dyDescent="0.4">
      <c r="A140" s="6">
        <v>2026</v>
      </c>
      <c r="B140" s="6">
        <f t="shared" si="1"/>
        <v>2</v>
      </c>
      <c r="C140" s="13" t="s">
        <v>19</v>
      </c>
      <c r="D140" s="2" t="s">
        <v>12</v>
      </c>
      <c r="E140" s="14" t="str">
        <f t="shared" si="4"/>
        <v>BT GT</v>
      </c>
      <c r="F140" s="22">
        <v>31</v>
      </c>
      <c r="H140" s="5" t="e">
        <f ca="1">_xlfn.FORMULATEXT(표1[[#This Row],[Q''ty]])</f>
        <v>#N/A</v>
      </c>
    </row>
    <row r="141" spans="1:8" ht="15" hidden="1" customHeight="1" x14ac:dyDescent="0.4">
      <c r="A141" s="6">
        <v>2026</v>
      </c>
      <c r="B141" s="6">
        <f t="shared" si="1"/>
        <v>2</v>
      </c>
      <c r="C141" s="13" t="s">
        <v>19</v>
      </c>
      <c r="D141" s="2" t="s">
        <v>12</v>
      </c>
      <c r="E141" s="14" t="str">
        <f t="shared" si="4"/>
        <v>WT GT</v>
      </c>
      <c r="F141" s="22">
        <v>30</v>
      </c>
      <c r="H141" s="5" t="e">
        <f ca="1">_xlfn.FORMULATEXT(표1[[#This Row],[Q''ty]])</f>
        <v>#N/A</v>
      </c>
    </row>
    <row r="142" spans="1:8" ht="15" hidden="1" customHeight="1" x14ac:dyDescent="0.4">
      <c r="A142" s="6">
        <v>2026</v>
      </c>
      <c r="B142" s="6">
        <f t="shared" si="1"/>
        <v>2</v>
      </c>
      <c r="C142" s="13" t="s">
        <v>19</v>
      </c>
      <c r="D142" s="2" t="s">
        <v>12</v>
      </c>
      <c r="E142" s="14" t="str">
        <f t="shared" si="4"/>
        <v>Bending</v>
      </c>
      <c r="F142" s="22">
        <v>292</v>
      </c>
      <c r="H142" s="5" t="e">
        <f ca="1">_xlfn.FORMULATEXT(표1[[#This Row],[Q''ty]])</f>
        <v>#N/A</v>
      </c>
    </row>
    <row r="143" spans="1:8" ht="15" hidden="1" customHeight="1" x14ac:dyDescent="0.4">
      <c r="A143" s="6">
        <v>2026</v>
      </c>
      <c r="B143" s="6">
        <f t="shared" si="1"/>
        <v>2</v>
      </c>
      <c r="C143" s="13" t="s">
        <v>19</v>
      </c>
      <c r="D143" s="2" t="s">
        <v>12</v>
      </c>
      <c r="E143" s="14" t="str">
        <f t="shared" si="4"/>
        <v>L/W</v>
      </c>
      <c r="F143" s="22">
        <v>292</v>
      </c>
      <c r="H143" s="5" t="e">
        <f ca="1">_xlfn.FORMULATEXT(표1[[#This Row],[Q''ty]])</f>
        <v>#N/A</v>
      </c>
    </row>
    <row r="144" spans="1:8" ht="15" hidden="1" customHeight="1" thickBot="1" x14ac:dyDescent="0.45">
      <c r="A144" s="15">
        <v>2026</v>
      </c>
      <c r="B144" s="15">
        <f t="shared" si="1"/>
        <v>2</v>
      </c>
      <c r="C144" s="16" t="s">
        <v>19</v>
      </c>
      <c r="D144" s="17" t="s">
        <v>12</v>
      </c>
      <c r="E144" s="18" t="str">
        <f t="shared" si="4"/>
        <v>C/W</v>
      </c>
      <c r="F144" s="23">
        <v>313</v>
      </c>
      <c r="H144" s="5" t="e">
        <f ca="1">_xlfn.FORMULATEXT(표1[[#This Row],[Q''ty]])</f>
        <v>#N/A</v>
      </c>
    </row>
    <row r="145" spans="1:8" ht="15" hidden="1" customHeight="1" thickTop="1" x14ac:dyDescent="0.4">
      <c r="A145" s="6">
        <v>2026</v>
      </c>
      <c r="B145" s="6">
        <f t="shared" si="1"/>
        <v>2</v>
      </c>
      <c r="C145" s="13" t="s">
        <v>25</v>
      </c>
      <c r="D145" s="2" t="s">
        <v>6</v>
      </c>
      <c r="E145" s="14" t="s">
        <v>7</v>
      </c>
      <c r="F145" s="22">
        <f t="shared" ref="F145:F150" si="6">F46</f>
        <v>3</v>
      </c>
      <c r="H145" s="5" t="str">
        <f ca="1">_xlfn.FORMULATEXT(표1[[#This Row],[Q''ty]])</f>
        <v>=F46</v>
      </c>
    </row>
    <row r="146" spans="1:8" ht="15" hidden="1" customHeight="1" x14ac:dyDescent="0.4">
      <c r="A146" s="6">
        <v>2026</v>
      </c>
      <c r="B146" s="6">
        <f t="shared" si="1"/>
        <v>2</v>
      </c>
      <c r="C146" s="13" t="s">
        <v>25</v>
      </c>
      <c r="D146" s="2" t="s">
        <v>6</v>
      </c>
      <c r="E146" s="14" t="s">
        <v>8</v>
      </c>
      <c r="F146" s="22">
        <f t="shared" si="6"/>
        <v>3</v>
      </c>
      <c r="H146" s="5" t="str">
        <f ca="1">_xlfn.FORMULATEXT(표1[[#This Row],[Q''ty]])</f>
        <v>=F47</v>
      </c>
    </row>
    <row r="147" spans="1:8" ht="15" hidden="1" customHeight="1" x14ac:dyDescent="0.4">
      <c r="A147" s="6">
        <v>2026</v>
      </c>
      <c r="B147" s="6">
        <f t="shared" si="1"/>
        <v>2</v>
      </c>
      <c r="C147" s="13" t="s">
        <v>25</v>
      </c>
      <c r="D147" s="2" t="s">
        <v>6</v>
      </c>
      <c r="E147" s="14" t="s">
        <v>9</v>
      </c>
      <c r="F147" s="22">
        <f t="shared" si="6"/>
        <v>2</v>
      </c>
      <c r="H147" s="5" t="str">
        <f ca="1">_xlfn.FORMULATEXT(표1[[#This Row],[Q''ty]])</f>
        <v>=F48</v>
      </c>
    </row>
    <row r="148" spans="1:8" ht="15" hidden="1" customHeight="1" x14ac:dyDescent="0.4">
      <c r="A148" s="6">
        <v>2026</v>
      </c>
      <c r="B148" s="6">
        <f t="shared" si="1"/>
        <v>2</v>
      </c>
      <c r="C148" s="13" t="s">
        <v>25</v>
      </c>
      <c r="D148" s="2" t="s">
        <v>6</v>
      </c>
      <c r="E148" s="14" t="s">
        <v>27</v>
      </c>
      <c r="F148" s="22">
        <f t="shared" si="6"/>
        <v>2</v>
      </c>
      <c r="H148" s="5" t="str">
        <f ca="1">_xlfn.FORMULATEXT(표1[[#This Row],[Q''ty]])</f>
        <v>=F49</v>
      </c>
    </row>
    <row r="149" spans="1:8" ht="15" hidden="1" customHeight="1" x14ac:dyDescent="0.4">
      <c r="A149" s="6">
        <v>2026</v>
      </c>
      <c r="B149" s="6">
        <f t="shared" si="1"/>
        <v>2</v>
      </c>
      <c r="C149" s="13" t="s">
        <v>25</v>
      </c>
      <c r="D149" s="2" t="s">
        <v>6</v>
      </c>
      <c r="E149" s="14" t="s">
        <v>10</v>
      </c>
      <c r="F149" s="22">
        <f t="shared" si="6"/>
        <v>3</v>
      </c>
      <c r="H149" s="5" t="str">
        <f ca="1">_xlfn.FORMULATEXT(표1[[#This Row],[Q''ty]])</f>
        <v>=F50</v>
      </c>
    </row>
    <row r="150" spans="1:8" ht="15" hidden="1" customHeight="1" x14ac:dyDescent="0.4">
      <c r="A150" s="6">
        <v>2026</v>
      </c>
      <c r="B150" s="6">
        <f t="shared" si="1"/>
        <v>2</v>
      </c>
      <c r="C150" s="13" t="s">
        <v>25</v>
      </c>
      <c r="D150" s="2" t="s">
        <v>6</v>
      </c>
      <c r="E150" s="14" t="s">
        <v>11</v>
      </c>
      <c r="F150" s="22">
        <f t="shared" si="6"/>
        <v>4</v>
      </c>
      <c r="H150" s="5" t="str">
        <f ca="1">_xlfn.FORMULATEXT(표1[[#This Row],[Q''ty]])</f>
        <v>=F51</v>
      </c>
    </row>
    <row r="151" spans="1:8" ht="15" hidden="1" customHeight="1" x14ac:dyDescent="0.4">
      <c r="A151" s="6">
        <v>2026</v>
      </c>
      <c r="B151" s="6">
        <f t="shared" si="1"/>
        <v>2</v>
      </c>
      <c r="C151" s="13" t="s">
        <v>25</v>
      </c>
      <c r="D151" s="2" t="s">
        <v>12</v>
      </c>
      <c r="E151" s="14" t="s">
        <v>13</v>
      </c>
      <c r="F151" s="22">
        <v>0</v>
      </c>
      <c r="H151" s="5" t="e">
        <f ca="1">_xlfn.FORMULATEXT(표1[[#This Row],[Q''ty]])</f>
        <v>#N/A</v>
      </c>
    </row>
    <row r="152" spans="1:8" ht="15" hidden="1" customHeight="1" x14ac:dyDescent="0.4">
      <c r="A152" s="6">
        <v>2026</v>
      </c>
      <c r="B152" s="6">
        <f t="shared" si="1"/>
        <v>2</v>
      </c>
      <c r="C152" s="13" t="s">
        <v>25</v>
      </c>
      <c r="D152" s="2" t="s">
        <v>12</v>
      </c>
      <c r="E152" s="14" t="s">
        <v>14</v>
      </c>
      <c r="F152" s="22">
        <v>0</v>
      </c>
      <c r="H152" s="5" t="e">
        <f ca="1">_xlfn.FORMULATEXT(표1[[#This Row],[Q''ty]])</f>
        <v>#N/A</v>
      </c>
    </row>
    <row r="153" spans="1:8" ht="15" hidden="1" customHeight="1" x14ac:dyDescent="0.4">
      <c r="A153" s="6">
        <v>2026</v>
      </c>
      <c r="B153" s="6">
        <f t="shared" si="1"/>
        <v>2</v>
      </c>
      <c r="C153" s="13" t="s">
        <v>25</v>
      </c>
      <c r="D153" s="2" t="s">
        <v>12</v>
      </c>
      <c r="E153" s="14" t="s">
        <v>15</v>
      </c>
      <c r="F153" s="22">
        <v>0</v>
      </c>
      <c r="H153" s="5" t="e">
        <f ca="1">_xlfn.FORMULATEXT(표1[[#This Row],[Q''ty]])</f>
        <v>#N/A</v>
      </c>
    </row>
    <row r="154" spans="1:8" ht="15" hidden="1" customHeight="1" x14ac:dyDescent="0.4">
      <c r="A154" s="6">
        <v>2026</v>
      </c>
      <c r="B154" s="6">
        <f t="shared" si="1"/>
        <v>2</v>
      </c>
      <c r="C154" s="13" t="s">
        <v>25</v>
      </c>
      <c r="D154" s="2" t="s">
        <v>12</v>
      </c>
      <c r="E154" s="14" t="s">
        <v>16</v>
      </c>
      <c r="F154" s="22">
        <v>0</v>
      </c>
      <c r="H154" s="5" t="e">
        <f ca="1">_xlfn.FORMULATEXT(표1[[#This Row],[Q''ty]])</f>
        <v>#N/A</v>
      </c>
    </row>
    <row r="155" spans="1:8" ht="15" hidden="1" customHeight="1" thickBot="1" x14ac:dyDescent="0.45">
      <c r="A155" s="15">
        <v>2026</v>
      </c>
      <c r="B155" s="15">
        <f t="shared" si="1"/>
        <v>2</v>
      </c>
      <c r="C155" s="16" t="s">
        <v>25</v>
      </c>
      <c r="D155" s="17" t="s">
        <v>12</v>
      </c>
      <c r="E155" s="18" t="s">
        <v>17</v>
      </c>
      <c r="F155" s="23">
        <v>0</v>
      </c>
      <c r="H155" s="5" t="e">
        <f ca="1">_xlfn.FORMULATEXT(표1[[#This Row],[Q''ty]])</f>
        <v>#N/A</v>
      </c>
    </row>
    <row r="156" spans="1:8" ht="15" hidden="1" customHeight="1" thickTop="1" x14ac:dyDescent="0.4">
      <c r="A156" s="6">
        <v>2026</v>
      </c>
      <c r="B156" s="6">
        <f t="shared" si="1"/>
        <v>2</v>
      </c>
      <c r="C156" s="13" t="s">
        <v>26</v>
      </c>
      <c r="D156" s="2" t="s">
        <v>6</v>
      </c>
      <c r="E156" s="14" t="s">
        <v>7</v>
      </c>
      <c r="F156" s="22">
        <f t="shared" ref="F156:F161" si="7">F57</f>
        <v>6</v>
      </c>
      <c r="H156" s="5" t="str">
        <f ca="1">_xlfn.FORMULATEXT(표1[[#This Row],[Q''ty]])</f>
        <v>=F57</v>
      </c>
    </row>
    <row r="157" spans="1:8" ht="15" hidden="1" customHeight="1" x14ac:dyDescent="0.4">
      <c r="A157" s="6">
        <v>2026</v>
      </c>
      <c r="B157" s="6">
        <f t="shared" si="1"/>
        <v>2</v>
      </c>
      <c r="C157" s="13" t="s">
        <v>26</v>
      </c>
      <c r="D157" s="2" t="s">
        <v>6</v>
      </c>
      <c r="E157" s="14" t="s">
        <v>8</v>
      </c>
      <c r="F157" s="22">
        <f t="shared" si="7"/>
        <v>4</v>
      </c>
      <c r="H157" s="5" t="str">
        <f ca="1">_xlfn.FORMULATEXT(표1[[#This Row],[Q''ty]])</f>
        <v>=F58</v>
      </c>
    </row>
    <row r="158" spans="1:8" ht="15" hidden="1" customHeight="1" x14ac:dyDescent="0.4">
      <c r="A158" s="6">
        <v>2026</v>
      </c>
      <c r="B158" s="6">
        <f t="shared" si="1"/>
        <v>2</v>
      </c>
      <c r="C158" s="13" t="s">
        <v>26</v>
      </c>
      <c r="D158" s="2" t="s">
        <v>6</v>
      </c>
      <c r="E158" s="14" t="s">
        <v>9</v>
      </c>
      <c r="F158" s="22">
        <f t="shared" si="7"/>
        <v>2</v>
      </c>
      <c r="H158" s="5" t="str">
        <f ca="1">_xlfn.FORMULATEXT(표1[[#This Row],[Q''ty]])</f>
        <v>=F59</v>
      </c>
    </row>
    <row r="159" spans="1:8" ht="15" hidden="1" customHeight="1" x14ac:dyDescent="0.4">
      <c r="A159" s="6">
        <v>2026</v>
      </c>
      <c r="B159" s="6">
        <f t="shared" si="1"/>
        <v>2</v>
      </c>
      <c r="C159" s="13" t="s">
        <v>26</v>
      </c>
      <c r="D159" s="2" t="s">
        <v>6</v>
      </c>
      <c r="E159" s="14" t="s">
        <v>27</v>
      </c>
      <c r="F159" s="22">
        <f t="shared" si="7"/>
        <v>3</v>
      </c>
      <c r="H159" s="5" t="str">
        <f ca="1">_xlfn.FORMULATEXT(표1[[#This Row],[Q''ty]])</f>
        <v>=F60</v>
      </c>
    </row>
    <row r="160" spans="1:8" ht="15" hidden="1" customHeight="1" x14ac:dyDescent="0.4">
      <c r="A160" s="6">
        <v>2026</v>
      </c>
      <c r="B160" s="6">
        <f t="shared" si="1"/>
        <v>2</v>
      </c>
      <c r="C160" s="13" t="s">
        <v>26</v>
      </c>
      <c r="D160" s="2" t="s">
        <v>6</v>
      </c>
      <c r="E160" s="14" t="s">
        <v>10</v>
      </c>
      <c r="F160" s="22">
        <f t="shared" si="7"/>
        <v>4</v>
      </c>
      <c r="H160" s="5" t="str">
        <f ca="1">_xlfn.FORMULATEXT(표1[[#This Row],[Q''ty]])</f>
        <v>=F61</v>
      </c>
    </row>
    <row r="161" spans="1:8" ht="15" hidden="1" customHeight="1" x14ac:dyDescent="0.4">
      <c r="A161" s="6">
        <v>2026</v>
      </c>
      <c r="B161" s="6">
        <f t="shared" si="1"/>
        <v>2</v>
      </c>
      <c r="C161" s="13" t="s">
        <v>26</v>
      </c>
      <c r="D161" s="2" t="s">
        <v>6</v>
      </c>
      <c r="E161" s="14" t="s">
        <v>11</v>
      </c>
      <c r="F161" s="22">
        <f t="shared" si="7"/>
        <v>6</v>
      </c>
      <c r="H161" s="5" t="str">
        <f ca="1">_xlfn.FORMULATEXT(표1[[#This Row],[Q''ty]])</f>
        <v>=F62</v>
      </c>
    </row>
    <row r="162" spans="1:8" ht="15" hidden="1" customHeight="1" x14ac:dyDescent="0.4">
      <c r="A162" s="6">
        <v>2026</v>
      </c>
      <c r="B162" s="6">
        <f t="shared" si="1"/>
        <v>2</v>
      </c>
      <c r="C162" s="13" t="s">
        <v>26</v>
      </c>
      <c r="D162" s="2" t="s">
        <v>12</v>
      </c>
      <c r="E162" s="14" t="str">
        <f t="shared" ref="E162:E199" si="8">E63</f>
        <v>BT GT</v>
      </c>
      <c r="F162" s="22">
        <v>19</v>
      </c>
      <c r="H162" s="5" t="e">
        <f ca="1">_xlfn.FORMULATEXT(표1[[#This Row],[Q''ty]])</f>
        <v>#N/A</v>
      </c>
    </row>
    <row r="163" spans="1:8" ht="15" hidden="1" customHeight="1" x14ac:dyDescent="0.4">
      <c r="A163" s="6">
        <v>2026</v>
      </c>
      <c r="B163" s="6">
        <f t="shared" si="1"/>
        <v>2</v>
      </c>
      <c r="C163" s="13" t="s">
        <v>26</v>
      </c>
      <c r="D163" s="2" t="s">
        <v>12</v>
      </c>
      <c r="E163" s="14" t="str">
        <f t="shared" si="8"/>
        <v>WT GT</v>
      </c>
      <c r="F163" s="22">
        <v>32</v>
      </c>
      <c r="H163" s="5" t="e">
        <f ca="1">_xlfn.FORMULATEXT(표1[[#This Row],[Q''ty]])</f>
        <v>#N/A</v>
      </c>
    </row>
    <row r="164" spans="1:8" ht="15" hidden="1" customHeight="1" x14ac:dyDescent="0.4">
      <c r="A164" s="6">
        <v>2026</v>
      </c>
      <c r="B164" s="6">
        <f t="shared" si="1"/>
        <v>2</v>
      </c>
      <c r="C164" s="13" t="s">
        <v>26</v>
      </c>
      <c r="D164" s="2" t="s">
        <v>12</v>
      </c>
      <c r="E164" s="14" t="str">
        <f t="shared" si="8"/>
        <v>Bending</v>
      </c>
      <c r="F164" s="22">
        <v>136</v>
      </c>
      <c r="H164" s="5" t="e">
        <f ca="1">_xlfn.FORMULATEXT(표1[[#This Row],[Q''ty]])</f>
        <v>#N/A</v>
      </c>
    </row>
    <row r="165" spans="1:8" ht="15" hidden="1" customHeight="1" x14ac:dyDescent="0.4">
      <c r="A165" s="6">
        <v>2026</v>
      </c>
      <c r="B165" s="6">
        <f t="shared" si="1"/>
        <v>2</v>
      </c>
      <c r="C165" s="13" t="s">
        <v>26</v>
      </c>
      <c r="D165" s="2" t="s">
        <v>12</v>
      </c>
      <c r="E165" s="14" t="str">
        <f t="shared" si="8"/>
        <v>L/W</v>
      </c>
      <c r="F165" s="22">
        <v>130</v>
      </c>
      <c r="H165" s="5" t="e">
        <f ca="1">_xlfn.FORMULATEXT(표1[[#This Row],[Q''ty]])</f>
        <v>#N/A</v>
      </c>
    </row>
    <row r="166" spans="1:8" ht="15" hidden="1" customHeight="1" thickBot="1" x14ac:dyDescent="0.45">
      <c r="A166" s="15">
        <v>2026</v>
      </c>
      <c r="B166" s="15">
        <f t="shared" ref="B166:B199" si="9">B67+1</f>
        <v>2</v>
      </c>
      <c r="C166" s="16" t="s">
        <v>26</v>
      </c>
      <c r="D166" s="17" t="s">
        <v>12</v>
      </c>
      <c r="E166" s="18" t="str">
        <f t="shared" si="8"/>
        <v>C/W</v>
      </c>
      <c r="F166" s="23">
        <v>173</v>
      </c>
      <c r="H166" s="5" t="e">
        <f ca="1">_xlfn.FORMULATEXT(표1[[#This Row],[Q''ty]])</f>
        <v>#N/A</v>
      </c>
    </row>
    <row r="167" spans="1:8" ht="15" hidden="1" customHeight="1" thickTop="1" x14ac:dyDescent="0.4">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20</v>
      </c>
      <c r="D168" s="2" t="s">
        <v>6</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20</v>
      </c>
      <c r="D169" s="2" t="s">
        <v>6</v>
      </c>
      <c r="E169" s="14" t="str">
        <f t="shared" si="8"/>
        <v>Paint Line</v>
      </c>
      <c r="F169" s="22">
        <f t="shared" si="10"/>
        <v>8</v>
      </c>
      <c r="H169" s="5" t="str">
        <f ca="1">_xlfn.FORMULATEXT(표1[[#This Row],[Q''ty]])</f>
        <v>=F70</v>
      </c>
    </row>
    <row r="170" spans="1:8" ht="15" hidden="1" customHeight="1" x14ac:dyDescent="0.4">
      <c r="A170" s="6">
        <v>2026</v>
      </c>
      <c r="B170" s="6">
        <f t="shared" si="9"/>
        <v>2</v>
      </c>
      <c r="C170" s="13" t="s">
        <v>20</v>
      </c>
      <c r="D170" s="2" t="s">
        <v>6</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20</v>
      </c>
      <c r="D171" s="2" t="s">
        <v>6</v>
      </c>
      <c r="E171" s="14" t="str">
        <f t="shared" si="8"/>
        <v>L/W Machine</v>
      </c>
      <c r="F171" s="22">
        <f t="shared" si="10"/>
        <v>11</v>
      </c>
      <c r="H171" s="5" t="str">
        <f ca="1">_xlfn.FORMULATEXT(표1[[#This Row],[Q''ty]])</f>
        <v>=F72</v>
      </c>
    </row>
    <row r="172" spans="1:8" ht="15" hidden="1" customHeight="1" x14ac:dyDescent="0.4">
      <c r="A172" s="6">
        <v>2026</v>
      </c>
      <c r="B172" s="6">
        <f t="shared" si="9"/>
        <v>2</v>
      </c>
      <c r="C172" s="13" t="s">
        <v>20</v>
      </c>
      <c r="D172" s="2" t="s">
        <v>6</v>
      </c>
      <c r="E172" s="14" t="str">
        <f t="shared" si="8"/>
        <v>C/W Machine</v>
      </c>
      <c r="F172" s="22">
        <f t="shared" si="10"/>
        <v>15</v>
      </c>
      <c r="H172" s="5" t="str">
        <f ca="1">_xlfn.FORMULATEXT(표1[[#This Row],[Q''ty]])</f>
        <v>=F73</v>
      </c>
    </row>
    <row r="173" spans="1:8" ht="15" hidden="1" customHeight="1" x14ac:dyDescent="0.4">
      <c r="A173" s="6">
        <v>2026</v>
      </c>
      <c r="B173" s="6">
        <f t="shared" si="9"/>
        <v>2</v>
      </c>
      <c r="C173" s="13" t="s">
        <v>20</v>
      </c>
      <c r="D173" s="2" t="s">
        <v>12</v>
      </c>
      <c r="E173" s="14" t="str">
        <f t="shared" si="8"/>
        <v>BT GT</v>
      </c>
      <c r="F173" s="22">
        <v>59</v>
      </c>
      <c r="H173" s="5" t="e">
        <f ca="1">_xlfn.FORMULATEXT(표1[[#This Row],[Q''ty]])</f>
        <v>#N/A</v>
      </c>
    </row>
    <row r="174" spans="1:8" ht="15" hidden="1" customHeight="1" x14ac:dyDescent="0.4">
      <c r="A174" s="6">
        <v>2026</v>
      </c>
      <c r="B174" s="6">
        <f t="shared" si="9"/>
        <v>2</v>
      </c>
      <c r="C174" s="13" t="s">
        <v>20</v>
      </c>
      <c r="D174" s="2" t="s">
        <v>12</v>
      </c>
      <c r="E174" s="14" t="str">
        <f t="shared" si="8"/>
        <v>WT GT</v>
      </c>
      <c r="F174" s="22">
        <v>50</v>
      </c>
      <c r="H174" s="5" t="e">
        <f ca="1">_xlfn.FORMULATEXT(표1[[#This Row],[Q''ty]])</f>
        <v>#N/A</v>
      </c>
    </row>
    <row r="175" spans="1:8" ht="15" hidden="1" customHeight="1" x14ac:dyDescent="0.4">
      <c r="A175" s="6">
        <v>2026</v>
      </c>
      <c r="B175" s="6">
        <f t="shared" si="9"/>
        <v>2</v>
      </c>
      <c r="C175" s="13" t="s">
        <v>20</v>
      </c>
      <c r="D175" s="2" t="s">
        <v>12</v>
      </c>
      <c r="E175" s="14" t="str">
        <f t="shared" si="8"/>
        <v>Bending</v>
      </c>
      <c r="F175" s="22">
        <v>423</v>
      </c>
      <c r="H175" s="5" t="e">
        <f ca="1">_xlfn.FORMULATEXT(표1[[#This Row],[Q''ty]])</f>
        <v>#N/A</v>
      </c>
    </row>
    <row r="176" spans="1:8" ht="15" hidden="1" customHeight="1" x14ac:dyDescent="0.4">
      <c r="A176" s="6">
        <v>2026</v>
      </c>
      <c r="B176" s="6">
        <f t="shared" si="9"/>
        <v>2</v>
      </c>
      <c r="C176" s="13" t="s">
        <v>20</v>
      </c>
      <c r="D176" s="2" t="s">
        <v>12</v>
      </c>
      <c r="E176" s="14" t="str">
        <f t="shared" si="8"/>
        <v>L/W</v>
      </c>
      <c r="F176" s="22">
        <v>454</v>
      </c>
      <c r="H176" s="5" t="e">
        <f ca="1">_xlfn.FORMULATEXT(표1[[#This Row],[Q''ty]])</f>
        <v>#N/A</v>
      </c>
    </row>
    <row r="177" spans="1:8" ht="15" hidden="1" customHeight="1" thickBot="1" x14ac:dyDescent="0.45">
      <c r="A177" s="15">
        <v>2026</v>
      </c>
      <c r="B177" s="15">
        <f t="shared" si="9"/>
        <v>2</v>
      </c>
      <c r="C177" s="16" t="s">
        <v>20</v>
      </c>
      <c r="D177" s="17" t="s">
        <v>12</v>
      </c>
      <c r="E177" s="18" t="str">
        <f t="shared" si="8"/>
        <v>C/W</v>
      </c>
      <c r="F177" s="23">
        <v>381</v>
      </c>
      <c r="H177" s="5" t="e">
        <f ca="1">_xlfn.FORMULATEXT(표1[[#This Row],[Q''ty]])</f>
        <v>#N/A</v>
      </c>
    </row>
    <row r="178" spans="1:8" ht="15" hidden="1" customHeight="1" thickTop="1" x14ac:dyDescent="0.4">
      <c r="A178" s="6">
        <v>2026</v>
      </c>
      <c r="B178" s="6">
        <f t="shared" si="9"/>
        <v>2</v>
      </c>
      <c r="C178" s="13" t="s">
        <v>21</v>
      </c>
      <c r="D178" s="2" t="s">
        <v>6</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21</v>
      </c>
      <c r="D179" s="2" t="s">
        <v>6</v>
      </c>
      <c r="E179" s="14" t="str">
        <f t="shared" si="8"/>
        <v>Paint Booth</v>
      </c>
      <c r="F179" s="22">
        <f t="shared" si="11"/>
        <v>4</v>
      </c>
      <c r="H179" s="5" t="str">
        <f ca="1">_xlfn.FORMULATEXT(표1[[#This Row],[Q''ty]])</f>
        <v>=F80</v>
      </c>
    </row>
    <row r="180" spans="1:8" ht="15" hidden="1" customHeight="1" x14ac:dyDescent="0.4">
      <c r="A180" s="6">
        <v>2026</v>
      </c>
      <c r="B180" s="6">
        <f t="shared" si="9"/>
        <v>2</v>
      </c>
      <c r="C180" s="13" t="s">
        <v>21</v>
      </c>
      <c r="D180" s="2" t="s">
        <v>6</v>
      </c>
      <c r="E180" s="14" t="str">
        <f t="shared" si="8"/>
        <v>Paint Line</v>
      </c>
      <c r="F180" s="22">
        <f t="shared" si="11"/>
        <v>4</v>
      </c>
      <c r="H180" s="5" t="str">
        <f ca="1">_xlfn.FORMULATEXT(표1[[#This Row],[Q''ty]])</f>
        <v>=F81</v>
      </c>
    </row>
    <row r="181" spans="1:8" ht="15" hidden="1" customHeight="1" x14ac:dyDescent="0.4">
      <c r="A181" s="6">
        <v>2026</v>
      </c>
      <c r="B181" s="6">
        <f t="shared" si="9"/>
        <v>2</v>
      </c>
      <c r="C181" s="13" t="s">
        <v>21</v>
      </c>
      <c r="D181" s="2" t="s">
        <v>6</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21</v>
      </c>
      <c r="D182" s="2" t="s">
        <v>6</v>
      </c>
      <c r="E182" s="14" t="str">
        <f t="shared" si="8"/>
        <v>L/W Machine</v>
      </c>
      <c r="F182" s="22">
        <f t="shared" si="11"/>
        <v>4</v>
      </c>
      <c r="H182" s="5" t="str">
        <f ca="1">_xlfn.FORMULATEXT(표1[[#This Row],[Q''ty]])</f>
        <v>=F83</v>
      </c>
    </row>
    <row r="183" spans="1:8" ht="15" hidden="1" customHeight="1" x14ac:dyDescent="0.4">
      <c r="A183" s="6">
        <v>2026</v>
      </c>
      <c r="B183" s="6">
        <f t="shared" si="9"/>
        <v>2</v>
      </c>
      <c r="C183" s="13" t="s">
        <v>21</v>
      </c>
      <c r="D183" s="2" t="s">
        <v>6</v>
      </c>
      <c r="E183" s="14" t="str">
        <f t="shared" si="8"/>
        <v>C/W Machine</v>
      </c>
      <c r="F183" s="22">
        <f t="shared" si="11"/>
        <v>6.5</v>
      </c>
      <c r="H183" s="5" t="str">
        <f ca="1">_xlfn.FORMULATEXT(표1[[#This Row],[Q''ty]])</f>
        <v>=F84</v>
      </c>
    </row>
    <row r="184" spans="1:8" ht="15" hidden="1" customHeight="1" x14ac:dyDescent="0.4">
      <c r="A184" s="6">
        <v>2026</v>
      </c>
      <c r="B184" s="6">
        <f t="shared" si="9"/>
        <v>2</v>
      </c>
      <c r="C184" s="13" t="s">
        <v>21</v>
      </c>
      <c r="D184" s="2" t="s">
        <v>12</v>
      </c>
      <c r="E184" s="14" t="str">
        <f t="shared" si="8"/>
        <v>BT GT</v>
      </c>
      <c r="F184" s="22">
        <v>13</v>
      </c>
      <c r="H184" s="5" t="e">
        <f ca="1">_xlfn.FORMULATEXT(표1[[#This Row],[Q''ty]])</f>
        <v>#N/A</v>
      </c>
    </row>
    <row r="185" spans="1:8" ht="15" hidden="1" customHeight="1" x14ac:dyDescent="0.4">
      <c r="A185" s="6">
        <v>2026</v>
      </c>
      <c r="B185" s="6">
        <f t="shared" si="9"/>
        <v>2</v>
      </c>
      <c r="C185" s="13" t="s">
        <v>21</v>
      </c>
      <c r="D185" s="2" t="s">
        <v>12</v>
      </c>
      <c r="E185" s="14" t="str">
        <f t="shared" si="8"/>
        <v>WT GT</v>
      </c>
      <c r="F185" s="22">
        <v>13</v>
      </c>
      <c r="H185" s="5" t="e">
        <f ca="1">_xlfn.FORMULATEXT(표1[[#This Row],[Q''ty]])</f>
        <v>#N/A</v>
      </c>
    </row>
    <row r="186" spans="1:8" ht="15" hidden="1" customHeight="1" x14ac:dyDescent="0.4">
      <c r="A186" s="6">
        <v>2026</v>
      </c>
      <c r="B186" s="6">
        <f t="shared" si="9"/>
        <v>2</v>
      </c>
      <c r="C186" s="13" t="s">
        <v>21</v>
      </c>
      <c r="D186" s="2" t="s">
        <v>12</v>
      </c>
      <c r="E186" s="14" t="str">
        <f t="shared" si="8"/>
        <v>Bending</v>
      </c>
      <c r="F186" s="22">
        <v>123</v>
      </c>
      <c r="H186" s="5" t="e">
        <f ca="1">_xlfn.FORMULATEXT(표1[[#This Row],[Q''ty]])</f>
        <v>#N/A</v>
      </c>
    </row>
    <row r="187" spans="1:8" ht="15" hidden="1" customHeight="1" x14ac:dyDescent="0.4">
      <c r="A187" s="6">
        <v>2026</v>
      </c>
      <c r="B187" s="6">
        <f t="shared" si="9"/>
        <v>2</v>
      </c>
      <c r="C187" s="13" t="s">
        <v>21</v>
      </c>
      <c r="D187" s="2" t="s">
        <v>12</v>
      </c>
      <c r="E187" s="14" t="str">
        <f t="shared" si="8"/>
        <v>L/W</v>
      </c>
      <c r="F187" s="22">
        <v>118</v>
      </c>
      <c r="H187" s="5" t="e">
        <f ca="1">_xlfn.FORMULATEXT(표1[[#This Row],[Q''ty]])</f>
        <v>#N/A</v>
      </c>
    </row>
    <row r="188" spans="1:8" ht="15" hidden="1" customHeight="1" thickBot="1" x14ac:dyDescent="0.45">
      <c r="A188" s="15">
        <v>2026</v>
      </c>
      <c r="B188" s="15">
        <f t="shared" si="9"/>
        <v>2</v>
      </c>
      <c r="C188" s="16" t="s">
        <v>21</v>
      </c>
      <c r="D188" s="17" t="s">
        <v>12</v>
      </c>
      <c r="E188" s="18" t="str">
        <f t="shared" si="8"/>
        <v>C/W</v>
      </c>
      <c r="F188" s="23">
        <v>139</v>
      </c>
      <c r="H188" s="5" t="e">
        <f ca="1">_xlfn.FORMULATEXT(표1[[#This Row],[Q''ty]])</f>
        <v>#N/A</v>
      </c>
    </row>
    <row r="189" spans="1:8" ht="15" hidden="1" customHeight="1" thickTop="1" x14ac:dyDescent="0.4">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22</v>
      </c>
      <c r="D190" s="2" t="s">
        <v>6</v>
      </c>
      <c r="E190" s="14" t="str">
        <f t="shared" si="8"/>
        <v>Paint Booth</v>
      </c>
      <c r="F190" s="22">
        <f t="shared" si="12"/>
        <v>6</v>
      </c>
      <c r="H190" s="5" t="str">
        <f ca="1">_xlfn.FORMULATEXT(표1[[#This Row],[Q''ty]])</f>
        <v>=F91</v>
      </c>
    </row>
    <row r="191" spans="1:8" ht="15" hidden="1" customHeight="1" x14ac:dyDescent="0.4">
      <c r="A191" s="6">
        <v>2026</v>
      </c>
      <c r="B191" s="6">
        <f t="shared" si="9"/>
        <v>2</v>
      </c>
      <c r="C191" s="13" t="s">
        <v>22</v>
      </c>
      <c r="D191" s="2" t="s">
        <v>6</v>
      </c>
      <c r="E191" s="14" t="str">
        <f t="shared" si="8"/>
        <v>Paint Line</v>
      </c>
      <c r="F191" s="22">
        <f t="shared" si="12"/>
        <v>4</v>
      </c>
      <c r="H191" s="5" t="str">
        <f ca="1">_xlfn.FORMULATEXT(표1[[#This Row],[Q''ty]])</f>
        <v>=F92</v>
      </c>
    </row>
    <row r="192" spans="1:8" ht="15" hidden="1" customHeight="1" x14ac:dyDescent="0.4">
      <c r="A192" s="6">
        <v>2026</v>
      </c>
      <c r="B192" s="6">
        <f t="shared" si="9"/>
        <v>2</v>
      </c>
      <c r="C192" s="13" t="s">
        <v>22</v>
      </c>
      <c r="D192" s="2" t="s">
        <v>6</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22</v>
      </c>
      <c r="D193" s="2" t="s">
        <v>6</v>
      </c>
      <c r="E193" s="14" t="str">
        <f t="shared" si="8"/>
        <v>L/W Machine</v>
      </c>
      <c r="F193" s="22">
        <f t="shared" si="12"/>
        <v>7</v>
      </c>
      <c r="H193" s="5" t="str">
        <f ca="1">_xlfn.FORMULATEXT(표1[[#This Row],[Q''ty]])</f>
        <v>=F94</v>
      </c>
    </row>
    <row r="194" spans="1:10" ht="15" hidden="1" customHeight="1" x14ac:dyDescent="0.4">
      <c r="A194" s="6">
        <v>2026</v>
      </c>
      <c r="B194" s="6">
        <f t="shared" si="9"/>
        <v>2</v>
      </c>
      <c r="C194" s="13" t="s">
        <v>22</v>
      </c>
      <c r="D194" s="2" t="s">
        <v>6</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22</v>
      </c>
      <c r="D195" s="2" t="s">
        <v>12</v>
      </c>
      <c r="E195" s="14" t="str">
        <f t="shared" si="8"/>
        <v>BT GT</v>
      </c>
      <c r="F195" s="22">
        <v>6</v>
      </c>
      <c r="H195" s="5" t="e">
        <f ca="1">_xlfn.FORMULATEXT(표1[[#This Row],[Q''ty]])</f>
        <v>#N/A</v>
      </c>
    </row>
    <row r="196" spans="1:10" ht="15" hidden="1" customHeight="1" x14ac:dyDescent="0.4">
      <c r="A196" s="6">
        <v>2026</v>
      </c>
      <c r="B196" s="6">
        <f t="shared" si="9"/>
        <v>2</v>
      </c>
      <c r="C196" s="13" t="s">
        <v>22</v>
      </c>
      <c r="D196" s="2" t="s">
        <v>12</v>
      </c>
      <c r="E196" s="14" t="str">
        <f t="shared" si="8"/>
        <v>WT GT</v>
      </c>
      <c r="F196" s="22">
        <v>9</v>
      </c>
      <c r="H196" s="5" t="e">
        <f ca="1">_xlfn.FORMULATEXT(표1[[#This Row],[Q''ty]])</f>
        <v>#N/A</v>
      </c>
    </row>
    <row r="197" spans="1:10" ht="15" hidden="1" customHeight="1" x14ac:dyDescent="0.4">
      <c r="A197" s="6">
        <v>2026</v>
      </c>
      <c r="B197" s="6">
        <f t="shared" si="9"/>
        <v>2</v>
      </c>
      <c r="C197" s="13" t="s">
        <v>22</v>
      </c>
      <c r="D197" s="2" t="s">
        <v>12</v>
      </c>
      <c r="E197" s="14" t="str">
        <f t="shared" si="8"/>
        <v>Bending</v>
      </c>
      <c r="F197" s="22">
        <v>86</v>
      </c>
      <c r="H197" s="5" t="e">
        <f ca="1">_xlfn.FORMULATEXT(표1[[#This Row],[Q''ty]])</f>
        <v>#N/A</v>
      </c>
    </row>
    <row r="198" spans="1:10" ht="15" hidden="1" customHeight="1" x14ac:dyDescent="0.4">
      <c r="A198" s="6">
        <v>2026</v>
      </c>
      <c r="B198" s="6">
        <f t="shared" si="9"/>
        <v>2</v>
      </c>
      <c r="C198" s="13" t="s">
        <v>22</v>
      </c>
      <c r="D198" s="2" t="s">
        <v>12</v>
      </c>
      <c r="E198" s="14" t="str">
        <f t="shared" si="8"/>
        <v>L/W</v>
      </c>
      <c r="F198" s="22">
        <v>95</v>
      </c>
      <c r="H198" s="5" t="e">
        <f ca="1">_xlfn.FORMULATEXT(표1[[#This Row],[Q''ty]])</f>
        <v>#N/A</v>
      </c>
    </row>
    <row r="199" spans="1:10" ht="15" hidden="1" customHeight="1" thickBot="1" x14ac:dyDescent="0.45">
      <c r="A199" s="15">
        <v>2026</v>
      </c>
      <c r="B199" s="15">
        <f t="shared" si="9"/>
        <v>2</v>
      </c>
      <c r="C199" s="16" t="s">
        <v>22</v>
      </c>
      <c r="D199" s="17" t="s">
        <v>12</v>
      </c>
      <c r="E199" s="18" t="str">
        <f t="shared" si="8"/>
        <v>C/W</v>
      </c>
      <c r="F199" s="23">
        <v>103</v>
      </c>
      <c r="H199" s="5" t="e">
        <f ca="1">_xlfn.FORMULATEXT(표1[[#This Row],[Q''ty]])</f>
        <v>#N/A</v>
      </c>
    </row>
    <row r="200" spans="1:10" ht="15" hidden="1" customHeight="1" thickTop="1" x14ac:dyDescent="0.4">
      <c r="A200" s="9">
        <v>2026</v>
      </c>
      <c r="B200" s="9">
        <f>B101+1</f>
        <v>3</v>
      </c>
      <c r="C200" s="10" t="s">
        <v>28</v>
      </c>
      <c r="D200" s="11" t="s">
        <v>6</v>
      </c>
      <c r="E200" s="12" t="s">
        <v>7</v>
      </c>
      <c r="F200" s="21">
        <f t="shared" ref="F200:F205" si="13">F101</f>
        <v>15</v>
      </c>
      <c r="H200" s="5" t="str">
        <f ca="1">_xlfn.FORMULATEXT(표1[[#This Row],[Q''ty]])</f>
        <v>=F101</v>
      </c>
    </row>
    <row r="201" spans="1:10" s="2" customFormat="1" ht="15" hidden="1" customHeight="1" x14ac:dyDescent="0.4">
      <c r="A201" s="6">
        <v>2026</v>
      </c>
      <c r="B201" s="6">
        <f t="shared" ref="B201:B264" si="14">B102+1</f>
        <v>3</v>
      </c>
      <c r="C201" s="13" t="s">
        <v>23</v>
      </c>
      <c r="D201" s="2" t="s">
        <v>6</v>
      </c>
      <c r="E201" s="14" t="s">
        <v>8</v>
      </c>
      <c r="F201" s="22">
        <f t="shared" si="13"/>
        <v>10</v>
      </c>
      <c r="H201" s="5" t="str">
        <f ca="1">_xlfn.FORMULATEXT(표1[[#This Row],[Q''ty]])</f>
        <v>=F102</v>
      </c>
      <c r="I201" s="26"/>
      <c r="J201" s="26"/>
    </row>
    <row r="202" spans="1:10" s="2" customFormat="1" ht="15" hidden="1" customHeight="1" x14ac:dyDescent="0.4">
      <c r="A202" s="6">
        <v>2026</v>
      </c>
      <c r="B202" s="6">
        <f t="shared" si="14"/>
        <v>3</v>
      </c>
      <c r="C202" s="13" t="s">
        <v>23</v>
      </c>
      <c r="D202" s="2" t="s">
        <v>6</v>
      </c>
      <c r="E202" s="14" t="s">
        <v>9</v>
      </c>
      <c r="F202" s="22">
        <f t="shared" si="13"/>
        <v>5</v>
      </c>
      <c r="H202" s="5" t="str">
        <f ca="1">_xlfn.FORMULATEXT(표1[[#This Row],[Q''ty]])</f>
        <v>=F103</v>
      </c>
      <c r="I202" s="26"/>
      <c r="J202" s="26"/>
    </row>
    <row r="203" spans="1:10" ht="15" hidden="1" customHeight="1" x14ac:dyDescent="0.4">
      <c r="A203" s="6">
        <v>2026</v>
      </c>
      <c r="B203" s="6">
        <f t="shared" si="14"/>
        <v>3</v>
      </c>
      <c r="C203" s="13" t="s">
        <v>23</v>
      </c>
      <c r="D203" s="2" t="s">
        <v>6</v>
      </c>
      <c r="E203" s="14" t="s">
        <v>27</v>
      </c>
      <c r="F203" s="22">
        <f t="shared" si="13"/>
        <v>6</v>
      </c>
      <c r="H203" s="5" t="str">
        <f ca="1">_xlfn.FORMULATEXT(표1[[#This Row],[Q''ty]])</f>
        <v>=F104</v>
      </c>
    </row>
    <row r="204" spans="1:10" ht="15" hidden="1" customHeight="1" x14ac:dyDescent="0.4">
      <c r="A204" s="6">
        <v>2026</v>
      </c>
      <c r="B204" s="6">
        <f t="shared" si="14"/>
        <v>3</v>
      </c>
      <c r="C204" s="13" t="s">
        <v>23</v>
      </c>
      <c r="D204" s="2" t="s">
        <v>6</v>
      </c>
      <c r="E204" s="14" t="s">
        <v>10</v>
      </c>
      <c r="F204" s="22">
        <f t="shared" si="13"/>
        <v>10</v>
      </c>
      <c r="H204" s="5" t="str">
        <f ca="1">_xlfn.FORMULATEXT(표1[[#This Row],[Q''ty]])</f>
        <v>=F105</v>
      </c>
    </row>
    <row r="205" spans="1:10" ht="15" hidden="1" customHeight="1" x14ac:dyDescent="0.4">
      <c r="A205" s="6">
        <v>2026</v>
      </c>
      <c r="B205" s="6">
        <f t="shared" si="14"/>
        <v>3</v>
      </c>
      <c r="C205" s="13" t="s">
        <v>23</v>
      </c>
      <c r="D205" s="2" t="s">
        <v>6</v>
      </c>
      <c r="E205" s="14" t="s">
        <v>11</v>
      </c>
      <c r="F205" s="22">
        <f t="shared" si="13"/>
        <v>10</v>
      </c>
      <c r="H205" s="5" t="str">
        <f ca="1">_xlfn.FORMULATEXT(표1[[#This Row],[Q''ty]])</f>
        <v>=F106</v>
      </c>
    </row>
    <row r="206" spans="1:10" ht="15" hidden="1" customHeight="1" x14ac:dyDescent="0.4">
      <c r="A206" s="6">
        <v>2026</v>
      </c>
      <c r="B206" s="6">
        <f t="shared" si="14"/>
        <v>3</v>
      </c>
      <c r="C206" s="13" t="s">
        <v>23</v>
      </c>
      <c r="D206" s="2" t="s">
        <v>12</v>
      </c>
      <c r="E206" s="14" t="s">
        <v>13</v>
      </c>
      <c r="F206" s="22">
        <v>21</v>
      </c>
      <c r="H206" s="5" t="e">
        <f ca="1">_xlfn.FORMULATEXT(표1[[#This Row],[Q''ty]])</f>
        <v>#N/A</v>
      </c>
    </row>
    <row r="207" spans="1:10" s="2" customFormat="1" ht="15" hidden="1" customHeight="1" x14ac:dyDescent="0.4">
      <c r="A207" s="6">
        <v>2026</v>
      </c>
      <c r="B207" s="6">
        <f t="shared" si="14"/>
        <v>3</v>
      </c>
      <c r="C207" s="13" t="s">
        <v>23</v>
      </c>
      <c r="D207" s="2" t="s">
        <v>12</v>
      </c>
      <c r="E207" s="14" t="s">
        <v>14</v>
      </c>
      <c r="F207" s="22">
        <v>25</v>
      </c>
      <c r="H207" s="5" t="e">
        <f ca="1">_xlfn.FORMULATEXT(표1[[#This Row],[Q''ty]])</f>
        <v>#N/A</v>
      </c>
      <c r="I207" s="26"/>
      <c r="J207" s="26"/>
    </row>
    <row r="208" spans="1:10" ht="15" hidden="1" customHeight="1" x14ac:dyDescent="0.4">
      <c r="A208" s="6">
        <v>2026</v>
      </c>
      <c r="B208" s="6">
        <f t="shared" si="14"/>
        <v>3</v>
      </c>
      <c r="C208" s="13" t="s">
        <v>23</v>
      </c>
      <c r="D208" s="2" t="s">
        <v>12</v>
      </c>
      <c r="E208" s="14" t="s">
        <v>15</v>
      </c>
      <c r="F208" s="22">
        <v>228</v>
      </c>
      <c r="H208" s="5" t="e">
        <f ca="1">_xlfn.FORMULATEXT(표1[[#This Row],[Q''ty]])</f>
        <v>#N/A</v>
      </c>
    </row>
    <row r="209" spans="1:10" ht="15" hidden="1" customHeight="1" x14ac:dyDescent="0.4">
      <c r="A209" s="6">
        <v>2026</v>
      </c>
      <c r="B209" s="6">
        <f t="shared" si="14"/>
        <v>3</v>
      </c>
      <c r="C209" s="13" t="s">
        <v>23</v>
      </c>
      <c r="D209" s="2" t="s">
        <v>12</v>
      </c>
      <c r="E209" s="14" t="s">
        <v>16</v>
      </c>
      <c r="F209" s="22">
        <v>222.5</v>
      </c>
      <c r="H209" s="5" t="e">
        <f ca="1">_xlfn.FORMULATEXT(표1[[#This Row],[Q''ty]])</f>
        <v>#N/A</v>
      </c>
    </row>
    <row r="210" spans="1:10" ht="15" hidden="1" customHeight="1" thickBot="1" x14ac:dyDescent="0.45">
      <c r="A210" s="15">
        <v>2026</v>
      </c>
      <c r="B210" s="15">
        <f t="shared" si="14"/>
        <v>3</v>
      </c>
      <c r="C210" s="16" t="s">
        <v>23</v>
      </c>
      <c r="D210" s="17" t="s">
        <v>12</v>
      </c>
      <c r="E210" s="18" t="s">
        <v>17</v>
      </c>
      <c r="F210" s="23">
        <v>230.39999999999998</v>
      </c>
      <c r="H210" s="5" t="e">
        <f ca="1">_xlfn.FORMULATEXT(표1[[#This Row],[Q''ty]])</f>
        <v>#N/A</v>
      </c>
    </row>
    <row r="211" spans="1:10" ht="15" hidden="1" customHeight="1" thickTop="1" x14ac:dyDescent="0.4">
      <c r="A211" s="9">
        <v>2026</v>
      </c>
      <c r="B211" s="9">
        <f t="shared" si="14"/>
        <v>3</v>
      </c>
      <c r="C211" s="10" t="s">
        <v>29</v>
      </c>
      <c r="D211" s="11" t="s">
        <v>6</v>
      </c>
      <c r="E211" s="12" t="s">
        <v>7</v>
      </c>
      <c r="F211" s="21">
        <f t="shared" ref="F211:F216" si="15">F112</f>
        <v>14</v>
      </c>
      <c r="H211" s="5" t="str">
        <f ca="1">_xlfn.FORMULATEXT(표1[[#This Row],[Q''ty]])</f>
        <v>=F112</v>
      </c>
    </row>
    <row r="212" spans="1:10" s="2" customFormat="1" ht="15" hidden="1" customHeight="1" x14ac:dyDescent="0.4">
      <c r="A212" s="6">
        <v>2026</v>
      </c>
      <c r="B212" s="6">
        <f t="shared" si="14"/>
        <v>3</v>
      </c>
      <c r="C212" s="13" t="s">
        <v>24</v>
      </c>
      <c r="D212" s="2" t="s">
        <v>6</v>
      </c>
      <c r="E212" s="14" t="s">
        <v>8</v>
      </c>
      <c r="F212" s="22">
        <f t="shared" si="15"/>
        <v>8</v>
      </c>
      <c r="H212" s="5" t="str">
        <f ca="1">_xlfn.FORMULATEXT(표1[[#This Row],[Q''ty]])</f>
        <v>=F113</v>
      </c>
      <c r="I212" s="26"/>
      <c r="J212" s="26"/>
    </row>
    <row r="213" spans="1:10" s="2" customFormat="1" ht="15" hidden="1" customHeight="1" x14ac:dyDescent="0.4">
      <c r="A213" s="6">
        <v>2026</v>
      </c>
      <c r="B213" s="6">
        <f t="shared" si="14"/>
        <v>3</v>
      </c>
      <c r="C213" s="13" t="s">
        <v>24</v>
      </c>
      <c r="D213" s="2" t="s">
        <v>6</v>
      </c>
      <c r="E213" s="14" t="s">
        <v>9</v>
      </c>
      <c r="F213" s="22">
        <f t="shared" si="15"/>
        <v>4</v>
      </c>
      <c r="H213" s="5" t="str">
        <f ca="1">_xlfn.FORMULATEXT(표1[[#This Row],[Q''ty]])</f>
        <v>=F114</v>
      </c>
      <c r="I213" s="26"/>
      <c r="J213" s="26"/>
    </row>
    <row r="214" spans="1:10" ht="15" hidden="1" customHeight="1" x14ac:dyDescent="0.4">
      <c r="A214" s="6">
        <v>2026</v>
      </c>
      <c r="B214" s="6">
        <f t="shared" si="14"/>
        <v>3</v>
      </c>
      <c r="C214" s="13" t="s">
        <v>24</v>
      </c>
      <c r="D214" s="2" t="s">
        <v>6</v>
      </c>
      <c r="E214" s="14" t="s">
        <v>27</v>
      </c>
      <c r="F214" s="22">
        <f t="shared" si="15"/>
        <v>3</v>
      </c>
      <c r="H214" s="5" t="str">
        <f ca="1">_xlfn.FORMULATEXT(표1[[#This Row],[Q''ty]])</f>
        <v>=F115</v>
      </c>
    </row>
    <row r="215" spans="1:10" ht="15" hidden="1" customHeight="1" x14ac:dyDescent="0.4">
      <c r="A215" s="6">
        <v>2026</v>
      </c>
      <c r="B215" s="6">
        <f t="shared" si="14"/>
        <v>3</v>
      </c>
      <c r="C215" s="13" t="s">
        <v>24</v>
      </c>
      <c r="D215" s="2" t="s">
        <v>6</v>
      </c>
      <c r="E215" s="14" t="s">
        <v>10</v>
      </c>
      <c r="F215" s="22">
        <f t="shared" si="15"/>
        <v>6</v>
      </c>
      <c r="H215" s="5" t="str">
        <f ca="1">_xlfn.FORMULATEXT(표1[[#This Row],[Q''ty]])</f>
        <v>=F116</v>
      </c>
    </row>
    <row r="216" spans="1:10" ht="15" hidden="1" customHeight="1" x14ac:dyDescent="0.4">
      <c r="A216" s="6">
        <v>2026</v>
      </c>
      <c r="B216" s="6">
        <f t="shared" si="14"/>
        <v>3</v>
      </c>
      <c r="C216" s="13" t="s">
        <v>24</v>
      </c>
      <c r="D216" s="2" t="s">
        <v>6</v>
      </c>
      <c r="E216" s="14" t="s">
        <v>11</v>
      </c>
      <c r="F216" s="22">
        <f t="shared" si="15"/>
        <v>8.8000000000000007</v>
      </c>
      <c r="H216" s="5" t="str">
        <f ca="1">_xlfn.FORMULATEXT(표1[[#This Row],[Q''ty]])</f>
        <v>=F117</v>
      </c>
    </row>
    <row r="217" spans="1:10" ht="15" hidden="1" customHeight="1" x14ac:dyDescent="0.4">
      <c r="A217" s="6">
        <v>2026</v>
      </c>
      <c r="B217" s="6">
        <f t="shared" si="14"/>
        <v>3</v>
      </c>
      <c r="C217" s="13" t="s">
        <v>24</v>
      </c>
      <c r="D217" s="2" t="s">
        <v>12</v>
      </c>
      <c r="E217" s="14" t="s">
        <v>13</v>
      </c>
      <c r="F217" s="22">
        <v>20</v>
      </c>
      <c r="H217" s="5" t="e">
        <f ca="1">_xlfn.FORMULATEXT(표1[[#This Row],[Q''ty]])</f>
        <v>#N/A</v>
      </c>
    </row>
    <row r="218" spans="1:10" s="2" customFormat="1" ht="15" hidden="1" customHeight="1" x14ac:dyDescent="0.4">
      <c r="A218" s="6">
        <v>2026</v>
      </c>
      <c r="B218" s="6">
        <f t="shared" si="14"/>
        <v>3</v>
      </c>
      <c r="C218" s="13" t="s">
        <v>24</v>
      </c>
      <c r="D218" s="2" t="s">
        <v>12</v>
      </c>
      <c r="E218" s="14" t="s">
        <v>14</v>
      </c>
      <c r="F218" s="22">
        <v>20</v>
      </c>
      <c r="H218" s="5" t="e">
        <f ca="1">_xlfn.FORMULATEXT(표1[[#This Row],[Q''ty]])</f>
        <v>#N/A</v>
      </c>
      <c r="I218" s="26"/>
      <c r="J218" s="26"/>
    </row>
    <row r="219" spans="1:10" ht="15" hidden="1" customHeight="1" x14ac:dyDescent="0.4">
      <c r="A219" s="6">
        <v>2026</v>
      </c>
      <c r="B219" s="6">
        <f t="shared" si="14"/>
        <v>3</v>
      </c>
      <c r="C219" s="13" t="s">
        <v>24</v>
      </c>
      <c r="D219" s="2" t="s">
        <v>12</v>
      </c>
      <c r="E219" s="14" t="s">
        <v>15</v>
      </c>
      <c r="F219" s="22">
        <v>194</v>
      </c>
      <c r="H219" s="5" t="e">
        <f ca="1">_xlfn.FORMULATEXT(표1[[#This Row],[Q''ty]])</f>
        <v>#N/A</v>
      </c>
    </row>
    <row r="220" spans="1:10" ht="15" hidden="1" customHeight="1" x14ac:dyDescent="0.4">
      <c r="A220" s="6">
        <v>2026</v>
      </c>
      <c r="B220" s="6">
        <f t="shared" si="14"/>
        <v>3</v>
      </c>
      <c r="C220" s="13" t="s">
        <v>24</v>
      </c>
      <c r="D220" s="2" t="s">
        <v>12</v>
      </c>
      <c r="E220" s="14" t="s">
        <v>16</v>
      </c>
      <c r="F220" s="22">
        <v>194</v>
      </c>
      <c r="H220" s="5" t="e">
        <f ca="1">_xlfn.FORMULATEXT(표1[[#This Row],[Q''ty]])</f>
        <v>#N/A</v>
      </c>
    </row>
    <row r="221" spans="1:10" ht="15" hidden="1" customHeight="1" thickBot="1" x14ac:dyDescent="0.45">
      <c r="A221" s="15">
        <v>2026</v>
      </c>
      <c r="B221" s="15">
        <f t="shared" si="14"/>
        <v>3</v>
      </c>
      <c r="C221" s="16" t="s">
        <v>24</v>
      </c>
      <c r="D221" s="17" t="s">
        <v>12</v>
      </c>
      <c r="E221" s="18" t="s">
        <v>17</v>
      </c>
      <c r="F221" s="23">
        <v>213.7</v>
      </c>
      <c r="H221" s="5" t="e">
        <f ca="1">_xlfn.FORMULATEXT(표1[[#This Row],[Q''ty]])</f>
        <v>#N/A</v>
      </c>
    </row>
    <row r="222" spans="1:10" ht="15" hidden="1" customHeight="1" thickTop="1" x14ac:dyDescent="0.4">
      <c r="A222" s="6">
        <v>2026</v>
      </c>
      <c r="B222" s="6">
        <f t="shared" si="14"/>
        <v>3</v>
      </c>
      <c r="C222" s="13" t="s">
        <v>18</v>
      </c>
      <c r="D222" s="2" t="s">
        <v>6</v>
      </c>
      <c r="E222" s="14" t="str">
        <f t="shared" ref="E222:F227" si="16">E123</f>
        <v>Growing Line</v>
      </c>
      <c r="F222" s="22">
        <f t="shared" si="16"/>
        <v>5</v>
      </c>
      <c r="H222" s="5" t="str">
        <f ca="1">_xlfn.FORMULATEXT(표1[[#This Row],[Q''ty]])</f>
        <v>=F123</v>
      </c>
    </row>
    <row r="223" spans="1:10" ht="15" hidden="1" customHeight="1" x14ac:dyDescent="0.4">
      <c r="A223" s="6">
        <v>2026</v>
      </c>
      <c r="B223" s="6">
        <f t="shared" si="14"/>
        <v>3</v>
      </c>
      <c r="C223" s="13" t="s">
        <v>18</v>
      </c>
      <c r="D223" s="2" t="s">
        <v>6</v>
      </c>
      <c r="E223" s="14" t="str">
        <f t="shared" si="16"/>
        <v>Paint Booth</v>
      </c>
      <c r="F223" s="22">
        <f t="shared" si="16"/>
        <v>3</v>
      </c>
      <c r="H223" s="5" t="str">
        <f ca="1">_xlfn.FORMULATEXT(표1[[#This Row],[Q''ty]])</f>
        <v>=F124</v>
      </c>
    </row>
    <row r="224" spans="1:10" ht="15" hidden="1" customHeight="1" x14ac:dyDescent="0.4">
      <c r="A224" s="6">
        <v>2026</v>
      </c>
      <c r="B224" s="6">
        <f t="shared" si="14"/>
        <v>3</v>
      </c>
      <c r="C224" s="13" t="s">
        <v>18</v>
      </c>
      <c r="D224" s="2" t="s">
        <v>6</v>
      </c>
      <c r="E224" s="14" t="str">
        <f t="shared" si="16"/>
        <v>Paint Line</v>
      </c>
      <c r="F224" s="22">
        <f t="shared" si="16"/>
        <v>2</v>
      </c>
      <c r="H224" s="5" t="str">
        <f ca="1">_xlfn.FORMULATEXT(표1[[#This Row],[Q''ty]])</f>
        <v>=F125</v>
      </c>
    </row>
    <row r="225" spans="1:8" ht="15" hidden="1" customHeight="1" x14ac:dyDescent="0.4">
      <c r="A225" s="6">
        <v>2026</v>
      </c>
      <c r="B225" s="6">
        <f t="shared" si="14"/>
        <v>3</v>
      </c>
      <c r="C225" s="13" t="s">
        <v>18</v>
      </c>
      <c r="D225" s="2" t="s">
        <v>6</v>
      </c>
      <c r="E225" s="14" t="str">
        <f t="shared" si="16"/>
        <v>Roll Bending Machine</v>
      </c>
      <c r="F225" s="22">
        <f t="shared" si="16"/>
        <v>2</v>
      </c>
      <c r="H225" s="5" t="str">
        <f ca="1">_xlfn.FORMULATEXT(표1[[#This Row],[Q''ty]])</f>
        <v>=F126</v>
      </c>
    </row>
    <row r="226" spans="1:8" ht="15" hidden="1" customHeight="1" x14ac:dyDescent="0.4">
      <c r="A226" s="6">
        <v>2026</v>
      </c>
      <c r="B226" s="6">
        <f t="shared" si="14"/>
        <v>3</v>
      </c>
      <c r="C226" s="13" t="s">
        <v>18</v>
      </c>
      <c r="D226" s="2" t="s">
        <v>6</v>
      </c>
      <c r="E226" s="14" t="str">
        <f t="shared" si="16"/>
        <v>L/W Machine</v>
      </c>
      <c r="F226" s="22">
        <f t="shared" si="16"/>
        <v>2</v>
      </c>
      <c r="H226" s="5" t="str">
        <f ca="1">_xlfn.FORMULATEXT(표1[[#This Row],[Q''ty]])</f>
        <v>=F127</v>
      </c>
    </row>
    <row r="227" spans="1:8" ht="15" hidden="1" customHeight="1" x14ac:dyDescent="0.4">
      <c r="A227" s="6">
        <v>2026</v>
      </c>
      <c r="B227" s="6">
        <f t="shared" si="14"/>
        <v>3</v>
      </c>
      <c r="C227" s="13" t="s">
        <v>18</v>
      </c>
      <c r="D227" s="2" t="s">
        <v>6</v>
      </c>
      <c r="E227" s="14" t="str">
        <f t="shared" si="16"/>
        <v>C/W Machine</v>
      </c>
      <c r="F227" s="22">
        <f t="shared" si="16"/>
        <v>3</v>
      </c>
      <c r="H227" s="5" t="str">
        <f ca="1">_xlfn.FORMULATEXT(표1[[#This Row],[Q''ty]])</f>
        <v>=F128</v>
      </c>
    </row>
    <row r="228" spans="1:8" ht="15" hidden="1" customHeight="1" x14ac:dyDescent="0.4">
      <c r="A228" s="6">
        <v>2026</v>
      </c>
      <c r="B228" s="6">
        <f t="shared" si="14"/>
        <v>3</v>
      </c>
      <c r="C228" s="13" t="s">
        <v>18</v>
      </c>
      <c r="D228" s="2" t="s">
        <v>12</v>
      </c>
      <c r="E228" s="14" t="str">
        <f t="shared" ref="E228:E243" si="17">E129</f>
        <v>BT GT</v>
      </c>
      <c r="F228" s="22">
        <v>0</v>
      </c>
      <c r="H228" s="5" t="e">
        <f ca="1">_xlfn.FORMULATEXT(표1[[#This Row],[Q''ty]])</f>
        <v>#N/A</v>
      </c>
    </row>
    <row r="229" spans="1:8" ht="15" hidden="1" customHeight="1" x14ac:dyDescent="0.4">
      <c r="A229" s="6">
        <v>2026</v>
      </c>
      <c r="B229" s="6">
        <f t="shared" si="14"/>
        <v>3</v>
      </c>
      <c r="C229" s="13" t="s">
        <v>18</v>
      </c>
      <c r="D229" s="2" t="s">
        <v>12</v>
      </c>
      <c r="E229" s="14" t="str">
        <f t="shared" si="17"/>
        <v>WT GT</v>
      </c>
      <c r="F229" s="22">
        <v>0</v>
      </c>
      <c r="H229" s="5" t="e">
        <f ca="1">_xlfn.FORMULATEXT(표1[[#This Row],[Q''ty]])</f>
        <v>#N/A</v>
      </c>
    </row>
    <row r="230" spans="1:8" ht="15" hidden="1" customHeight="1" x14ac:dyDescent="0.4">
      <c r="A230" s="6">
        <v>2026</v>
      </c>
      <c r="B230" s="6">
        <f t="shared" si="14"/>
        <v>3</v>
      </c>
      <c r="C230" s="13" t="s">
        <v>18</v>
      </c>
      <c r="D230" s="2" t="s">
        <v>12</v>
      </c>
      <c r="E230" s="14" t="str">
        <f t="shared" si="17"/>
        <v>Bending</v>
      </c>
      <c r="F230" s="22">
        <v>0</v>
      </c>
      <c r="H230" s="5" t="e">
        <f ca="1">_xlfn.FORMULATEXT(표1[[#This Row],[Q''ty]])</f>
        <v>#N/A</v>
      </c>
    </row>
    <row r="231" spans="1:8" ht="15" hidden="1" customHeight="1" x14ac:dyDescent="0.4">
      <c r="A231" s="6">
        <v>2026</v>
      </c>
      <c r="B231" s="6">
        <f t="shared" si="14"/>
        <v>3</v>
      </c>
      <c r="C231" s="13" t="s">
        <v>18</v>
      </c>
      <c r="D231" s="2" t="s">
        <v>12</v>
      </c>
      <c r="E231" s="14" t="str">
        <f t="shared" si="17"/>
        <v>L/W</v>
      </c>
      <c r="F231" s="22">
        <v>0</v>
      </c>
      <c r="H231" s="5" t="e">
        <f ca="1">_xlfn.FORMULATEXT(표1[[#This Row],[Q''ty]])</f>
        <v>#N/A</v>
      </c>
    </row>
    <row r="232" spans="1:8" ht="15" hidden="1" customHeight="1" thickBot="1" x14ac:dyDescent="0.45">
      <c r="A232" s="15">
        <v>2026</v>
      </c>
      <c r="B232" s="15">
        <f t="shared" si="14"/>
        <v>3</v>
      </c>
      <c r="C232" s="16" t="s">
        <v>18</v>
      </c>
      <c r="D232" s="17" t="s">
        <v>12</v>
      </c>
      <c r="E232" s="18" t="str">
        <f t="shared" si="17"/>
        <v>C/W</v>
      </c>
      <c r="F232" s="23">
        <v>0</v>
      </c>
      <c r="H232" s="5" t="e">
        <f ca="1">_xlfn.FORMULATEXT(표1[[#This Row],[Q''ty]])</f>
        <v>#N/A</v>
      </c>
    </row>
    <row r="233" spans="1:8" ht="15" hidden="1" customHeight="1" thickTop="1" x14ac:dyDescent="0.4">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hidden="1" customHeight="1" x14ac:dyDescent="0.4">
      <c r="A234" s="6">
        <v>2026</v>
      </c>
      <c r="B234" s="6">
        <f t="shared" si="14"/>
        <v>3</v>
      </c>
      <c r="C234" s="13" t="s">
        <v>19</v>
      </c>
      <c r="D234" s="2" t="s">
        <v>6</v>
      </c>
      <c r="E234" s="14" t="str">
        <f t="shared" si="17"/>
        <v>Paint Booth</v>
      </c>
      <c r="F234" s="22">
        <f t="shared" si="18"/>
        <v>22</v>
      </c>
      <c r="H234" s="5" t="str">
        <f ca="1">_xlfn.FORMULATEXT(표1[[#This Row],[Q''ty]])</f>
        <v>=F135</v>
      </c>
    </row>
    <row r="235" spans="1:8" ht="15" hidden="1" customHeight="1" x14ac:dyDescent="0.4">
      <c r="A235" s="6">
        <v>2026</v>
      </c>
      <c r="B235" s="6">
        <f t="shared" si="14"/>
        <v>3</v>
      </c>
      <c r="C235" s="13" t="s">
        <v>19</v>
      </c>
      <c r="D235" s="2" t="s">
        <v>6</v>
      </c>
      <c r="E235" s="14" t="str">
        <f t="shared" si="17"/>
        <v>Paint Line</v>
      </c>
      <c r="F235" s="22">
        <f t="shared" si="18"/>
        <v>6</v>
      </c>
      <c r="H235" s="5" t="str">
        <f ca="1">_xlfn.FORMULATEXT(표1[[#This Row],[Q''ty]])</f>
        <v>=F136</v>
      </c>
    </row>
    <row r="236" spans="1:8" ht="15" hidden="1" customHeight="1" x14ac:dyDescent="0.4">
      <c r="A236" s="6">
        <v>2026</v>
      </c>
      <c r="B236" s="6">
        <f t="shared" si="14"/>
        <v>3</v>
      </c>
      <c r="C236" s="13" t="s">
        <v>19</v>
      </c>
      <c r="D236" s="2" t="s">
        <v>6</v>
      </c>
      <c r="E236" s="14" t="str">
        <f t="shared" si="17"/>
        <v>Roll Bending Machine</v>
      </c>
      <c r="F236" s="22">
        <f t="shared" si="18"/>
        <v>4</v>
      </c>
      <c r="H236" s="5" t="str">
        <f ca="1">_xlfn.FORMULATEXT(표1[[#This Row],[Q''ty]])</f>
        <v>=F137</v>
      </c>
    </row>
    <row r="237" spans="1:8" ht="15" hidden="1" customHeight="1" x14ac:dyDescent="0.4">
      <c r="A237" s="6">
        <v>2026</v>
      </c>
      <c r="B237" s="6">
        <f t="shared" si="14"/>
        <v>3</v>
      </c>
      <c r="C237" s="13" t="s">
        <v>19</v>
      </c>
      <c r="D237" s="2" t="s">
        <v>6</v>
      </c>
      <c r="E237" s="14" t="str">
        <f t="shared" si="17"/>
        <v>L/W Machine</v>
      </c>
      <c r="F237" s="22">
        <f t="shared" si="18"/>
        <v>10</v>
      </c>
      <c r="H237" s="5" t="str">
        <f ca="1">_xlfn.FORMULATEXT(표1[[#This Row],[Q''ty]])</f>
        <v>=F138</v>
      </c>
    </row>
    <row r="238" spans="1:8" ht="15" hidden="1" customHeight="1" x14ac:dyDescent="0.4">
      <c r="A238" s="6">
        <v>2026</v>
      </c>
      <c r="B238" s="6">
        <f t="shared" si="14"/>
        <v>3</v>
      </c>
      <c r="C238" s="13" t="s">
        <v>19</v>
      </c>
      <c r="D238" s="2" t="s">
        <v>6</v>
      </c>
      <c r="E238" s="14" t="str">
        <f t="shared" si="17"/>
        <v>C/W Machine</v>
      </c>
      <c r="F238" s="22">
        <f t="shared" si="18"/>
        <v>12</v>
      </c>
      <c r="H238" s="5" t="str">
        <f ca="1">_xlfn.FORMULATEXT(표1[[#This Row],[Q''ty]])</f>
        <v>=F139</v>
      </c>
    </row>
    <row r="239" spans="1:8" ht="15" hidden="1" customHeight="1" x14ac:dyDescent="0.4">
      <c r="A239" s="6">
        <v>2026</v>
      </c>
      <c r="B239" s="6">
        <f t="shared" si="14"/>
        <v>3</v>
      </c>
      <c r="C239" s="13" t="s">
        <v>19</v>
      </c>
      <c r="D239" s="2" t="s">
        <v>12</v>
      </c>
      <c r="E239" s="14" t="str">
        <f t="shared" si="17"/>
        <v>BT GT</v>
      </c>
      <c r="F239" s="22">
        <v>34</v>
      </c>
      <c r="H239" s="5" t="e">
        <f ca="1">_xlfn.FORMULATEXT(표1[[#This Row],[Q''ty]])</f>
        <v>#N/A</v>
      </c>
    </row>
    <row r="240" spans="1:8" ht="15" hidden="1" customHeight="1" x14ac:dyDescent="0.4">
      <c r="A240" s="6">
        <v>2026</v>
      </c>
      <c r="B240" s="6">
        <f t="shared" si="14"/>
        <v>3</v>
      </c>
      <c r="C240" s="13" t="s">
        <v>19</v>
      </c>
      <c r="D240" s="2" t="s">
        <v>12</v>
      </c>
      <c r="E240" s="14" t="str">
        <f t="shared" si="17"/>
        <v>WT GT</v>
      </c>
      <c r="F240" s="22">
        <v>30</v>
      </c>
      <c r="H240" s="5" t="e">
        <f ca="1">_xlfn.FORMULATEXT(표1[[#This Row],[Q''ty]])</f>
        <v>#N/A</v>
      </c>
    </row>
    <row r="241" spans="1:8" ht="15" hidden="1" customHeight="1" x14ac:dyDescent="0.4">
      <c r="A241" s="6">
        <v>2026</v>
      </c>
      <c r="B241" s="6">
        <f t="shared" si="14"/>
        <v>3</v>
      </c>
      <c r="C241" s="13" t="s">
        <v>19</v>
      </c>
      <c r="D241" s="2" t="s">
        <v>12</v>
      </c>
      <c r="E241" s="14" t="str">
        <f t="shared" si="17"/>
        <v>Bending</v>
      </c>
      <c r="F241" s="22">
        <v>292</v>
      </c>
      <c r="H241" s="5" t="e">
        <f ca="1">_xlfn.FORMULATEXT(표1[[#This Row],[Q''ty]])</f>
        <v>#N/A</v>
      </c>
    </row>
    <row r="242" spans="1:8" ht="15" hidden="1" customHeight="1" x14ac:dyDescent="0.4">
      <c r="A242" s="6">
        <v>2026</v>
      </c>
      <c r="B242" s="6">
        <f t="shared" si="14"/>
        <v>3</v>
      </c>
      <c r="C242" s="13" t="s">
        <v>19</v>
      </c>
      <c r="D242" s="2" t="s">
        <v>12</v>
      </c>
      <c r="E242" s="14" t="str">
        <f t="shared" si="17"/>
        <v>L/W</v>
      </c>
      <c r="F242" s="22">
        <v>292</v>
      </c>
      <c r="H242" s="5" t="e">
        <f ca="1">_xlfn.FORMULATEXT(표1[[#This Row],[Q''ty]])</f>
        <v>#N/A</v>
      </c>
    </row>
    <row r="243" spans="1:8" ht="15" hidden="1" customHeight="1" thickBot="1" x14ac:dyDescent="0.45">
      <c r="A243" s="15">
        <v>2026</v>
      </c>
      <c r="B243" s="15">
        <f t="shared" si="14"/>
        <v>3</v>
      </c>
      <c r="C243" s="16" t="s">
        <v>19</v>
      </c>
      <c r="D243" s="17" t="s">
        <v>12</v>
      </c>
      <c r="E243" s="18" t="str">
        <f t="shared" si="17"/>
        <v>C/W</v>
      </c>
      <c r="F243" s="23">
        <v>331</v>
      </c>
      <c r="H243" s="5" t="e">
        <f ca="1">_xlfn.FORMULATEXT(표1[[#This Row],[Q''ty]])</f>
        <v>#N/A</v>
      </c>
    </row>
    <row r="244" spans="1:8" ht="15" hidden="1" customHeight="1" thickTop="1" x14ac:dyDescent="0.4">
      <c r="A244" s="6">
        <v>2026</v>
      </c>
      <c r="B244" s="6">
        <f t="shared" si="14"/>
        <v>3</v>
      </c>
      <c r="C244" s="13" t="s">
        <v>25</v>
      </c>
      <c r="D244" s="2" t="s">
        <v>6</v>
      </c>
      <c r="E244" s="14" t="s">
        <v>7</v>
      </c>
      <c r="F244" s="22">
        <f t="shared" ref="F244:F249" si="19">F145</f>
        <v>3</v>
      </c>
      <c r="H244" s="5" t="str">
        <f ca="1">_xlfn.FORMULATEXT(표1[[#This Row],[Q''ty]])</f>
        <v>=F145</v>
      </c>
    </row>
    <row r="245" spans="1:8" ht="15" hidden="1" customHeight="1" x14ac:dyDescent="0.4">
      <c r="A245" s="6">
        <v>2026</v>
      </c>
      <c r="B245" s="6">
        <f t="shared" si="14"/>
        <v>3</v>
      </c>
      <c r="C245" s="13" t="s">
        <v>25</v>
      </c>
      <c r="D245" s="2" t="s">
        <v>6</v>
      </c>
      <c r="E245" s="14" t="s">
        <v>8</v>
      </c>
      <c r="F245" s="22">
        <f t="shared" si="19"/>
        <v>3</v>
      </c>
      <c r="H245" s="5" t="str">
        <f ca="1">_xlfn.FORMULATEXT(표1[[#This Row],[Q''ty]])</f>
        <v>=F146</v>
      </c>
    </row>
    <row r="246" spans="1:8" ht="15" hidden="1" customHeight="1" x14ac:dyDescent="0.4">
      <c r="A246" s="6">
        <v>2026</v>
      </c>
      <c r="B246" s="6">
        <f t="shared" si="14"/>
        <v>3</v>
      </c>
      <c r="C246" s="13" t="s">
        <v>25</v>
      </c>
      <c r="D246" s="2" t="s">
        <v>6</v>
      </c>
      <c r="E246" s="14" t="s">
        <v>9</v>
      </c>
      <c r="F246" s="22">
        <f t="shared" si="19"/>
        <v>2</v>
      </c>
      <c r="H246" s="5" t="str">
        <f ca="1">_xlfn.FORMULATEXT(표1[[#This Row],[Q''ty]])</f>
        <v>=F147</v>
      </c>
    </row>
    <row r="247" spans="1:8" ht="15" hidden="1" customHeight="1" x14ac:dyDescent="0.4">
      <c r="A247" s="6">
        <v>2026</v>
      </c>
      <c r="B247" s="6">
        <f t="shared" si="14"/>
        <v>3</v>
      </c>
      <c r="C247" s="13" t="s">
        <v>25</v>
      </c>
      <c r="D247" s="2" t="s">
        <v>6</v>
      </c>
      <c r="E247" s="14" t="s">
        <v>27</v>
      </c>
      <c r="F247" s="22">
        <f t="shared" si="19"/>
        <v>2</v>
      </c>
      <c r="H247" s="5" t="str">
        <f ca="1">_xlfn.FORMULATEXT(표1[[#This Row],[Q''ty]])</f>
        <v>=F148</v>
      </c>
    </row>
    <row r="248" spans="1:8" ht="15" hidden="1" customHeight="1" x14ac:dyDescent="0.4">
      <c r="A248" s="6">
        <v>2026</v>
      </c>
      <c r="B248" s="6">
        <f t="shared" si="14"/>
        <v>3</v>
      </c>
      <c r="C248" s="13" t="s">
        <v>25</v>
      </c>
      <c r="D248" s="2" t="s">
        <v>6</v>
      </c>
      <c r="E248" s="14" t="s">
        <v>10</v>
      </c>
      <c r="F248" s="22">
        <f t="shared" si="19"/>
        <v>3</v>
      </c>
      <c r="H248" s="5" t="str">
        <f ca="1">_xlfn.FORMULATEXT(표1[[#This Row],[Q''ty]])</f>
        <v>=F149</v>
      </c>
    </row>
    <row r="249" spans="1:8" ht="15" hidden="1" customHeight="1" x14ac:dyDescent="0.4">
      <c r="A249" s="6">
        <v>2026</v>
      </c>
      <c r="B249" s="6">
        <f t="shared" si="14"/>
        <v>3</v>
      </c>
      <c r="C249" s="13" t="s">
        <v>25</v>
      </c>
      <c r="D249" s="2" t="s">
        <v>6</v>
      </c>
      <c r="E249" s="14" t="s">
        <v>11</v>
      </c>
      <c r="F249" s="22">
        <f t="shared" si="19"/>
        <v>4</v>
      </c>
      <c r="H249" s="5" t="str">
        <f ca="1">_xlfn.FORMULATEXT(표1[[#This Row],[Q''ty]])</f>
        <v>=F150</v>
      </c>
    </row>
    <row r="250" spans="1:8" ht="15" hidden="1" customHeight="1" x14ac:dyDescent="0.4">
      <c r="A250" s="6">
        <v>2026</v>
      </c>
      <c r="B250" s="6">
        <f t="shared" si="14"/>
        <v>3</v>
      </c>
      <c r="C250" s="13" t="s">
        <v>25</v>
      </c>
      <c r="D250" s="2" t="s">
        <v>12</v>
      </c>
      <c r="E250" s="14" t="s">
        <v>13</v>
      </c>
      <c r="F250" s="22">
        <v>0</v>
      </c>
      <c r="H250" s="5" t="e">
        <f ca="1">_xlfn.FORMULATEXT(표1[[#This Row],[Q''ty]])</f>
        <v>#N/A</v>
      </c>
    </row>
    <row r="251" spans="1:8" ht="15" hidden="1" customHeight="1" x14ac:dyDescent="0.4">
      <c r="A251" s="6">
        <v>2026</v>
      </c>
      <c r="B251" s="6">
        <f t="shared" si="14"/>
        <v>3</v>
      </c>
      <c r="C251" s="13" t="s">
        <v>25</v>
      </c>
      <c r="D251" s="2" t="s">
        <v>12</v>
      </c>
      <c r="E251" s="14" t="s">
        <v>14</v>
      </c>
      <c r="F251" s="22">
        <v>0</v>
      </c>
      <c r="H251" s="5" t="e">
        <f ca="1">_xlfn.FORMULATEXT(표1[[#This Row],[Q''ty]])</f>
        <v>#N/A</v>
      </c>
    </row>
    <row r="252" spans="1:8" ht="15" hidden="1" customHeight="1" x14ac:dyDescent="0.4">
      <c r="A252" s="6">
        <v>2026</v>
      </c>
      <c r="B252" s="6">
        <f t="shared" si="14"/>
        <v>3</v>
      </c>
      <c r="C252" s="13" t="s">
        <v>25</v>
      </c>
      <c r="D252" s="2" t="s">
        <v>12</v>
      </c>
      <c r="E252" s="14" t="s">
        <v>15</v>
      </c>
      <c r="F252" s="22">
        <v>0</v>
      </c>
      <c r="H252" s="5" t="e">
        <f ca="1">_xlfn.FORMULATEXT(표1[[#This Row],[Q''ty]])</f>
        <v>#N/A</v>
      </c>
    </row>
    <row r="253" spans="1:8" ht="15" hidden="1" customHeight="1" x14ac:dyDescent="0.4">
      <c r="A253" s="6">
        <v>2026</v>
      </c>
      <c r="B253" s="6">
        <f t="shared" si="14"/>
        <v>3</v>
      </c>
      <c r="C253" s="13" t="s">
        <v>25</v>
      </c>
      <c r="D253" s="2" t="s">
        <v>12</v>
      </c>
      <c r="E253" s="14" t="s">
        <v>16</v>
      </c>
      <c r="F253" s="22">
        <v>0</v>
      </c>
      <c r="H253" s="5" t="e">
        <f ca="1">_xlfn.FORMULATEXT(표1[[#This Row],[Q''ty]])</f>
        <v>#N/A</v>
      </c>
    </row>
    <row r="254" spans="1:8" ht="15" hidden="1" customHeight="1" thickBot="1" x14ac:dyDescent="0.45">
      <c r="A254" s="15">
        <v>2026</v>
      </c>
      <c r="B254" s="15">
        <f t="shared" si="14"/>
        <v>3</v>
      </c>
      <c r="C254" s="16" t="s">
        <v>25</v>
      </c>
      <c r="D254" s="17" t="s">
        <v>12</v>
      </c>
      <c r="E254" s="18" t="s">
        <v>17</v>
      </c>
      <c r="F254" s="23">
        <v>0</v>
      </c>
      <c r="H254" s="5" t="e">
        <f ca="1">_xlfn.FORMULATEXT(표1[[#This Row],[Q''ty]])</f>
        <v>#N/A</v>
      </c>
    </row>
    <row r="255" spans="1:8" ht="15" hidden="1" customHeight="1" thickTop="1" x14ac:dyDescent="0.4">
      <c r="A255" s="6">
        <v>2026</v>
      </c>
      <c r="B255" s="6">
        <f t="shared" si="14"/>
        <v>3</v>
      </c>
      <c r="C255" s="13" t="s">
        <v>26</v>
      </c>
      <c r="D255" s="2" t="s">
        <v>6</v>
      </c>
      <c r="E255" s="14" t="s">
        <v>7</v>
      </c>
      <c r="F255" s="22">
        <f t="shared" ref="F255:F260" si="20">F156</f>
        <v>6</v>
      </c>
      <c r="H255" s="5" t="str">
        <f ca="1">_xlfn.FORMULATEXT(표1[[#This Row],[Q''ty]])</f>
        <v>=F156</v>
      </c>
    </row>
    <row r="256" spans="1:8" ht="15" hidden="1" customHeight="1" x14ac:dyDescent="0.4">
      <c r="A256" s="6">
        <v>2026</v>
      </c>
      <c r="B256" s="6">
        <f t="shared" si="14"/>
        <v>3</v>
      </c>
      <c r="C256" s="13" t="s">
        <v>26</v>
      </c>
      <c r="D256" s="2" t="s">
        <v>6</v>
      </c>
      <c r="E256" s="14" t="s">
        <v>8</v>
      </c>
      <c r="F256" s="22">
        <f t="shared" si="20"/>
        <v>4</v>
      </c>
      <c r="H256" s="5" t="str">
        <f ca="1">_xlfn.FORMULATEXT(표1[[#This Row],[Q''ty]])</f>
        <v>=F157</v>
      </c>
    </row>
    <row r="257" spans="1:8" ht="15" hidden="1" customHeight="1" x14ac:dyDescent="0.4">
      <c r="A257" s="6">
        <v>2026</v>
      </c>
      <c r="B257" s="6">
        <f t="shared" si="14"/>
        <v>3</v>
      </c>
      <c r="C257" s="13" t="s">
        <v>26</v>
      </c>
      <c r="D257" s="2" t="s">
        <v>6</v>
      </c>
      <c r="E257" s="14" t="s">
        <v>9</v>
      </c>
      <c r="F257" s="22">
        <f t="shared" si="20"/>
        <v>2</v>
      </c>
      <c r="H257" s="5" t="str">
        <f ca="1">_xlfn.FORMULATEXT(표1[[#This Row],[Q''ty]])</f>
        <v>=F158</v>
      </c>
    </row>
    <row r="258" spans="1:8" ht="15" hidden="1" customHeight="1" x14ac:dyDescent="0.4">
      <c r="A258" s="6">
        <v>2026</v>
      </c>
      <c r="B258" s="6">
        <f t="shared" si="14"/>
        <v>3</v>
      </c>
      <c r="C258" s="13" t="s">
        <v>26</v>
      </c>
      <c r="D258" s="2" t="s">
        <v>6</v>
      </c>
      <c r="E258" s="14" t="s">
        <v>27</v>
      </c>
      <c r="F258" s="22">
        <f t="shared" si="20"/>
        <v>3</v>
      </c>
      <c r="H258" s="5" t="str">
        <f ca="1">_xlfn.FORMULATEXT(표1[[#This Row],[Q''ty]])</f>
        <v>=F159</v>
      </c>
    </row>
    <row r="259" spans="1:8" ht="15" hidden="1" customHeight="1" x14ac:dyDescent="0.4">
      <c r="A259" s="6">
        <v>2026</v>
      </c>
      <c r="B259" s="6">
        <f t="shared" si="14"/>
        <v>3</v>
      </c>
      <c r="C259" s="13" t="s">
        <v>26</v>
      </c>
      <c r="D259" s="2" t="s">
        <v>6</v>
      </c>
      <c r="E259" s="14" t="s">
        <v>10</v>
      </c>
      <c r="F259" s="22">
        <f t="shared" si="20"/>
        <v>4</v>
      </c>
      <c r="H259" s="5" t="str">
        <f ca="1">_xlfn.FORMULATEXT(표1[[#This Row],[Q''ty]])</f>
        <v>=F160</v>
      </c>
    </row>
    <row r="260" spans="1:8" ht="15" hidden="1" customHeight="1" x14ac:dyDescent="0.4">
      <c r="A260" s="6">
        <v>2026</v>
      </c>
      <c r="B260" s="6">
        <f t="shared" si="14"/>
        <v>3</v>
      </c>
      <c r="C260" s="13" t="s">
        <v>26</v>
      </c>
      <c r="D260" s="2" t="s">
        <v>6</v>
      </c>
      <c r="E260" s="14" t="s">
        <v>11</v>
      </c>
      <c r="F260" s="22">
        <f t="shared" si="20"/>
        <v>6</v>
      </c>
      <c r="H260" s="5" t="str">
        <f ca="1">_xlfn.FORMULATEXT(표1[[#This Row],[Q''ty]])</f>
        <v>=F161</v>
      </c>
    </row>
    <row r="261" spans="1:8" ht="15" hidden="1" customHeight="1" x14ac:dyDescent="0.4">
      <c r="A261" s="6">
        <v>2026</v>
      </c>
      <c r="B261" s="6">
        <f t="shared" si="14"/>
        <v>3</v>
      </c>
      <c r="C261" s="13" t="s">
        <v>26</v>
      </c>
      <c r="D261" s="2" t="s">
        <v>12</v>
      </c>
      <c r="E261" s="14" t="str">
        <f t="shared" ref="E261:E298" si="21">E162</f>
        <v>BT GT</v>
      </c>
      <c r="F261" s="22">
        <v>16</v>
      </c>
      <c r="H261" s="5" t="e">
        <f ca="1">_xlfn.FORMULATEXT(표1[[#This Row],[Q''ty]])</f>
        <v>#N/A</v>
      </c>
    </row>
    <row r="262" spans="1:8" ht="15" hidden="1" customHeight="1" x14ac:dyDescent="0.4">
      <c r="A262" s="6">
        <v>2026</v>
      </c>
      <c r="B262" s="6">
        <f t="shared" si="14"/>
        <v>3</v>
      </c>
      <c r="C262" s="13" t="s">
        <v>26</v>
      </c>
      <c r="D262" s="2" t="s">
        <v>12</v>
      </c>
      <c r="E262" s="14" t="str">
        <f t="shared" si="21"/>
        <v>WT GT</v>
      </c>
      <c r="F262" s="22">
        <v>17</v>
      </c>
      <c r="H262" s="5" t="e">
        <f ca="1">_xlfn.FORMULATEXT(표1[[#This Row],[Q''ty]])</f>
        <v>#N/A</v>
      </c>
    </row>
    <row r="263" spans="1:8" ht="15" hidden="1" customHeight="1" x14ac:dyDescent="0.4">
      <c r="A263" s="6">
        <v>2026</v>
      </c>
      <c r="B263" s="6">
        <f t="shared" si="14"/>
        <v>3</v>
      </c>
      <c r="C263" s="13" t="s">
        <v>26</v>
      </c>
      <c r="D263" s="2" t="s">
        <v>12</v>
      </c>
      <c r="E263" s="14" t="str">
        <f t="shared" si="21"/>
        <v>Bending</v>
      </c>
      <c r="F263" s="22">
        <v>143</v>
      </c>
      <c r="H263" s="5" t="e">
        <f ca="1">_xlfn.FORMULATEXT(표1[[#This Row],[Q''ty]])</f>
        <v>#N/A</v>
      </c>
    </row>
    <row r="264" spans="1:8" ht="15" hidden="1" customHeight="1" x14ac:dyDescent="0.4">
      <c r="A264" s="6">
        <v>2026</v>
      </c>
      <c r="B264" s="6">
        <f t="shared" si="14"/>
        <v>3</v>
      </c>
      <c r="C264" s="13" t="s">
        <v>26</v>
      </c>
      <c r="D264" s="2" t="s">
        <v>12</v>
      </c>
      <c r="E264" s="14" t="str">
        <f t="shared" si="21"/>
        <v>L/W</v>
      </c>
      <c r="F264" s="22">
        <v>144</v>
      </c>
      <c r="H264" s="5" t="e">
        <f ca="1">_xlfn.FORMULATEXT(표1[[#This Row],[Q''ty]])</f>
        <v>#N/A</v>
      </c>
    </row>
    <row r="265" spans="1:8" ht="15" hidden="1" customHeight="1" thickBot="1" x14ac:dyDescent="0.45">
      <c r="A265" s="15">
        <v>2026</v>
      </c>
      <c r="B265" s="15">
        <f t="shared" ref="B265:B298" si="22">B166+1</f>
        <v>3</v>
      </c>
      <c r="C265" s="16" t="s">
        <v>26</v>
      </c>
      <c r="D265" s="17" t="s">
        <v>12</v>
      </c>
      <c r="E265" s="18" t="str">
        <f t="shared" si="21"/>
        <v>C/W</v>
      </c>
      <c r="F265" s="23">
        <v>156</v>
      </c>
      <c r="H265" s="5" t="e">
        <f ca="1">_xlfn.FORMULATEXT(표1[[#This Row],[Q''ty]])</f>
        <v>#N/A</v>
      </c>
    </row>
    <row r="266" spans="1:8" ht="15" hidden="1" customHeight="1" thickTop="1" x14ac:dyDescent="0.4">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hidden="1" customHeight="1" x14ac:dyDescent="0.4">
      <c r="A267" s="6">
        <v>2026</v>
      </c>
      <c r="B267" s="6">
        <f t="shared" si="22"/>
        <v>3</v>
      </c>
      <c r="C267" s="13" t="s">
        <v>20</v>
      </c>
      <c r="D267" s="2" t="s">
        <v>6</v>
      </c>
      <c r="E267" s="14" t="str">
        <f t="shared" si="21"/>
        <v>Paint Booth</v>
      </c>
      <c r="F267" s="22">
        <f t="shared" si="23"/>
        <v>16</v>
      </c>
      <c r="H267" s="5" t="str">
        <f ca="1">_xlfn.FORMULATEXT(표1[[#This Row],[Q''ty]])</f>
        <v>=F168</v>
      </c>
    </row>
    <row r="268" spans="1:8" ht="15" hidden="1" customHeight="1" x14ac:dyDescent="0.4">
      <c r="A268" s="6">
        <v>2026</v>
      </c>
      <c r="B268" s="6">
        <f t="shared" si="22"/>
        <v>3</v>
      </c>
      <c r="C268" s="13" t="s">
        <v>20</v>
      </c>
      <c r="D268" s="2" t="s">
        <v>6</v>
      </c>
      <c r="E268" s="14" t="str">
        <f t="shared" si="21"/>
        <v>Paint Line</v>
      </c>
      <c r="F268" s="22">
        <f t="shared" si="23"/>
        <v>8</v>
      </c>
      <c r="H268" s="5" t="str">
        <f ca="1">_xlfn.FORMULATEXT(표1[[#This Row],[Q''ty]])</f>
        <v>=F169</v>
      </c>
    </row>
    <row r="269" spans="1:8" ht="15" hidden="1" customHeight="1" x14ac:dyDescent="0.4">
      <c r="A269" s="6">
        <v>2026</v>
      </c>
      <c r="B269" s="6">
        <f t="shared" si="22"/>
        <v>3</v>
      </c>
      <c r="C269" s="13" t="s">
        <v>20</v>
      </c>
      <c r="D269" s="2" t="s">
        <v>6</v>
      </c>
      <c r="E269" s="14" t="str">
        <f t="shared" si="21"/>
        <v>Roll Bending Machine</v>
      </c>
      <c r="F269" s="22">
        <f t="shared" si="23"/>
        <v>6</v>
      </c>
      <c r="H269" s="5" t="str">
        <f ca="1">_xlfn.FORMULATEXT(표1[[#This Row],[Q''ty]])</f>
        <v>=F170</v>
      </c>
    </row>
    <row r="270" spans="1:8" ht="15" hidden="1" customHeight="1" x14ac:dyDescent="0.4">
      <c r="A270" s="6">
        <v>2026</v>
      </c>
      <c r="B270" s="6">
        <f t="shared" si="22"/>
        <v>3</v>
      </c>
      <c r="C270" s="13" t="s">
        <v>20</v>
      </c>
      <c r="D270" s="2" t="s">
        <v>6</v>
      </c>
      <c r="E270" s="14" t="str">
        <f t="shared" si="21"/>
        <v>L/W Machine</v>
      </c>
      <c r="F270" s="22">
        <f t="shared" si="23"/>
        <v>11</v>
      </c>
      <c r="H270" s="5" t="str">
        <f ca="1">_xlfn.FORMULATEXT(표1[[#This Row],[Q''ty]])</f>
        <v>=F171</v>
      </c>
    </row>
    <row r="271" spans="1:8" ht="15" hidden="1" customHeight="1" x14ac:dyDescent="0.4">
      <c r="A271" s="6">
        <v>2026</v>
      </c>
      <c r="B271" s="6">
        <f t="shared" si="22"/>
        <v>3</v>
      </c>
      <c r="C271" s="13" t="s">
        <v>20</v>
      </c>
      <c r="D271" s="2" t="s">
        <v>6</v>
      </c>
      <c r="E271" s="14" t="str">
        <f t="shared" si="21"/>
        <v>C/W Machine</v>
      </c>
      <c r="F271" s="22">
        <f t="shared" si="23"/>
        <v>15</v>
      </c>
      <c r="H271" s="5" t="str">
        <f ca="1">_xlfn.FORMULATEXT(표1[[#This Row],[Q''ty]])</f>
        <v>=F172</v>
      </c>
    </row>
    <row r="272" spans="1:8" ht="15" hidden="1" customHeight="1" x14ac:dyDescent="0.4">
      <c r="A272" s="6">
        <v>2026</v>
      </c>
      <c r="B272" s="6">
        <f t="shared" si="22"/>
        <v>3</v>
      </c>
      <c r="C272" s="13" t="s">
        <v>20</v>
      </c>
      <c r="D272" s="2" t="s">
        <v>12</v>
      </c>
      <c r="E272" s="14" t="str">
        <f t="shared" si="21"/>
        <v>BT GT</v>
      </c>
      <c r="F272" s="22">
        <v>62</v>
      </c>
      <c r="H272" s="5" t="e">
        <f ca="1">_xlfn.FORMULATEXT(표1[[#This Row],[Q''ty]])</f>
        <v>#N/A</v>
      </c>
    </row>
    <row r="273" spans="1:8" ht="15" hidden="1" customHeight="1" x14ac:dyDescent="0.4">
      <c r="A273" s="6">
        <v>2026</v>
      </c>
      <c r="B273" s="6">
        <f t="shared" si="22"/>
        <v>3</v>
      </c>
      <c r="C273" s="13" t="s">
        <v>20</v>
      </c>
      <c r="D273" s="2" t="s">
        <v>12</v>
      </c>
      <c r="E273" s="14" t="str">
        <f t="shared" si="21"/>
        <v>WT GT</v>
      </c>
      <c r="F273" s="22">
        <v>66</v>
      </c>
      <c r="H273" s="5" t="e">
        <f ca="1">_xlfn.FORMULATEXT(표1[[#This Row],[Q''ty]])</f>
        <v>#N/A</v>
      </c>
    </row>
    <row r="274" spans="1:8" ht="15" hidden="1" customHeight="1" x14ac:dyDescent="0.4">
      <c r="A274" s="6">
        <v>2026</v>
      </c>
      <c r="B274" s="6">
        <f t="shared" si="22"/>
        <v>3</v>
      </c>
      <c r="C274" s="13" t="s">
        <v>20</v>
      </c>
      <c r="D274" s="2" t="s">
        <v>12</v>
      </c>
      <c r="E274" s="14" t="str">
        <f t="shared" si="21"/>
        <v>Bending</v>
      </c>
      <c r="F274" s="22">
        <v>485</v>
      </c>
      <c r="H274" s="5" t="e">
        <f ca="1">_xlfn.FORMULATEXT(표1[[#This Row],[Q''ty]])</f>
        <v>#N/A</v>
      </c>
    </row>
    <row r="275" spans="1:8" ht="15" hidden="1" customHeight="1" x14ac:dyDescent="0.4">
      <c r="A275" s="6">
        <v>2026</v>
      </c>
      <c r="B275" s="6">
        <f t="shared" si="22"/>
        <v>3</v>
      </c>
      <c r="C275" s="13" t="s">
        <v>20</v>
      </c>
      <c r="D275" s="2" t="s">
        <v>12</v>
      </c>
      <c r="E275" s="14" t="str">
        <f t="shared" si="21"/>
        <v>L/W</v>
      </c>
      <c r="F275" s="22">
        <v>480</v>
      </c>
      <c r="H275" s="5" t="e">
        <f ca="1">_xlfn.FORMULATEXT(표1[[#This Row],[Q''ty]])</f>
        <v>#N/A</v>
      </c>
    </row>
    <row r="276" spans="1:8" ht="15" hidden="1" customHeight="1" thickBot="1" x14ac:dyDescent="0.45">
      <c r="A276" s="15">
        <v>2026</v>
      </c>
      <c r="B276" s="15">
        <f t="shared" si="22"/>
        <v>3</v>
      </c>
      <c r="C276" s="16" t="s">
        <v>20</v>
      </c>
      <c r="D276" s="17" t="s">
        <v>12</v>
      </c>
      <c r="E276" s="18" t="str">
        <f t="shared" si="21"/>
        <v>C/W</v>
      </c>
      <c r="F276" s="23">
        <v>410</v>
      </c>
      <c r="H276" s="5" t="e">
        <f ca="1">_xlfn.FORMULATEXT(표1[[#This Row],[Q''ty]])</f>
        <v>#N/A</v>
      </c>
    </row>
    <row r="277" spans="1:8" ht="15" hidden="1" customHeight="1" thickTop="1" x14ac:dyDescent="0.4">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hidden="1" customHeight="1" x14ac:dyDescent="0.4">
      <c r="A278" s="6">
        <v>2026</v>
      </c>
      <c r="B278" s="6">
        <f t="shared" si="22"/>
        <v>3</v>
      </c>
      <c r="C278" s="13" t="s">
        <v>21</v>
      </c>
      <c r="D278" s="2" t="s">
        <v>6</v>
      </c>
      <c r="E278" s="14" t="str">
        <f t="shared" si="21"/>
        <v>Paint Booth</v>
      </c>
      <c r="F278" s="22">
        <f t="shared" si="24"/>
        <v>4</v>
      </c>
      <c r="H278" s="5" t="str">
        <f ca="1">_xlfn.FORMULATEXT(표1[[#This Row],[Q''ty]])</f>
        <v>=F179</v>
      </c>
    </row>
    <row r="279" spans="1:8" ht="15" hidden="1" customHeight="1" x14ac:dyDescent="0.4">
      <c r="A279" s="6">
        <v>2026</v>
      </c>
      <c r="B279" s="6">
        <f t="shared" si="22"/>
        <v>3</v>
      </c>
      <c r="C279" s="13" t="s">
        <v>21</v>
      </c>
      <c r="D279" s="2" t="s">
        <v>6</v>
      </c>
      <c r="E279" s="14" t="str">
        <f t="shared" si="21"/>
        <v>Paint Line</v>
      </c>
      <c r="F279" s="22">
        <f t="shared" si="24"/>
        <v>4</v>
      </c>
      <c r="H279" s="5" t="str">
        <f ca="1">_xlfn.FORMULATEXT(표1[[#This Row],[Q''ty]])</f>
        <v>=F180</v>
      </c>
    </row>
    <row r="280" spans="1:8" ht="15" hidden="1" customHeight="1" x14ac:dyDescent="0.4">
      <c r="A280" s="6">
        <v>2026</v>
      </c>
      <c r="B280" s="6">
        <f t="shared" si="22"/>
        <v>3</v>
      </c>
      <c r="C280" s="13" t="s">
        <v>21</v>
      </c>
      <c r="D280" s="2" t="s">
        <v>6</v>
      </c>
      <c r="E280" s="14" t="str">
        <f t="shared" si="21"/>
        <v>Roll Bending Machine</v>
      </c>
      <c r="F280" s="22">
        <f t="shared" si="24"/>
        <v>3</v>
      </c>
      <c r="H280" s="5" t="str">
        <f ca="1">_xlfn.FORMULATEXT(표1[[#This Row],[Q''ty]])</f>
        <v>=F181</v>
      </c>
    </row>
    <row r="281" spans="1:8" ht="15" hidden="1" customHeight="1" x14ac:dyDescent="0.4">
      <c r="A281" s="6">
        <v>2026</v>
      </c>
      <c r="B281" s="6">
        <f t="shared" si="22"/>
        <v>3</v>
      </c>
      <c r="C281" s="13" t="s">
        <v>21</v>
      </c>
      <c r="D281" s="2" t="s">
        <v>6</v>
      </c>
      <c r="E281" s="14" t="str">
        <f t="shared" si="21"/>
        <v>L/W Machine</v>
      </c>
      <c r="F281" s="22">
        <f t="shared" si="24"/>
        <v>4</v>
      </c>
      <c r="H281" s="5" t="str">
        <f ca="1">_xlfn.FORMULATEXT(표1[[#This Row],[Q''ty]])</f>
        <v>=F182</v>
      </c>
    </row>
    <row r="282" spans="1:8" ht="15" hidden="1" customHeight="1" x14ac:dyDescent="0.4">
      <c r="A282" s="6">
        <v>2026</v>
      </c>
      <c r="B282" s="6">
        <f t="shared" si="22"/>
        <v>3</v>
      </c>
      <c r="C282" s="13" t="s">
        <v>21</v>
      </c>
      <c r="D282" s="2" t="s">
        <v>6</v>
      </c>
      <c r="E282" s="14" t="str">
        <f t="shared" si="21"/>
        <v>C/W Machine</v>
      </c>
      <c r="F282" s="22">
        <f t="shared" si="24"/>
        <v>6.5</v>
      </c>
      <c r="H282" s="5" t="str">
        <f ca="1">_xlfn.FORMULATEXT(표1[[#This Row],[Q''ty]])</f>
        <v>=F183</v>
      </c>
    </row>
    <row r="283" spans="1:8" ht="15" hidden="1" customHeight="1" x14ac:dyDescent="0.4">
      <c r="A283" s="6">
        <v>2026</v>
      </c>
      <c r="B283" s="6">
        <f t="shared" si="22"/>
        <v>3</v>
      </c>
      <c r="C283" s="13" t="s">
        <v>21</v>
      </c>
      <c r="D283" s="2" t="s">
        <v>12</v>
      </c>
      <c r="E283" s="14" t="str">
        <f t="shared" si="21"/>
        <v>BT GT</v>
      </c>
      <c r="F283" s="22">
        <v>15</v>
      </c>
      <c r="H283" s="5" t="e">
        <f ca="1">_xlfn.FORMULATEXT(표1[[#This Row],[Q''ty]])</f>
        <v>#N/A</v>
      </c>
    </row>
    <row r="284" spans="1:8" ht="15" hidden="1" customHeight="1" x14ac:dyDescent="0.4">
      <c r="A284" s="6">
        <v>2026</v>
      </c>
      <c r="B284" s="6">
        <f t="shared" si="22"/>
        <v>3</v>
      </c>
      <c r="C284" s="13" t="s">
        <v>21</v>
      </c>
      <c r="D284" s="2" t="s">
        <v>12</v>
      </c>
      <c r="E284" s="14" t="str">
        <f t="shared" si="21"/>
        <v>WT GT</v>
      </c>
      <c r="F284" s="22">
        <v>15</v>
      </c>
      <c r="H284" s="5" t="e">
        <f ca="1">_xlfn.FORMULATEXT(표1[[#This Row],[Q''ty]])</f>
        <v>#N/A</v>
      </c>
    </row>
    <row r="285" spans="1:8" ht="15" hidden="1" customHeight="1" x14ac:dyDescent="0.4">
      <c r="A285" s="6">
        <v>2026</v>
      </c>
      <c r="B285" s="6">
        <f t="shared" si="22"/>
        <v>3</v>
      </c>
      <c r="C285" s="13" t="s">
        <v>21</v>
      </c>
      <c r="D285" s="2" t="s">
        <v>12</v>
      </c>
      <c r="E285" s="14" t="str">
        <f t="shared" si="21"/>
        <v>Bending</v>
      </c>
      <c r="F285" s="22">
        <v>118</v>
      </c>
      <c r="H285" s="5" t="e">
        <f ca="1">_xlfn.FORMULATEXT(표1[[#This Row],[Q''ty]])</f>
        <v>#N/A</v>
      </c>
    </row>
    <row r="286" spans="1:8" ht="15" hidden="1" customHeight="1" x14ac:dyDescent="0.4">
      <c r="A286" s="6">
        <v>2026</v>
      </c>
      <c r="B286" s="6">
        <f t="shared" si="22"/>
        <v>3</v>
      </c>
      <c r="C286" s="13" t="s">
        <v>21</v>
      </c>
      <c r="D286" s="2" t="s">
        <v>12</v>
      </c>
      <c r="E286" s="14" t="str">
        <f t="shared" si="21"/>
        <v>L/W</v>
      </c>
      <c r="F286" s="22">
        <v>118</v>
      </c>
      <c r="H286" s="5" t="e">
        <f ca="1">_xlfn.FORMULATEXT(표1[[#This Row],[Q''ty]])</f>
        <v>#N/A</v>
      </c>
    </row>
    <row r="287" spans="1:8" ht="15" hidden="1" customHeight="1" thickBot="1" x14ac:dyDescent="0.45">
      <c r="A287" s="15">
        <v>2026</v>
      </c>
      <c r="B287" s="15">
        <f t="shared" si="22"/>
        <v>3</v>
      </c>
      <c r="C287" s="16" t="s">
        <v>21</v>
      </c>
      <c r="D287" s="17" t="s">
        <v>12</v>
      </c>
      <c r="E287" s="18" t="str">
        <f t="shared" si="21"/>
        <v>C/W</v>
      </c>
      <c r="F287" s="23">
        <v>134</v>
      </c>
      <c r="H287" s="5" t="e">
        <f ca="1">_xlfn.FORMULATEXT(표1[[#This Row],[Q''ty]])</f>
        <v>#N/A</v>
      </c>
    </row>
    <row r="288" spans="1:8" ht="15" hidden="1" customHeight="1" thickTop="1" x14ac:dyDescent="0.4">
      <c r="A288" s="6">
        <v>2026</v>
      </c>
      <c r="B288" s="6">
        <f t="shared" si="22"/>
        <v>3</v>
      </c>
      <c r="C288" s="13" t="s">
        <v>22</v>
      </c>
      <c r="D288" s="2" t="s">
        <v>6</v>
      </c>
      <c r="E288" s="14" t="str">
        <f t="shared" si="21"/>
        <v>Growing Line</v>
      </c>
      <c r="F288" s="21">
        <f t="shared" ref="F288:F293" si="25">F189</f>
        <v>11</v>
      </c>
      <c r="H288" s="5" t="str">
        <f ca="1">_xlfn.FORMULATEXT(표1[[#This Row],[Q''ty]])</f>
        <v>=F189</v>
      </c>
    </row>
    <row r="289" spans="1:10" ht="15" hidden="1" customHeight="1" x14ac:dyDescent="0.4">
      <c r="A289" s="6">
        <v>2026</v>
      </c>
      <c r="B289" s="6">
        <f t="shared" si="22"/>
        <v>3</v>
      </c>
      <c r="C289" s="13" t="s">
        <v>22</v>
      </c>
      <c r="D289" s="2" t="s">
        <v>6</v>
      </c>
      <c r="E289" s="14" t="str">
        <f t="shared" si="21"/>
        <v>Paint Booth</v>
      </c>
      <c r="F289" s="22">
        <f t="shared" si="25"/>
        <v>6</v>
      </c>
      <c r="H289" s="5" t="str">
        <f ca="1">_xlfn.FORMULATEXT(표1[[#This Row],[Q''ty]])</f>
        <v>=F190</v>
      </c>
    </row>
    <row r="290" spans="1:10" ht="15" hidden="1" customHeight="1" x14ac:dyDescent="0.4">
      <c r="A290" s="6">
        <v>2026</v>
      </c>
      <c r="B290" s="6">
        <f t="shared" si="22"/>
        <v>3</v>
      </c>
      <c r="C290" s="13" t="s">
        <v>22</v>
      </c>
      <c r="D290" s="2" t="s">
        <v>6</v>
      </c>
      <c r="E290" s="14" t="str">
        <f t="shared" si="21"/>
        <v>Paint Line</v>
      </c>
      <c r="F290" s="22">
        <f t="shared" si="25"/>
        <v>4</v>
      </c>
      <c r="H290" s="5" t="str">
        <f ca="1">_xlfn.FORMULATEXT(표1[[#This Row],[Q''ty]])</f>
        <v>=F191</v>
      </c>
    </row>
    <row r="291" spans="1:10" ht="15" hidden="1" customHeight="1" x14ac:dyDescent="0.4">
      <c r="A291" s="6">
        <v>2026</v>
      </c>
      <c r="B291" s="6">
        <f t="shared" si="22"/>
        <v>3</v>
      </c>
      <c r="C291" s="13" t="s">
        <v>22</v>
      </c>
      <c r="D291" s="2" t="s">
        <v>6</v>
      </c>
      <c r="E291" s="14" t="str">
        <f t="shared" si="21"/>
        <v>Roll Bending Machine</v>
      </c>
      <c r="F291" s="22">
        <f t="shared" si="25"/>
        <v>4</v>
      </c>
      <c r="H291" s="5" t="str">
        <f ca="1">_xlfn.FORMULATEXT(표1[[#This Row],[Q''ty]])</f>
        <v>=F192</v>
      </c>
    </row>
    <row r="292" spans="1:10" ht="15" hidden="1" customHeight="1" x14ac:dyDescent="0.4">
      <c r="A292" s="6">
        <v>2026</v>
      </c>
      <c r="B292" s="6">
        <f t="shared" si="22"/>
        <v>3</v>
      </c>
      <c r="C292" s="13" t="s">
        <v>22</v>
      </c>
      <c r="D292" s="2" t="s">
        <v>6</v>
      </c>
      <c r="E292" s="14" t="str">
        <f t="shared" si="21"/>
        <v>L/W Machine</v>
      </c>
      <c r="F292" s="22">
        <f t="shared" si="25"/>
        <v>7</v>
      </c>
      <c r="H292" s="5" t="str">
        <f ca="1">_xlfn.FORMULATEXT(표1[[#This Row],[Q''ty]])</f>
        <v>=F193</v>
      </c>
    </row>
    <row r="293" spans="1:10" ht="15" hidden="1" customHeight="1" x14ac:dyDescent="0.4">
      <c r="A293" s="6">
        <v>2026</v>
      </c>
      <c r="B293" s="6">
        <f t="shared" si="22"/>
        <v>3</v>
      </c>
      <c r="C293" s="13" t="s">
        <v>22</v>
      </c>
      <c r="D293" s="2" t="s">
        <v>6</v>
      </c>
      <c r="E293" s="14" t="str">
        <f t="shared" si="21"/>
        <v>C/W Machine</v>
      </c>
      <c r="F293" s="22">
        <f t="shared" si="25"/>
        <v>12.5</v>
      </c>
      <c r="H293" s="5" t="str">
        <f ca="1">_xlfn.FORMULATEXT(표1[[#This Row],[Q''ty]])</f>
        <v>=F194</v>
      </c>
    </row>
    <row r="294" spans="1:10" ht="15" hidden="1" customHeight="1" x14ac:dyDescent="0.4">
      <c r="A294" s="6">
        <v>2026</v>
      </c>
      <c r="B294" s="6">
        <f t="shared" si="22"/>
        <v>3</v>
      </c>
      <c r="C294" s="13" t="s">
        <v>22</v>
      </c>
      <c r="D294" s="2" t="s">
        <v>12</v>
      </c>
      <c r="E294" s="14" t="str">
        <f t="shared" si="21"/>
        <v>BT GT</v>
      </c>
      <c r="F294" s="22">
        <v>9</v>
      </c>
      <c r="H294" s="5" t="e">
        <f ca="1">_xlfn.FORMULATEXT(표1[[#This Row],[Q''ty]])</f>
        <v>#N/A</v>
      </c>
    </row>
    <row r="295" spans="1:10" ht="15" hidden="1" customHeight="1" x14ac:dyDescent="0.4">
      <c r="A295" s="6">
        <v>2026</v>
      </c>
      <c r="B295" s="6">
        <f t="shared" si="22"/>
        <v>3</v>
      </c>
      <c r="C295" s="13" t="s">
        <v>22</v>
      </c>
      <c r="D295" s="2" t="s">
        <v>12</v>
      </c>
      <c r="E295" s="14" t="str">
        <f t="shared" si="21"/>
        <v>WT GT</v>
      </c>
      <c r="F295" s="22">
        <v>9</v>
      </c>
      <c r="H295" s="5" t="e">
        <f ca="1">_xlfn.FORMULATEXT(표1[[#This Row],[Q''ty]])</f>
        <v>#N/A</v>
      </c>
    </row>
    <row r="296" spans="1:10" ht="15" hidden="1" customHeight="1" x14ac:dyDescent="0.4">
      <c r="A296" s="6">
        <v>2026</v>
      </c>
      <c r="B296" s="6">
        <f t="shared" si="22"/>
        <v>3</v>
      </c>
      <c r="C296" s="13" t="s">
        <v>22</v>
      </c>
      <c r="D296" s="2" t="s">
        <v>12</v>
      </c>
      <c r="E296" s="14" t="str">
        <f t="shared" si="21"/>
        <v>Bending</v>
      </c>
      <c r="F296" s="22">
        <v>100</v>
      </c>
      <c r="H296" s="5" t="e">
        <f ca="1">_xlfn.FORMULATEXT(표1[[#This Row],[Q''ty]])</f>
        <v>#N/A</v>
      </c>
    </row>
    <row r="297" spans="1:10" ht="15" hidden="1" customHeight="1" x14ac:dyDescent="0.4">
      <c r="A297" s="6">
        <v>2026</v>
      </c>
      <c r="B297" s="6">
        <f t="shared" si="22"/>
        <v>3</v>
      </c>
      <c r="C297" s="13" t="s">
        <v>22</v>
      </c>
      <c r="D297" s="2" t="s">
        <v>12</v>
      </c>
      <c r="E297" s="14" t="str">
        <f t="shared" si="21"/>
        <v>L/W</v>
      </c>
      <c r="F297" s="22">
        <v>93</v>
      </c>
      <c r="H297" s="5" t="e">
        <f ca="1">_xlfn.FORMULATEXT(표1[[#This Row],[Q''ty]])</f>
        <v>#N/A</v>
      </c>
    </row>
    <row r="298" spans="1:10" ht="15" hidden="1" customHeight="1" thickBot="1" x14ac:dyDescent="0.45">
      <c r="A298" s="15">
        <v>2026</v>
      </c>
      <c r="B298" s="15">
        <f t="shared" si="22"/>
        <v>3</v>
      </c>
      <c r="C298" s="16" t="s">
        <v>22</v>
      </c>
      <c r="D298" s="17" t="s">
        <v>12</v>
      </c>
      <c r="E298" s="18" t="str">
        <f t="shared" si="21"/>
        <v>C/W</v>
      </c>
      <c r="F298" s="23">
        <v>101</v>
      </c>
      <c r="H298" s="5" t="e">
        <f ca="1">_xlfn.FORMULATEXT(표1[[#This Row],[Q''ty]])</f>
        <v>#N/A</v>
      </c>
    </row>
    <row r="299" spans="1:10" ht="15" hidden="1" customHeight="1" thickTop="1" x14ac:dyDescent="0.4">
      <c r="A299" s="9">
        <v>2026</v>
      </c>
      <c r="B299" s="9">
        <f>B200+1</f>
        <v>4</v>
      </c>
      <c r="C299" s="10" t="s">
        <v>28</v>
      </c>
      <c r="D299" s="11" t="s">
        <v>6</v>
      </c>
      <c r="E299" s="12" t="s">
        <v>7</v>
      </c>
      <c r="F299" s="21">
        <f t="shared" ref="F299:F304" si="26">F200</f>
        <v>15</v>
      </c>
      <c r="H299" s="5" t="str">
        <f ca="1">_xlfn.FORMULATEXT(표1[[#This Row],[Q''ty]])</f>
        <v>=F200</v>
      </c>
    </row>
    <row r="300" spans="1:10" s="2" customFormat="1" ht="15" hidden="1" customHeight="1" x14ac:dyDescent="0.4">
      <c r="A300" s="6">
        <v>2026</v>
      </c>
      <c r="B300" s="6">
        <f t="shared" ref="B300:B363" si="27">B201+1</f>
        <v>4</v>
      </c>
      <c r="C300" s="13" t="s">
        <v>23</v>
      </c>
      <c r="D300" s="2" t="s">
        <v>6</v>
      </c>
      <c r="E300" s="14" t="s">
        <v>8</v>
      </c>
      <c r="F300" s="22">
        <f t="shared" si="26"/>
        <v>10</v>
      </c>
      <c r="H300" s="5" t="str">
        <f ca="1">_xlfn.FORMULATEXT(표1[[#This Row],[Q''ty]])</f>
        <v>=F201</v>
      </c>
      <c r="I300" s="26"/>
      <c r="J300" s="26"/>
    </row>
    <row r="301" spans="1:10" s="2" customFormat="1" ht="15" hidden="1" customHeight="1" x14ac:dyDescent="0.4">
      <c r="A301" s="6">
        <v>2026</v>
      </c>
      <c r="B301" s="6">
        <f t="shared" si="27"/>
        <v>4</v>
      </c>
      <c r="C301" s="13" t="s">
        <v>23</v>
      </c>
      <c r="D301" s="2" t="s">
        <v>6</v>
      </c>
      <c r="E301" s="14" t="s">
        <v>9</v>
      </c>
      <c r="F301" s="22">
        <f t="shared" si="26"/>
        <v>5</v>
      </c>
      <c r="H301" s="5" t="str">
        <f ca="1">_xlfn.FORMULATEXT(표1[[#This Row],[Q''ty]])</f>
        <v>=F202</v>
      </c>
      <c r="I301" s="26"/>
      <c r="J301" s="26"/>
    </row>
    <row r="302" spans="1:10" ht="15" hidden="1" customHeight="1" x14ac:dyDescent="0.4">
      <c r="A302" s="6">
        <v>2026</v>
      </c>
      <c r="B302" s="6">
        <f t="shared" si="27"/>
        <v>4</v>
      </c>
      <c r="C302" s="13" t="s">
        <v>23</v>
      </c>
      <c r="D302" s="2" t="s">
        <v>6</v>
      </c>
      <c r="E302" s="14" t="s">
        <v>27</v>
      </c>
      <c r="F302" s="22">
        <f t="shared" si="26"/>
        <v>6</v>
      </c>
      <c r="H302" s="5" t="str">
        <f ca="1">_xlfn.FORMULATEXT(표1[[#This Row],[Q''ty]])</f>
        <v>=F203</v>
      </c>
    </row>
    <row r="303" spans="1:10" ht="15" hidden="1" customHeight="1" x14ac:dyDescent="0.4">
      <c r="A303" s="6">
        <v>2026</v>
      </c>
      <c r="B303" s="6">
        <f t="shared" si="27"/>
        <v>4</v>
      </c>
      <c r="C303" s="13" t="s">
        <v>23</v>
      </c>
      <c r="D303" s="2" t="s">
        <v>6</v>
      </c>
      <c r="E303" s="14" t="s">
        <v>10</v>
      </c>
      <c r="F303" s="22">
        <f t="shared" si="26"/>
        <v>10</v>
      </c>
      <c r="H303" s="5" t="str">
        <f ca="1">_xlfn.FORMULATEXT(표1[[#This Row],[Q''ty]])</f>
        <v>=F204</v>
      </c>
    </row>
    <row r="304" spans="1:10" ht="15" hidden="1" customHeight="1" x14ac:dyDescent="0.4">
      <c r="A304" s="6">
        <v>2026</v>
      </c>
      <c r="B304" s="6">
        <f t="shared" si="27"/>
        <v>4</v>
      </c>
      <c r="C304" s="13" t="s">
        <v>23</v>
      </c>
      <c r="D304" s="2" t="s">
        <v>6</v>
      </c>
      <c r="E304" s="14" t="s">
        <v>11</v>
      </c>
      <c r="F304" s="22">
        <f t="shared" si="26"/>
        <v>10</v>
      </c>
      <c r="H304" s="5" t="str">
        <f ca="1">_xlfn.FORMULATEXT(표1[[#This Row],[Q''ty]])</f>
        <v>=F205</v>
      </c>
    </row>
    <row r="305" spans="1:10" ht="15" hidden="1" customHeight="1" x14ac:dyDescent="0.4">
      <c r="A305" s="6">
        <v>2026</v>
      </c>
      <c r="B305" s="6">
        <f t="shared" si="27"/>
        <v>4</v>
      </c>
      <c r="C305" s="13" t="s">
        <v>23</v>
      </c>
      <c r="D305" s="2" t="s">
        <v>12</v>
      </c>
      <c r="E305" s="14" t="s">
        <v>13</v>
      </c>
      <c r="F305" s="22">
        <v>20</v>
      </c>
      <c r="H305" s="5" t="e">
        <f ca="1">_xlfn.FORMULATEXT(표1[[#This Row],[Q''ty]])</f>
        <v>#N/A</v>
      </c>
    </row>
    <row r="306" spans="1:10" s="2" customFormat="1" ht="15" hidden="1" customHeight="1" x14ac:dyDescent="0.4">
      <c r="A306" s="6">
        <v>2026</v>
      </c>
      <c r="B306" s="6">
        <f t="shared" si="27"/>
        <v>4</v>
      </c>
      <c r="C306" s="13" t="s">
        <v>23</v>
      </c>
      <c r="D306" s="2" t="s">
        <v>12</v>
      </c>
      <c r="E306" s="14" t="s">
        <v>14</v>
      </c>
      <c r="F306" s="22">
        <v>19</v>
      </c>
      <c r="H306" s="5" t="e">
        <f ca="1">_xlfn.FORMULATEXT(표1[[#This Row],[Q''ty]])</f>
        <v>#N/A</v>
      </c>
      <c r="I306" s="26"/>
      <c r="J306" s="26"/>
    </row>
    <row r="307" spans="1:10" ht="15" hidden="1" customHeight="1" x14ac:dyDescent="0.4">
      <c r="A307" s="6">
        <v>2026</v>
      </c>
      <c r="B307" s="6">
        <f t="shared" si="27"/>
        <v>4</v>
      </c>
      <c r="C307" s="13" t="s">
        <v>23</v>
      </c>
      <c r="D307" s="2" t="s">
        <v>12</v>
      </c>
      <c r="E307" s="14" t="s">
        <v>15</v>
      </c>
      <c r="F307" s="22">
        <v>196</v>
      </c>
      <c r="H307" s="5" t="e">
        <f ca="1">_xlfn.FORMULATEXT(표1[[#This Row],[Q''ty]])</f>
        <v>#N/A</v>
      </c>
    </row>
    <row r="308" spans="1:10" ht="15" hidden="1" customHeight="1" x14ac:dyDescent="0.4">
      <c r="A308" s="6">
        <v>2026</v>
      </c>
      <c r="B308" s="6">
        <f t="shared" si="27"/>
        <v>4</v>
      </c>
      <c r="C308" s="13" t="s">
        <v>23</v>
      </c>
      <c r="D308" s="2" t="s">
        <v>12</v>
      </c>
      <c r="E308" s="14" t="s">
        <v>16</v>
      </c>
      <c r="F308" s="22">
        <v>216.5</v>
      </c>
      <c r="H308" s="5" t="e">
        <f ca="1">_xlfn.FORMULATEXT(표1[[#This Row],[Q''ty]])</f>
        <v>#N/A</v>
      </c>
    </row>
    <row r="309" spans="1:10" ht="15" hidden="1" customHeight="1" thickBot="1" x14ac:dyDescent="0.45">
      <c r="A309" s="15">
        <v>2026</v>
      </c>
      <c r="B309" s="15">
        <f t="shared" si="27"/>
        <v>4</v>
      </c>
      <c r="C309" s="16" t="s">
        <v>23</v>
      </c>
      <c r="D309" s="17" t="s">
        <v>12</v>
      </c>
      <c r="E309" s="18" t="s">
        <v>17</v>
      </c>
      <c r="F309" s="23">
        <v>222.2</v>
      </c>
      <c r="H309" s="5" t="e">
        <f ca="1">_xlfn.FORMULATEXT(표1[[#This Row],[Q''ty]])</f>
        <v>#N/A</v>
      </c>
    </row>
    <row r="310" spans="1:10" ht="15" hidden="1" customHeight="1" thickTop="1" x14ac:dyDescent="0.4">
      <c r="A310" s="9">
        <v>2026</v>
      </c>
      <c r="B310" s="9">
        <f t="shared" si="27"/>
        <v>4</v>
      </c>
      <c r="C310" s="10" t="s">
        <v>29</v>
      </c>
      <c r="D310" s="11" t="s">
        <v>6</v>
      </c>
      <c r="E310" s="12" t="s">
        <v>7</v>
      </c>
      <c r="F310" s="21">
        <f t="shared" ref="F310:F315" si="28">F211</f>
        <v>14</v>
      </c>
      <c r="H310" s="5" t="str">
        <f ca="1">_xlfn.FORMULATEXT(표1[[#This Row],[Q''ty]])</f>
        <v>=F211</v>
      </c>
    </row>
    <row r="311" spans="1:10" s="2" customFormat="1" ht="15" hidden="1" customHeight="1" x14ac:dyDescent="0.4">
      <c r="A311" s="6">
        <v>2026</v>
      </c>
      <c r="B311" s="6">
        <f t="shared" si="27"/>
        <v>4</v>
      </c>
      <c r="C311" s="13" t="s">
        <v>24</v>
      </c>
      <c r="D311" s="2" t="s">
        <v>6</v>
      </c>
      <c r="E311" s="14" t="s">
        <v>8</v>
      </c>
      <c r="F311" s="22">
        <f t="shared" si="28"/>
        <v>8</v>
      </c>
      <c r="H311" s="5" t="str">
        <f ca="1">_xlfn.FORMULATEXT(표1[[#This Row],[Q''ty]])</f>
        <v>=F212</v>
      </c>
      <c r="I311" s="26"/>
      <c r="J311" s="26"/>
    </row>
    <row r="312" spans="1:10" s="2" customFormat="1" ht="15" hidden="1" customHeight="1" x14ac:dyDescent="0.4">
      <c r="A312" s="6">
        <v>2026</v>
      </c>
      <c r="B312" s="6">
        <f t="shared" si="27"/>
        <v>4</v>
      </c>
      <c r="C312" s="13" t="s">
        <v>24</v>
      </c>
      <c r="D312" s="2" t="s">
        <v>6</v>
      </c>
      <c r="E312" s="14" t="s">
        <v>9</v>
      </c>
      <c r="F312" s="22">
        <f t="shared" si="28"/>
        <v>4</v>
      </c>
      <c r="H312" s="5" t="str">
        <f ca="1">_xlfn.FORMULATEXT(표1[[#This Row],[Q''ty]])</f>
        <v>=F213</v>
      </c>
      <c r="I312" s="26"/>
      <c r="J312" s="26"/>
    </row>
    <row r="313" spans="1:10" ht="15" hidden="1" customHeight="1" x14ac:dyDescent="0.4">
      <c r="A313" s="6">
        <v>2026</v>
      </c>
      <c r="B313" s="6">
        <f t="shared" si="27"/>
        <v>4</v>
      </c>
      <c r="C313" s="13" t="s">
        <v>24</v>
      </c>
      <c r="D313" s="2" t="s">
        <v>6</v>
      </c>
      <c r="E313" s="14" t="s">
        <v>27</v>
      </c>
      <c r="F313" s="22">
        <f t="shared" si="28"/>
        <v>3</v>
      </c>
      <c r="H313" s="5" t="str">
        <f ca="1">_xlfn.FORMULATEXT(표1[[#This Row],[Q''ty]])</f>
        <v>=F214</v>
      </c>
    </row>
    <row r="314" spans="1:10" ht="15" hidden="1" customHeight="1" x14ac:dyDescent="0.4">
      <c r="A314" s="6">
        <v>2026</v>
      </c>
      <c r="B314" s="6">
        <f t="shared" si="27"/>
        <v>4</v>
      </c>
      <c r="C314" s="13" t="s">
        <v>24</v>
      </c>
      <c r="D314" s="2" t="s">
        <v>6</v>
      </c>
      <c r="E314" s="14" t="s">
        <v>10</v>
      </c>
      <c r="F314" s="22">
        <f t="shared" si="28"/>
        <v>6</v>
      </c>
      <c r="H314" s="5" t="str">
        <f ca="1">_xlfn.FORMULATEXT(표1[[#This Row],[Q''ty]])</f>
        <v>=F215</v>
      </c>
    </row>
    <row r="315" spans="1:10" ht="15" hidden="1" customHeight="1" x14ac:dyDescent="0.4">
      <c r="A315" s="6">
        <v>2026</v>
      </c>
      <c r="B315" s="6">
        <f t="shared" si="27"/>
        <v>4</v>
      </c>
      <c r="C315" s="13" t="s">
        <v>24</v>
      </c>
      <c r="D315" s="2" t="s">
        <v>6</v>
      </c>
      <c r="E315" s="14" t="s">
        <v>11</v>
      </c>
      <c r="F315" s="22">
        <f t="shared" si="28"/>
        <v>8.8000000000000007</v>
      </c>
      <c r="H315" s="5" t="str">
        <f ca="1">_xlfn.FORMULATEXT(표1[[#This Row],[Q''ty]])</f>
        <v>=F216</v>
      </c>
    </row>
    <row r="316" spans="1:10" ht="15" hidden="1" customHeight="1" x14ac:dyDescent="0.4">
      <c r="A316" s="6">
        <v>2026</v>
      </c>
      <c r="B316" s="6">
        <f t="shared" si="27"/>
        <v>4</v>
      </c>
      <c r="C316" s="13" t="s">
        <v>24</v>
      </c>
      <c r="D316" s="2" t="s">
        <v>12</v>
      </c>
      <c r="E316" s="14" t="s">
        <v>13</v>
      </c>
      <c r="F316" s="22">
        <v>21</v>
      </c>
      <c r="H316" s="5" t="e">
        <f ca="1">_xlfn.FORMULATEXT(표1[[#This Row],[Q''ty]])</f>
        <v>#N/A</v>
      </c>
    </row>
    <row r="317" spans="1:10" s="2" customFormat="1" ht="15" hidden="1" customHeight="1" x14ac:dyDescent="0.4">
      <c r="A317" s="6">
        <v>2026</v>
      </c>
      <c r="B317" s="6">
        <f t="shared" si="27"/>
        <v>4</v>
      </c>
      <c r="C317" s="13" t="s">
        <v>24</v>
      </c>
      <c r="D317" s="2" t="s">
        <v>12</v>
      </c>
      <c r="E317" s="14" t="s">
        <v>14</v>
      </c>
      <c r="F317" s="22">
        <v>24</v>
      </c>
      <c r="H317" s="5" t="e">
        <f ca="1">_xlfn.FORMULATEXT(표1[[#This Row],[Q''ty]])</f>
        <v>#N/A</v>
      </c>
      <c r="I317" s="26"/>
      <c r="J317" s="26"/>
    </row>
    <row r="318" spans="1:10" ht="15" hidden="1" customHeight="1" x14ac:dyDescent="0.4">
      <c r="A318" s="6">
        <v>2026</v>
      </c>
      <c r="B318" s="6">
        <f t="shared" si="27"/>
        <v>4</v>
      </c>
      <c r="C318" s="13" t="s">
        <v>24</v>
      </c>
      <c r="D318" s="2" t="s">
        <v>12</v>
      </c>
      <c r="E318" s="14" t="s">
        <v>15</v>
      </c>
      <c r="F318" s="22">
        <v>172</v>
      </c>
      <c r="H318" s="5" t="e">
        <f ca="1">_xlfn.FORMULATEXT(표1[[#This Row],[Q''ty]])</f>
        <v>#N/A</v>
      </c>
    </row>
    <row r="319" spans="1:10" ht="15" hidden="1" customHeight="1" x14ac:dyDescent="0.4">
      <c r="A319" s="6">
        <v>2026</v>
      </c>
      <c r="B319" s="6">
        <f t="shared" si="27"/>
        <v>4</v>
      </c>
      <c r="C319" s="13" t="s">
        <v>24</v>
      </c>
      <c r="D319" s="2" t="s">
        <v>12</v>
      </c>
      <c r="E319" s="14" t="s">
        <v>16</v>
      </c>
      <c r="F319" s="22">
        <v>181</v>
      </c>
      <c r="H319" s="5" t="e">
        <f ca="1">_xlfn.FORMULATEXT(표1[[#This Row],[Q''ty]])</f>
        <v>#N/A</v>
      </c>
    </row>
    <row r="320" spans="1:10" ht="15" hidden="1" customHeight="1" thickBot="1" x14ac:dyDescent="0.45">
      <c r="A320" s="15">
        <v>2026</v>
      </c>
      <c r="B320" s="15">
        <f t="shared" si="27"/>
        <v>4</v>
      </c>
      <c r="C320" s="16" t="s">
        <v>24</v>
      </c>
      <c r="D320" s="17" t="s">
        <v>12</v>
      </c>
      <c r="E320" s="18" t="s">
        <v>17</v>
      </c>
      <c r="F320" s="23">
        <v>178.5</v>
      </c>
      <c r="H320" s="5" t="e">
        <f ca="1">_xlfn.FORMULATEXT(표1[[#This Row],[Q''ty]])</f>
        <v>#N/A</v>
      </c>
    </row>
    <row r="321" spans="1:8" ht="15" hidden="1" customHeight="1" thickTop="1" x14ac:dyDescent="0.4">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hidden="1" customHeight="1" x14ac:dyDescent="0.4">
      <c r="A322" s="6">
        <v>2026</v>
      </c>
      <c r="B322" s="6">
        <f t="shared" si="27"/>
        <v>4</v>
      </c>
      <c r="C322" s="13" t="s">
        <v>18</v>
      </c>
      <c r="D322" s="2" t="s">
        <v>6</v>
      </c>
      <c r="E322" s="14" t="str">
        <f t="shared" si="29"/>
        <v>Paint Booth</v>
      </c>
      <c r="F322" s="22">
        <f t="shared" si="29"/>
        <v>3</v>
      </c>
      <c r="H322" s="5" t="str">
        <f ca="1">_xlfn.FORMULATEXT(표1[[#This Row],[Q''ty]])</f>
        <v>=F223</v>
      </c>
    </row>
    <row r="323" spans="1:8" ht="15" hidden="1" customHeight="1" x14ac:dyDescent="0.4">
      <c r="A323" s="6">
        <v>2026</v>
      </c>
      <c r="B323" s="6">
        <f t="shared" si="27"/>
        <v>4</v>
      </c>
      <c r="C323" s="13" t="s">
        <v>18</v>
      </c>
      <c r="D323" s="2" t="s">
        <v>6</v>
      </c>
      <c r="E323" s="14" t="str">
        <f t="shared" si="29"/>
        <v>Paint Line</v>
      </c>
      <c r="F323" s="22">
        <f t="shared" si="29"/>
        <v>2</v>
      </c>
      <c r="H323" s="5" t="str">
        <f ca="1">_xlfn.FORMULATEXT(표1[[#This Row],[Q''ty]])</f>
        <v>=F224</v>
      </c>
    </row>
    <row r="324" spans="1:8" ht="15" hidden="1" customHeight="1" x14ac:dyDescent="0.4">
      <c r="A324" s="6">
        <v>2026</v>
      </c>
      <c r="B324" s="6">
        <f t="shared" si="27"/>
        <v>4</v>
      </c>
      <c r="C324" s="13" t="s">
        <v>18</v>
      </c>
      <c r="D324" s="2" t="s">
        <v>6</v>
      </c>
      <c r="E324" s="14" t="str">
        <f t="shared" si="29"/>
        <v>Roll Bending Machine</v>
      </c>
      <c r="F324" s="22">
        <f t="shared" si="29"/>
        <v>2</v>
      </c>
      <c r="H324" s="5" t="str">
        <f ca="1">_xlfn.FORMULATEXT(표1[[#This Row],[Q''ty]])</f>
        <v>=F225</v>
      </c>
    </row>
    <row r="325" spans="1:8" ht="15" hidden="1" customHeight="1" x14ac:dyDescent="0.4">
      <c r="A325" s="6">
        <v>2026</v>
      </c>
      <c r="B325" s="6">
        <f t="shared" si="27"/>
        <v>4</v>
      </c>
      <c r="C325" s="13" t="s">
        <v>18</v>
      </c>
      <c r="D325" s="2" t="s">
        <v>6</v>
      </c>
      <c r="E325" s="14" t="str">
        <f t="shared" si="29"/>
        <v>L/W Machine</v>
      </c>
      <c r="F325" s="22">
        <f t="shared" si="29"/>
        <v>2</v>
      </c>
      <c r="H325" s="5" t="str">
        <f ca="1">_xlfn.FORMULATEXT(표1[[#This Row],[Q''ty]])</f>
        <v>=F226</v>
      </c>
    </row>
    <row r="326" spans="1:8" ht="15" hidden="1" customHeight="1" x14ac:dyDescent="0.4">
      <c r="A326" s="6">
        <v>2026</v>
      </c>
      <c r="B326" s="6">
        <f t="shared" si="27"/>
        <v>4</v>
      </c>
      <c r="C326" s="13" t="s">
        <v>18</v>
      </c>
      <c r="D326" s="2" t="s">
        <v>6</v>
      </c>
      <c r="E326" s="14" t="str">
        <f t="shared" si="29"/>
        <v>C/W Machine</v>
      </c>
      <c r="F326" s="22">
        <f t="shared" si="29"/>
        <v>3</v>
      </c>
      <c r="H326" s="5" t="str">
        <f ca="1">_xlfn.FORMULATEXT(표1[[#This Row],[Q''ty]])</f>
        <v>=F227</v>
      </c>
    </row>
    <row r="327" spans="1:8" ht="15" hidden="1" customHeight="1" x14ac:dyDescent="0.4">
      <c r="A327" s="6">
        <v>2026</v>
      </c>
      <c r="B327" s="6">
        <f t="shared" si="27"/>
        <v>4</v>
      </c>
      <c r="C327" s="13" t="s">
        <v>18</v>
      </c>
      <c r="D327" s="2" t="s">
        <v>12</v>
      </c>
      <c r="E327" s="14" t="str">
        <f t="shared" ref="E327:E342" si="30">E228</f>
        <v>BT GT</v>
      </c>
      <c r="F327" s="22">
        <v>0</v>
      </c>
      <c r="H327" s="5" t="e">
        <f ca="1">_xlfn.FORMULATEXT(표1[[#This Row],[Q''ty]])</f>
        <v>#N/A</v>
      </c>
    </row>
    <row r="328" spans="1:8" ht="15" hidden="1" customHeight="1" x14ac:dyDescent="0.4">
      <c r="A328" s="6">
        <v>2026</v>
      </c>
      <c r="B328" s="6">
        <f t="shared" si="27"/>
        <v>4</v>
      </c>
      <c r="C328" s="13" t="s">
        <v>18</v>
      </c>
      <c r="D328" s="2" t="s">
        <v>12</v>
      </c>
      <c r="E328" s="14" t="str">
        <f t="shared" si="30"/>
        <v>WT GT</v>
      </c>
      <c r="F328" s="22">
        <v>0</v>
      </c>
      <c r="H328" s="5" t="e">
        <f ca="1">_xlfn.FORMULATEXT(표1[[#This Row],[Q''ty]])</f>
        <v>#N/A</v>
      </c>
    </row>
    <row r="329" spans="1:8" ht="15" hidden="1" customHeight="1" x14ac:dyDescent="0.4">
      <c r="A329" s="6">
        <v>2026</v>
      </c>
      <c r="B329" s="6">
        <f t="shared" si="27"/>
        <v>4</v>
      </c>
      <c r="C329" s="13" t="s">
        <v>18</v>
      </c>
      <c r="D329" s="2" t="s">
        <v>12</v>
      </c>
      <c r="E329" s="14" t="str">
        <f t="shared" si="30"/>
        <v>Bending</v>
      </c>
      <c r="F329" s="22">
        <v>0</v>
      </c>
      <c r="H329" s="5" t="e">
        <f ca="1">_xlfn.FORMULATEXT(표1[[#This Row],[Q''ty]])</f>
        <v>#N/A</v>
      </c>
    </row>
    <row r="330" spans="1:8" ht="15" hidden="1" customHeight="1" x14ac:dyDescent="0.4">
      <c r="A330" s="6">
        <v>2026</v>
      </c>
      <c r="B330" s="6">
        <f t="shared" si="27"/>
        <v>4</v>
      </c>
      <c r="C330" s="13" t="s">
        <v>18</v>
      </c>
      <c r="D330" s="2" t="s">
        <v>12</v>
      </c>
      <c r="E330" s="14" t="str">
        <f t="shared" si="30"/>
        <v>L/W</v>
      </c>
      <c r="F330" s="22">
        <v>0</v>
      </c>
      <c r="H330" s="5" t="e">
        <f ca="1">_xlfn.FORMULATEXT(표1[[#This Row],[Q''ty]])</f>
        <v>#N/A</v>
      </c>
    </row>
    <row r="331" spans="1:8" ht="15" hidden="1" customHeight="1" thickBot="1" x14ac:dyDescent="0.45">
      <c r="A331" s="15">
        <v>2026</v>
      </c>
      <c r="B331" s="15">
        <f t="shared" si="27"/>
        <v>4</v>
      </c>
      <c r="C331" s="16" t="s">
        <v>18</v>
      </c>
      <c r="D331" s="17" t="s">
        <v>12</v>
      </c>
      <c r="E331" s="18" t="str">
        <f t="shared" si="30"/>
        <v>C/W</v>
      </c>
      <c r="F331" s="23">
        <v>0</v>
      </c>
      <c r="H331" s="5" t="e">
        <f ca="1">_xlfn.FORMULATEXT(표1[[#This Row],[Q''ty]])</f>
        <v>#N/A</v>
      </c>
    </row>
    <row r="332" spans="1:8" ht="15" hidden="1" customHeight="1" thickTop="1" x14ac:dyDescent="0.4">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hidden="1" customHeight="1" x14ac:dyDescent="0.4">
      <c r="A333" s="6">
        <v>2026</v>
      </c>
      <c r="B333" s="6">
        <f t="shared" si="27"/>
        <v>4</v>
      </c>
      <c r="C333" s="13" t="s">
        <v>19</v>
      </c>
      <c r="D333" s="2" t="s">
        <v>6</v>
      </c>
      <c r="E333" s="14" t="str">
        <f t="shared" si="30"/>
        <v>Paint Booth</v>
      </c>
      <c r="F333" s="22">
        <f t="shared" si="31"/>
        <v>22</v>
      </c>
      <c r="H333" s="5" t="str">
        <f ca="1">_xlfn.FORMULATEXT(표1[[#This Row],[Q''ty]])</f>
        <v>=F234</v>
      </c>
    </row>
    <row r="334" spans="1:8" ht="15" hidden="1" customHeight="1" x14ac:dyDescent="0.4">
      <c r="A334" s="6">
        <v>2026</v>
      </c>
      <c r="B334" s="6">
        <f t="shared" si="27"/>
        <v>4</v>
      </c>
      <c r="C334" s="13" t="s">
        <v>19</v>
      </c>
      <c r="D334" s="2" t="s">
        <v>6</v>
      </c>
      <c r="E334" s="14" t="str">
        <f t="shared" si="30"/>
        <v>Paint Line</v>
      </c>
      <c r="F334" s="22">
        <f t="shared" si="31"/>
        <v>6</v>
      </c>
      <c r="H334" s="5" t="str">
        <f ca="1">_xlfn.FORMULATEXT(표1[[#This Row],[Q''ty]])</f>
        <v>=F235</v>
      </c>
    </row>
    <row r="335" spans="1:8" ht="15" hidden="1" customHeight="1" x14ac:dyDescent="0.4">
      <c r="A335" s="6">
        <v>2026</v>
      </c>
      <c r="B335" s="6">
        <f t="shared" si="27"/>
        <v>4</v>
      </c>
      <c r="C335" s="13" t="s">
        <v>19</v>
      </c>
      <c r="D335" s="2" t="s">
        <v>6</v>
      </c>
      <c r="E335" s="14" t="str">
        <f t="shared" si="30"/>
        <v>Roll Bending Machine</v>
      </c>
      <c r="F335" s="22">
        <f t="shared" si="31"/>
        <v>4</v>
      </c>
      <c r="H335" s="5" t="str">
        <f ca="1">_xlfn.FORMULATEXT(표1[[#This Row],[Q''ty]])</f>
        <v>=F236</v>
      </c>
    </row>
    <row r="336" spans="1:8" ht="15" hidden="1" customHeight="1" x14ac:dyDescent="0.4">
      <c r="A336" s="6">
        <v>2026</v>
      </c>
      <c r="B336" s="6">
        <f t="shared" si="27"/>
        <v>4</v>
      </c>
      <c r="C336" s="13" t="s">
        <v>19</v>
      </c>
      <c r="D336" s="2" t="s">
        <v>6</v>
      </c>
      <c r="E336" s="14" t="str">
        <f t="shared" si="30"/>
        <v>L/W Machine</v>
      </c>
      <c r="F336" s="22">
        <f t="shared" si="31"/>
        <v>10</v>
      </c>
      <c r="H336" s="5" t="str">
        <f ca="1">_xlfn.FORMULATEXT(표1[[#This Row],[Q''ty]])</f>
        <v>=F237</v>
      </c>
    </row>
    <row r="337" spans="1:8" ht="15" hidden="1" customHeight="1" x14ac:dyDescent="0.4">
      <c r="A337" s="6">
        <v>2026</v>
      </c>
      <c r="B337" s="6">
        <f t="shared" si="27"/>
        <v>4</v>
      </c>
      <c r="C337" s="13" t="s">
        <v>19</v>
      </c>
      <c r="D337" s="2" t="s">
        <v>6</v>
      </c>
      <c r="E337" s="14" t="str">
        <f t="shared" si="30"/>
        <v>C/W Machine</v>
      </c>
      <c r="F337" s="22">
        <f t="shared" si="31"/>
        <v>12</v>
      </c>
      <c r="H337" s="5" t="str">
        <f ca="1">_xlfn.FORMULATEXT(표1[[#This Row],[Q''ty]])</f>
        <v>=F238</v>
      </c>
    </row>
    <row r="338" spans="1:8" ht="15" hidden="1" customHeight="1" x14ac:dyDescent="0.4">
      <c r="A338" s="6">
        <v>2026</v>
      </c>
      <c r="B338" s="6">
        <f t="shared" si="27"/>
        <v>4</v>
      </c>
      <c r="C338" s="13" t="s">
        <v>19</v>
      </c>
      <c r="D338" s="2" t="s">
        <v>12</v>
      </c>
      <c r="E338" s="14" t="str">
        <f t="shared" si="30"/>
        <v>BT GT</v>
      </c>
      <c r="F338" s="22">
        <v>32</v>
      </c>
      <c r="H338" s="5" t="e">
        <f ca="1">_xlfn.FORMULATEXT(표1[[#This Row],[Q''ty]])</f>
        <v>#N/A</v>
      </c>
    </row>
    <row r="339" spans="1:8" ht="15" hidden="1" customHeight="1" x14ac:dyDescent="0.4">
      <c r="A339" s="6">
        <v>2026</v>
      </c>
      <c r="B339" s="6">
        <f t="shared" si="27"/>
        <v>4</v>
      </c>
      <c r="C339" s="13" t="s">
        <v>19</v>
      </c>
      <c r="D339" s="2" t="s">
        <v>12</v>
      </c>
      <c r="E339" s="14" t="str">
        <f t="shared" si="30"/>
        <v>WT GT</v>
      </c>
      <c r="F339" s="22">
        <v>30</v>
      </c>
      <c r="H339" s="5" t="e">
        <f ca="1">_xlfn.FORMULATEXT(표1[[#This Row],[Q''ty]])</f>
        <v>#N/A</v>
      </c>
    </row>
    <row r="340" spans="1:8" ht="15" hidden="1" customHeight="1" x14ac:dyDescent="0.4">
      <c r="A340" s="6">
        <v>2026</v>
      </c>
      <c r="B340" s="6">
        <f t="shared" si="27"/>
        <v>4</v>
      </c>
      <c r="C340" s="13" t="s">
        <v>19</v>
      </c>
      <c r="D340" s="2" t="s">
        <v>12</v>
      </c>
      <c r="E340" s="14" t="str">
        <f t="shared" si="30"/>
        <v>Bending</v>
      </c>
      <c r="F340" s="22">
        <v>309</v>
      </c>
      <c r="H340" s="5" t="e">
        <f ca="1">_xlfn.FORMULATEXT(표1[[#This Row],[Q''ty]])</f>
        <v>#N/A</v>
      </c>
    </row>
    <row r="341" spans="1:8" ht="15" hidden="1" customHeight="1" x14ac:dyDescent="0.4">
      <c r="A341" s="6">
        <v>2026</v>
      </c>
      <c r="B341" s="6">
        <f t="shared" si="27"/>
        <v>4</v>
      </c>
      <c r="C341" s="13" t="s">
        <v>19</v>
      </c>
      <c r="D341" s="2" t="s">
        <v>12</v>
      </c>
      <c r="E341" s="14" t="str">
        <f t="shared" si="30"/>
        <v>L/W</v>
      </c>
      <c r="F341" s="22">
        <v>309</v>
      </c>
      <c r="H341" s="5" t="e">
        <f ca="1">_xlfn.FORMULATEXT(표1[[#This Row],[Q''ty]])</f>
        <v>#N/A</v>
      </c>
    </row>
    <row r="342" spans="1:8" ht="15" hidden="1" customHeight="1" thickBot="1" x14ac:dyDescent="0.45">
      <c r="A342" s="15">
        <v>2026</v>
      </c>
      <c r="B342" s="15">
        <f t="shared" si="27"/>
        <v>4</v>
      </c>
      <c r="C342" s="16" t="s">
        <v>19</v>
      </c>
      <c r="D342" s="17" t="s">
        <v>12</v>
      </c>
      <c r="E342" s="18" t="str">
        <f t="shared" si="30"/>
        <v>C/W</v>
      </c>
      <c r="F342" s="23">
        <v>333</v>
      </c>
      <c r="H342" s="5" t="e">
        <f ca="1">_xlfn.FORMULATEXT(표1[[#This Row],[Q''ty]])</f>
        <v>#N/A</v>
      </c>
    </row>
    <row r="343" spans="1:8" ht="15" hidden="1" customHeight="1" thickTop="1" x14ac:dyDescent="0.4">
      <c r="A343" s="6">
        <v>2026</v>
      </c>
      <c r="B343" s="6">
        <f t="shared" si="27"/>
        <v>4</v>
      </c>
      <c r="C343" s="13" t="s">
        <v>25</v>
      </c>
      <c r="D343" s="2" t="s">
        <v>6</v>
      </c>
      <c r="E343" s="14" t="s">
        <v>7</v>
      </c>
      <c r="F343" s="22">
        <f t="shared" ref="F343:F348" si="32">F244</f>
        <v>3</v>
      </c>
      <c r="H343" s="5" t="str">
        <f ca="1">_xlfn.FORMULATEXT(표1[[#This Row],[Q''ty]])</f>
        <v>=F244</v>
      </c>
    </row>
    <row r="344" spans="1:8" ht="15" hidden="1" customHeight="1" x14ac:dyDescent="0.4">
      <c r="A344" s="6">
        <v>2026</v>
      </c>
      <c r="B344" s="6">
        <f t="shared" si="27"/>
        <v>4</v>
      </c>
      <c r="C344" s="13" t="s">
        <v>25</v>
      </c>
      <c r="D344" s="2" t="s">
        <v>6</v>
      </c>
      <c r="E344" s="14" t="s">
        <v>8</v>
      </c>
      <c r="F344" s="22">
        <f t="shared" si="32"/>
        <v>3</v>
      </c>
      <c r="H344" s="5" t="str">
        <f ca="1">_xlfn.FORMULATEXT(표1[[#This Row],[Q''ty]])</f>
        <v>=F245</v>
      </c>
    </row>
    <row r="345" spans="1:8" ht="15" hidden="1" customHeight="1" x14ac:dyDescent="0.4">
      <c r="A345" s="6">
        <v>2026</v>
      </c>
      <c r="B345" s="6">
        <f t="shared" si="27"/>
        <v>4</v>
      </c>
      <c r="C345" s="13" t="s">
        <v>25</v>
      </c>
      <c r="D345" s="2" t="s">
        <v>6</v>
      </c>
      <c r="E345" s="14" t="s">
        <v>9</v>
      </c>
      <c r="F345" s="22">
        <f t="shared" si="32"/>
        <v>2</v>
      </c>
      <c r="H345" s="5" t="str">
        <f ca="1">_xlfn.FORMULATEXT(표1[[#This Row],[Q''ty]])</f>
        <v>=F246</v>
      </c>
    </row>
    <row r="346" spans="1:8" ht="15" hidden="1" customHeight="1" x14ac:dyDescent="0.4">
      <c r="A346" s="6">
        <v>2026</v>
      </c>
      <c r="B346" s="6">
        <f t="shared" si="27"/>
        <v>4</v>
      </c>
      <c r="C346" s="13" t="s">
        <v>25</v>
      </c>
      <c r="D346" s="2" t="s">
        <v>6</v>
      </c>
      <c r="E346" s="14" t="s">
        <v>27</v>
      </c>
      <c r="F346" s="22">
        <f t="shared" si="32"/>
        <v>2</v>
      </c>
      <c r="H346" s="5" t="str">
        <f ca="1">_xlfn.FORMULATEXT(표1[[#This Row],[Q''ty]])</f>
        <v>=F247</v>
      </c>
    </row>
    <row r="347" spans="1:8" ht="15" hidden="1" customHeight="1" x14ac:dyDescent="0.4">
      <c r="A347" s="6">
        <v>2026</v>
      </c>
      <c r="B347" s="6">
        <f t="shared" si="27"/>
        <v>4</v>
      </c>
      <c r="C347" s="13" t="s">
        <v>25</v>
      </c>
      <c r="D347" s="2" t="s">
        <v>6</v>
      </c>
      <c r="E347" s="14" t="s">
        <v>10</v>
      </c>
      <c r="F347" s="22">
        <f t="shared" si="32"/>
        <v>3</v>
      </c>
      <c r="H347" s="5" t="str">
        <f ca="1">_xlfn.FORMULATEXT(표1[[#This Row],[Q''ty]])</f>
        <v>=F248</v>
      </c>
    </row>
    <row r="348" spans="1:8" ht="15" hidden="1" customHeight="1" x14ac:dyDescent="0.4">
      <c r="A348" s="6">
        <v>2026</v>
      </c>
      <c r="B348" s="6">
        <f t="shared" si="27"/>
        <v>4</v>
      </c>
      <c r="C348" s="13" t="s">
        <v>25</v>
      </c>
      <c r="D348" s="2" t="s">
        <v>6</v>
      </c>
      <c r="E348" s="14" t="s">
        <v>11</v>
      </c>
      <c r="F348" s="22">
        <f t="shared" si="32"/>
        <v>4</v>
      </c>
      <c r="H348" s="5" t="str">
        <f ca="1">_xlfn.FORMULATEXT(표1[[#This Row],[Q''ty]])</f>
        <v>=F249</v>
      </c>
    </row>
    <row r="349" spans="1:8" ht="15" hidden="1" customHeight="1" x14ac:dyDescent="0.4">
      <c r="A349" s="6">
        <v>2026</v>
      </c>
      <c r="B349" s="6">
        <f t="shared" si="27"/>
        <v>4</v>
      </c>
      <c r="C349" s="13" t="s">
        <v>25</v>
      </c>
      <c r="D349" s="2" t="s">
        <v>12</v>
      </c>
      <c r="E349" s="14" t="s">
        <v>13</v>
      </c>
      <c r="F349" s="22">
        <v>0</v>
      </c>
      <c r="H349" s="5" t="e">
        <f ca="1">_xlfn.FORMULATEXT(표1[[#This Row],[Q''ty]])</f>
        <v>#N/A</v>
      </c>
    </row>
    <row r="350" spans="1:8" ht="15" hidden="1" customHeight="1" x14ac:dyDescent="0.4">
      <c r="A350" s="6">
        <v>2026</v>
      </c>
      <c r="B350" s="6">
        <f t="shared" si="27"/>
        <v>4</v>
      </c>
      <c r="C350" s="13" t="s">
        <v>25</v>
      </c>
      <c r="D350" s="2" t="s">
        <v>12</v>
      </c>
      <c r="E350" s="14" t="s">
        <v>14</v>
      </c>
      <c r="F350" s="22">
        <v>0</v>
      </c>
      <c r="H350" s="5" t="e">
        <f ca="1">_xlfn.FORMULATEXT(표1[[#This Row],[Q''ty]])</f>
        <v>#N/A</v>
      </c>
    </row>
    <row r="351" spans="1:8" ht="15" hidden="1" customHeight="1" x14ac:dyDescent="0.4">
      <c r="A351" s="6">
        <v>2026</v>
      </c>
      <c r="B351" s="6">
        <f t="shared" si="27"/>
        <v>4</v>
      </c>
      <c r="C351" s="13" t="s">
        <v>25</v>
      </c>
      <c r="D351" s="2" t="s">
        <v>12</v>
      </c>
      <c r="E351" s="14" t="s">
        <v>15</v>
      </c>
      <c r="F351" s="22">
        <v>0</v>
      </c>
      <c r="H351" s="5" t="e">
        <f ca="1">_xlfn.FORMULATEXT(표1[[#This Row],[Q''ty]])</f>
        <v>#N/A</v>
      </c>
    </row>
    <row r="352" spans="1:8" ht="15" hidden="1" customHeight="1" x14ac:dyDescent="0.4">
      <c r="A352" s="6">
        <v>2026</v>
      </c>
      <c r="B352" s="6">
        <f t="shared" si="27"/>
        <v>4</v>
      </c>
      <c r="C352" s="13" t="s">
        <v>25</v>
      </c>
      <c r="D352" s="2" t="s">
        <v>12</v>
      </c>
      <c r="E352" s="14" t="s">
        <v>16</v>
      </c>
      <c r="F352" s="22">
        <v>0</v>
      </c>
      <c r="H352" s="5" t="e">
        <f ca="1">_xlfn.FORMULATEXT(표1[[#This Row],[Q''ty]])</f>
        <v>#N/A</v>
      </c>
    </row>
    <row r="353" spans="1:8" ht="15" hidden="1" customHeight="1" thickBot="1" x14ac:dyDescent="0.45">
      <c r="A353" s="15">
        <v>2026</v>
      </c>
      <c r="B353" s="15">
        <f t="shared" si="27"/>
        <v>4</v>
      </c>
      <c r="C353" s="16" t="s">
        <v>25</v>
      </c>
      <c r="D353" s="17" t="s">
        <v>12</v>
      </c>
      <c r="E353" s="18" t="s">
        <v>17</v>
      </c>
      <c r="F353" s="23">
        <v>0</v>
      </c>
      <c r="H353" s="5" t="e">
        <f ca="1">_xlfn.FORMULATEXT(표1[[#This Row],[Q''ty]])</f>
        <v>#N/A</v>
      </c>
    </row>
    <row r="354" spans="1:8" ht="15" hidden="1" customHeight="1" thickTop="1" x14ac:dyDescent="0.4">
      <c r="A354" s="6">
        <v>2026</v>
      </c>
      <c r="B354" s="6">
        <f t="shared" si="27"/>
        <v>4</v>
      </c>
      <c r="C354" s="13" t="s">
        <v>26</v>
      </c>
      <c r="D354" s="2" t="s">
        <v>6</v>
      </c>
      <c r="E354" s="14" t="s">
        <v>7</v>
      </c>
      <c r="F354" s="22">
        <f t="shared" ref="F354:F359" si="33">F255</f>
        <v>6</v>
      </c>
      <c r="H354" s="5" t="str">
        <f ca="1">_xlfn.FORMULATEXT(표1[[#This Row],[Q''ty]])</f>
        <v>=F255</v>
      </c>
    </row>
    <row r="355" spans="1:8" ht="15" hidden="1" customHeight="1" x14ac:dyDescent="0.4">
      <c r="A355" s="6">
        <v>2026</v>
      </c>
      <c r="B355" s="6">
        <f t="shared" si="27"/>
        <v>4</v>
      </c>
      <c r="C355" s="13" t="s">
        <v>26</v>
      </c>
      <c r="D355" s="2" t="s">
        <v>6</v>
      </c>
      <c r="E355" s="14" t="s">
        <v>8</v>
      </c>
      <c r="F355" s="22">
        <f t="shared" si="33"/>
        <v>4</v>
      </c>
      <c r="H355" s="5" t="str">
        <f ca="1">_xlfn.FORMULATEXT(표1[[#This Row],[Q''ty]])</f>
        <v>=F256</v>
      </c>
    </row>
    <row r="356" spans="1:8" ht="15" hidden="1" customHeight="1" x14ac:dyDescent="0.4">
      <c r="A356" s="6">
        <v>2026</v>
      </c>
      <c r="B356" s="6">
        <f t="shared" si="27"/>
        <v>4</v>
      </c>
      <c r="C356" s="13" t="s">
        <v>26</v>
      </c>
      <c r="D356" s="2" t="s">
        <v>6</v>
      </c>
      <c r="E356" s="14" t="s">
        <v>9</v>
      </c>
      <c r="F356" s="22">
        <f t="shared" si="33"/>
        <v>2</v>
      </c>
      <c r="H356" s="5" t="str">
        <f ca="1">_xlfn.FORMULATEXT(표1[[#This Row],[Q''ty]])</f>
        <v>=F257</v>
      </c>
    </row>
    <row r="357" spans="1:8" ht="15" hidden="1" customHeight="1" x14ac:dyDescent="0.4">
      <c r="A357" s="6">
        <v>2026</v>
      </c>
      <c r="B357" s="6">
        <f t="shared" si="27"/>
        <v>4</v>
      </c>
      <c r="C357" s="13" t="s">
        <v>26</v>
      </c>
      <c r="D357" s="2" t="s">
        <v>6</v>
      </c>
      <c r="E357" s="14" t="s">
        <v>27</v>
      </c>
      <c r="F357" s="22">
        <f t="shared" si="33"/>
        <v>3</v>
      </c>
      <c r="H357" s="5" t="str">
        <f ca="1">_xlfn.FORMULATEXT(표1[[#This Row],[Q''ty]])</f>
        <v>=F258</v>
      </c>
    </row>
    <row r="358" spans="1:8" ht="15" hidden="1" customHeight="1" x14ac:dyDescent="0.4">
      <c r="A358" s="6">
        <v>2026</v>
      </c>
      <c r="B358" s="6">
        <f t="shared" si="27"/>
        <v>4</v>
      </c>
      <c r="C358" s="13" t="s">
        <v>26</v>
      </c>
      <c r="D358" s="2" t="s">
        <v>6</v>
      </c>
      <c r="E358" s="14" t="s">
        <v>10</v>
      </c>
      <c r="F358" s="22">
        <f t="shared" si="33"/>
        <v>4</v>
      </c>
      <c r="H358" s="5" t="str">
        <f ca="1">_xlfn.FORMULATEXT(표1[[#This Row],[Q''ty]])</f>
        <v>=F259</v>
      </c>
    </row>
    <row r="359" spans="1:8" ht="15" hidden="1" customHeight="1" x14ac:dyDescent="0.4">
      <c r="A359" s="6">
        <v>2026</v>
      </c>
      <c r="B359" s="6">
        <f t="shared" si="27"/>
        <v>4</v>
      </c>
      <c r="C359" s="13" t="s">
        <v>26</v>
      </c>
      <c r="D359" s="2" t="s">
        <v>6</v>
      </c>
      <c r="E359" s="14" t="s">
        <v>11</v>
      </c>
      <c r="F359" s="22">
        <f t="shared" si="33"/>
        <v>6</v>
      </c>
      <c r="H359" s="5" t="str">
        <f ca="1">_xlfn.FORMULATEXT(표1[[#This Row],[Q''ty]])</f>
        <v>=F260</v>
      </c>
    </row>
    <row r="360" spans="1:8" ht="15" hidden="1" customHeight="1" x14ac:dyDescent="0.4">
      <c r="A360" s="6">
        <v>2026</v>
      </c>
      <c r="B360" s="6">
        <f t="shared" si="27"/>
        <v>4</v>
      </c>
      <c r="C360" s="13" t="s">
        <v>26</v>
      </c>
      <c r="D360" s="2" t="s">
        <v>12</v>
      </c>
      <c r="E360" s="14" t="str">
        <f t="shared" ref="E360:E397" si="34">E261</f>
        <v>BT GT</v>
      </c>
      <c r="F360" s="22">
        <v>19</v>
      </c>
      <c r="H360" s="5" t="e">
        <f ca="1">_xlfn.FORMULATEXT(표1[[#This Row],[Q''ty]])</f>
        <v>#N/A</v>
      </c>
    </row>
    <row r="361" spans="1:8" ht="15" hidden="1" customHeight="1" x14ac:dyDescent="0.4">
      <c r="A361" s="6">
        <v>2026</v>
      </c>
      <c r="B361" s="6">
        <f t="shared" si="27"/>
        <v>4</v>
      </c>
      <c r="C361" s="13" t="s">
        <v>26</v>
      </c>
      <c r="D361" s="2" t="s">
        <v>12</v>
      </c>
      <c r="E361" s="14" t="str">
        <f t="shared" si="34"/>
        <v>WT GT</v>
      </c>
      <c r="F361" s="22">
        <v>15</v>
      </c>
      <c r="H361" s="5" t="e">
        <f ca="1">_xlfn.FORMULATEXT(표1[[#This Row],[Q''ty]])</f>
        <v>#N/A</v>
      </c>
    </row>
    <row r="362" spans="1:8" ht="15" hidden="1" customHeight="1" x14ac:dyDescent="0.4">
      <c r="A362" s="6">
        <v>2026</v>
      </c>
      <c r="B362" s="6">
        <f t="shared" si="27"/>
        <v>4</v>
      </c>
      <c r="C362" s="13" t="s">
        <v>26</v>
      </c>
      <c r="D362" s="2" t="s">
        <v>12</v>
      </c>
      <c r="E362" s="14" t="str">
        <f t="shared" si="34"/>
        <v>Bending</v>
      </c>
      <c r="F362" s="22">
        <v>143</v>
      </c>
      <c r="H362" s="5" t="e">
        <f ca="1">_xlfn.FORMULATEXT(표1[[#This Row],[Q''ty]])</f>
        <v>#N/A</v>
      </c>
    </row>
    <row r="363" spans="1:8" ht="15" hidden="1" customHeight="1" x14ac:dyDescent="0.4">
      <c r="A363" s="6">
        <v>2026</v>
      </c>
      <c r="B363" s="6">
        <f t="shared" si="27"/>
        <v>4</v>
      </c>
      <c r="C363" s="13" t="s">
        <v>26</v>
      </c>
      <c r="D363" s="2" t="s">
        <v>12</v>
      </c>
      <c r="E363" s="14" t="str">
        <f t="shared" si="34"/>
        <v>L/W</v>
      </c>
      <c r="F363" s="22">
        <v>139</v>
      </c>
      <c r="H363" s="5" t="e">
        <f ca="1">_xlfn.FORMULATEXT(표1[[#This Row],[Q''ty]])</f>
        <v>#N/A</v>
      </c>
    </row>
    <row r="364" spans="1:8" ht="15" hidden="1" customHeight="1" thickBot="1" x14ac:dyDescent="0.45">
      <c r="A364" s="15">
        <v>2026</v>
      </c>
      <c r="B364" s="15">
        <f t="shared" ref="B364:B397" si="35">B265+1</f>
        <v>4</v>
      </c>
      <c r="C364" s="16" t="s">
        <v>26</v>
      </c>
      <c r="D364" s="17" t="s">
        <v>12</v>
      </c>
      <c r="E364" s="18" t="str">
        <f t="shared" si="34"/>
        <v>C/W</v>
      </c>
      <c r="F364" s="23">
        <v>162</v>
      </c>
      <c r="H364" s="5" t="e">
        <f ca="1">_xlfn.FORMULATEXT(표1[[#This Row],[Q''ty]])</f>
        <v>#N/A</v>
      </c>
    </row>
    <row r="365" spans="1:8" ht="15" hidden="1" customHeight="1" thickTop="1" x14ac:dyDescent="0.4">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hidden="1" customHeight="1" x14ac:dyDescent="0.4">
      <c r="A366" s="6">
        <v>2026</v>
      </c>
      <c r="B366" s="6">
        <f t="shared" si="35"/>
        <v>4</v>
      </c>
      <c r="C366" s="13" t="s">
        <v>20</v>
      </c>
      <c r="D366" s="2" t="s">
        <v>6</v>
      </c>
      <c r="E366" s="14" t="str">
        <f t="shared" si="34"/>
        <v>Paint Booth</v>
      </c>
      <c r="F366" s="22">
        <f t="shared" si="36"/>
        <v>16</v>
      </c>
      <c r="H366" s="5" t="str">
        <f ca="1">_xlfn.FORMULATEXT(표1[[#This Row],[Q''ty]])</f>
        <v>=F267</v>
      </c>
    </row>
    <row r="367" spans="1:8" ht="15" hidden="1" customHeight="1" x14ac:dyDescent="0.4">
      <c r="A367" s="6">
        <v>2026</v>
      </c>
      <c r="B367" s="6">
        <f t="shared" si="35"/>
        <v>4</v>
      </c>
      <c r="C367" s="13" t="s">
        <v>20</v>
      </c>
      <c r="D367" s="2" t="s">
        <v>6</v>
      </c>
      <c r="E367" s="14" t="str">
        <f t="shared" si="34"/>
        <v>Paint Line</v>
      </c>
      <c r="F367" s="22">
        <f t="shared" si="36"/>
        <v>8</v>
      </c>
      <c r="H367" s="5" t="str">
        <f ca="1">_xlfn.FORMULATEXT(표1[[#This Row],[Q''ty]])</f>
        <v>=F268</v>
      </c>
    </row>
    <row r="368" spans="1:8" ht="15" hidden="1" customHeight="1" x14ac:dyDescent="0.4">
      <c r="A368" s="6">
        <v>2026</v>
      </c>
      <c r="B368" s="6">
        <f t="shared" si="35"/>
        <v>4</v>
      </c>
      <c r="C368" s="13" t="s">
        <v>20</v>
      </c>
      <c r="D368" s="2" t="s">
        <v>6</v>
      </c>
      <c r="E368" s="14" t="str">
        <f t="shared" si="34"/>
        <v>Roll Bending Machine</v>
      </c>
      <c r="F368" s="22">
        <f t="shared" si="36"/>
        <v>6</v>
      </c>
      <c r="H368" s="5" t="str">
        <f ca="1">_xlfn.FORMULATEXT(표1[[#This Row],[Q''ty]])</f>
        <v>=F269</v>
      </c>
    </row>
    <row r="369" spans="1:8" ht="15" hidden="1" customHeight="1" x14ac:dyDescent="0.4">
      <c r="A369" s="6">
        <v>2026</v>
      </c>
      <c r="B369" s="6">
        <f t="shared" si="35"/>
        <v>4</v>
      </c>
      <c r="C369" s="13" t="s">
        <v>20</v>
      </c>
      <c r="D369" s="2" t="s">
        <v>6</v>
      </c>
      <c r="E369" s="14" t="str">
        <f t="shared" si="34"/>
        <v>L/W Machine</v>
      </c>
      <c r="F369" s="22">
        <f t="shared" si="36"/>
        <v>11</v>
      </c>
      <c r="H369" s="5" t="str">
        <f ca="1">_xlfn.FORMULATEXT(표1[[#This Row],[Q''ty]])</f>
        <v>=F270</v>
      </c>
    </row>
    <row r="370" spans="1:8" ht="15" hidden="1" customHeight="1" x14ac:dyDescent="0.4">
      <c r="A370" s="6">
        <v>2026</v>
      </c>
      <c r="B370" s="6">
        <f t="shared" si="35"/>
        <v>4</v>
      </c>
      <c r="C370" s="13" t="s">
        <v>20</v>
      </c>
      <c r="D370" s="2" t="s">
        <v>6</v>
      </c>
      <c r="E370" s="14" t="str">
        <f t="shared" si="34"/>
        <v>C/W Machine</v>
      </c>
      <c r="F370" s="22">
        <f t="shared" si="36"/>
        <v>15</v>
      </c>
      <c r="H370" s="5" t="str">
        <f ca="1">_xlfn.FORMULATEXT(표1[[#This Row],[Q''ty]])</f>
        <v>=F271</v>
      </c>
    </row>
    <row r="371" spans="1:8" ht="15" hidden="1" customHeight="1" x14ac:dyDescent="0.4">
      <c r="A371" s="6">
        <v>2026</v>
      </c>
      <c r="B371" s="6">
        <f t="shared" si="35"/>
        <v>4</v>
      </c>
      <c r="C371" s="13" t="s">
        <v>20</v>
      </c>
      <c r="D371" s="2" t="s">
        <v>12</v>
      </c>
      <c r="E371" s="14" t="str">
        <f t="shared" si="34"/>
        <v>BT GT</v>
      </c>
      <c r="F371" s="22">
        <v>68</v>
      </c>
      <c r="H371" s="5" t="e">
        <f ca="1">_xlfn.FORMULATEXT(표1[[#This Row],[Q''ty]])</f>
        <v>#N/A</v>
      </c>
    </row>
    <row r="372" spans="1:8" ht="15" hidden="1" customHeight="1" x14ac:dyDescent="0.4">
      <c r="A372" s="6">
        <v>2026</v>
      </c>
      <c r="B372" s="6">
        <f t="shared" si="35"/>
        <v>4</v>
      </c>
      <c r="C372" s="13" t="s">
        <v>20</v>
      </c>
      <c r="D372" s="2" t="s">
        <v>12</v>
      </c>
      <c r="E372" s="14" t="str">
        <f t="shared" si="34"/>
        <v>WT GT</v>
      </c>
      <c r="F372" s="22">
        <v>66</v>
      </c>
      <c r="H372" s="5" t="e">
        <f ca="1">_xlfn.FORMULATEXT(표1[[#This Row],[Q''ty]])</f>
        <v>#N/A</v>
      </c>
    </row>
    <row r="373" spans="1:8" ht="15" hidden="1" customHeight="1" x14ac:dyDescent="0.4">
      <c r="A373" s="6">
        <v>2026</v>
      </c>
      <c r="B373" s="6">
        <f t="shared" si="35"/>
        <v>4</v>
      </c>
      <c r="C373" s="13" t="s">
        <v>20</v>
      </c>
      <c r="D373" s="2" t="s">
        <v>12</v>
      </c>
      <c r="E373" s="14" t="str">
        <f t="shared" si="34"/>
        <v>Bending</v>
      </c>
      <c r="F373" s="22">
        <v>590</v>
      </c>
      <c r="H373" s="5" t="e">
        <f ca="1">_xlfn.FORMULATEXT(표1[[#This Row],[Q''ty]])</f>
        <v>#N/A</v>
      </c>
    </row>
    <row r="374" spans="1:8" ht="15" hidden="1" customHeight="1" x14ac:dyDescent="0.4">
      <c r="A374" s="6">
        <v>2026</v>
      </c>
      <c r="B374" s="6">
        <f t="shared" si="35"/>
        <v>4</v>
      </c>
      <c r="C374" s="13" t="s">
        <v>20</v>
      </c>
      <c r="D374" s="2" t="s">
        <v>12</v>
      </c>
      <c r="E374" s="14" t="str">
        <f t="shared" si="34"/>
        <v>L/W</v>
      </c>
      <c r="F374" s="22">
        <v>606</v>
      </c>
      <c r="H374" s="5" t="e">
        <f ca="1">_xlfn.FORMULATEXT(표1[[#This Row],[Q''ty]])</f>
        <v>#N/A</v>
      </c>
    </row>
    <row r="375" spans="1:8" ht="15" hidden="1" customHeight="1" thickBot="1" x14ac:dyDescent="0.45">
      <c r="A375" s="15">
        <v>2026</v>
      </c>
      <c r="B375" s="15">
        <f t="shared" si="35"/>
        <v>4</v>
      </c>
      <c r="C375" s="16" t="s">
        <v>20</v>
      </c>
      <c r="D375" s="17" t="s">
        <v>12</v>
      </c>
      <c r="E375" s="18" t="str">
        <f t="shared" si="34"/>
        <v>C/W</v>
      </c>
      <c r="F375" s="23">
        <v>544</v>
      </c>
      <c r="H375" s="5" t="e">
        <f ca="1">_xlfn.FORMULATEXT(표1[[#This Row],[Q''ty]])</f>
        <v>#N/A</v>
      </c>
    </row>
    <row r="376" spans="1:8" ht="15" hidden="1" customHeight="1" thickTop="1" x14ac:dyDescent="0.4">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hidden="1" customHeight="1" x14ac:dyDescent="0.4">
      <c r="A377" s="6">
        <v>2026</v>
      </c>
      <c r="B377" s="6">
        <f t="shared" si="35"/>
        <v>4</v>
      </c>
      <c r="C377" s="13" t="s">
        <v>21</v>
      </c>
      <c r="D377" s="2" t="s">
        <v>6</v>
      </c>
      <c r="E377" s="14" t="str">
        <f t="shared" si="34"/>
        <v>Paint Booth</v>
      </c>
      <c r="F377" s="22">
        <f t="shared" si="37"/>
        <v>4</v>
      </c>
      <c r="H377" s="5" t="str">
        <f ca="1">_xlfn.FORMULATEXT(표1[[#This Row],[Q''ty]])</f>
        <v>=F278</v>
      </c>
    </row>
    <row r="378" spans="1:8" ht="15" hidden="1" customHeight="1" x14ac:dyDescent="0.4">
      <c r="A378" s="6">
        <v>2026</v>
      </c>
      <c r="B378" s="6">
        <f t="shared" si="35"/>
        <v>4</v>
      </c>
      <c r="C378" s="13" t="s">
        <v>21</v>
      </c>
      <c r="D378" s="2" t="s">
        <v>6</v>
      </c>
      <c r="E378" s="14" t="str">
        <f t="shared" si="34"/>
        <v>Paint Line</v>
      </c>
      <c r="F378" s="22">
        <f t="shared" si="37"/>
        <v>4</v>
      </c>
      <c r="H378" s="5" t="str">
        <f ca="1">_xlfn.FORMULATEXT(표1[[#This Row],[Q''ty]])</f>
        <v>=F279</v>
      </c>
    </row>
    <row r="379" spans="1:8" ht="15" hidden="1" customHeight="1" x14ac:dyDescent="0.4">
      <c r="A379" s="6">
        <v>2026</v>
      </c>
      <c r="B379" s="6">
        <f t="shared" si="35"/>
        <v>4</v>
      </c>
      <c r="C379" s="13" t="s">
        <v>21</v>
      </c>
      <c r="D379" s="2" t="s">
        <v>6</v>
      </c>
      <c r="E379" s="14" t="str">
        <f t="shared" si="34"/>
        <v>Roll Bending Machine</v>
      </c>
      <c r="F379" s="22">
        <f t="shared" si="37"/>
        <v>3</v>
      </c>
      <c r="H379" s="5" t="str">
        <f ca="1">_xlfn.FORMULATEXT(표1[[#This Row],[Q''ty]])</f>
        <v>=F280</v>
      </c>
    </row>
    <row r="380" spans="1:8" ht="15" hidden="1" customHeight="1" x14ac:dyDescent="0.4">
      <c r="A380" s="6">
        <v>2026</v>
      </c>
      <c r="B380" s="6">
        <f t="shared" si="35"/>
        <v>4</v>
      </c>
      <c r="C380" s="13" t="s">
        <v>21</v>
      </c>
      <c r="D380" s="2" t="s">
        <v>6</v>
      </c>
      <c r="E380" s="14" t="str">
        <f t="shared" si="34"/>
        <v>L/W Machine</v>
      </c>
      <c r="F380" s="22">
        <f t="shared" si="37"/>
        <v>4</v>
      </c>
      <c r="H380" s="5" t="str">
        <f ca="1">_xlfn.FORMULATEXT(표1[[#This Row],[Q''ty]])</f>
        <v>=F281</v>
      </c>
    </row>
    <row r="381" spans="1:8" ht="15" hidden="1" customHeight="1" x14ac:dyDescent="0.4">
      <c r="A381" s="6">
        <v>2026</v>
      </c>
      <c r="B381" s="6">
        <f t="shared" si="35"/>
        <v>4</v>
      </c>
      <c r="C381" s="13" t="s">
        <v>21</v>
      </c>
      <c r="D381" s="2" t="s">
        <v>6</v>
      </c>
      <c r="E381" s="14" t="str">
        <f t="shared" si="34"/>
        <v>C/W Machine</v>
      </c>
      <c r="F381" s="22">
        <f t="shared" si="37"/>
        <v>6.5</v>
      </c>
      <c r="H381" s="5" t="str">
        <f ca="1">_xlfn.FORMULATEXT(표1[[#This Row],[Q''ty]])</f>
        <v>=F282</v>
      </c>
    </row>
    <row r="382" spans="1:8" ht="15" hidden="1" customHeight="1" x14ac:dyDescent="0.4">
      <c r="A382" s="6">
        <v>2026</v>
      </c>
      <c r="B382" s="6">
        <f t="shared" si="35"/>
        <v>4</v>
      </c>
      <c r="C382" s="13" t="s">
        <v>21</v>
      </c>
      <c r="D382" s="2" t="s">
        <v>12</v>
      </c>
      <c r="E382" s="14" t="str">
        <f t="shared" si="34"/>
        <v>BT GT</v>
      </c>
      <c r="F382" s="22">
        <v>15</v>
      </c>
      <c r="H382" s="5" t="e">
        <f ca="1">_xlfn.FORMULATEXT(표1[[#This Row],[Q''ty]])</f>
        <v>#N/A</v>
      </c>
    </row>
    <row r="383" spans="1:8" ht="15" hidden="1" customHeight="1" x14ac:dyDescent="0.4">
      <c r="A383" s="6">
        <v>2026</v>
      </c>
      <c r="B383" s="6">
        <f t="shared" si="35"/>
        <v>4</v>
      </c>
      <c r="C383" s="13" t="s">
        <v>21</v>
      </c>
      <c r="D383" s="2" t="s">
        <v>12</v>
      </c>
      <c r="E383" s="14" t="str">
        <f t="shared" si="34"/>
        <v>WT GT</v>
      </c>
      <c r="F383" s="22">
        <v>15</v>
      </c>
      <c r="H383" s="5" t="e">
        <f ca="1">_xlfn.FORMULATEXT(표1[[#This Row],[Q''ty]])</f>
        <v>#N/A</v>
      </c>
    </row>
    <row r="384" spans="1:8" ht="15" hidden="1" customHeight="1" x14ac:dyDescent="0.4">
      <c r="A384" s="6">
        <v>2026</v>
      </c>
      <c r="B384" s="6">
        <f t="shared" si="35"/>
        <v>4</v>
      </c>
      <c r="C384" s="13" t="s">
        <v>21</v>
      </c>
      <c r="D384" s="2" t="s">
        <v>12</v>
      </c>
      <c r="E384" s="14" t="str">
        <f t="shared" si="34"/>
        <v>Bending</v>
      </c>
      <c r="F384" s="22">
        <v>126</v>
      </c>
      <c r="H384" s="5" t="e">
        <f ca="1">_xlfn.FORMULATEXT(표1[[#This Row],[Q''ty]])</f>
        <v>#N/A</v>
      </c>
    </row>
    <row r="385" spans="1:10" ht="15" hidden="1" customHeight="1" x14ac:dyDescent="0.4">
      <c r="A385" s="6">
        <v>2026</v>
      </c>
      <c r="B385" s="6">
        <f t="shared" si="35"/>
        <v>4</v>
      </c>
      <c r="C385" s="13" t="s">
        <v>21</v>
      </c>
      <c r="D385" s="2" t="s">
        <v>12</v>
      </c>
      <c r="E385" s="14" t="str">
        <f t="shared" si="34"/>
        <v>L/W</v>
      </c>
      <c r="F385" s="22">
        <v>127</v>
      </c>
      <c r="H385" s="5" t="e">
        <f ca="1">_xlfn.FORMULATEXT(표1[[#This Row],[Q''ty]])</f>
        <v>#N/A</v>
      </c>
    </row>
    <row r="386" spans="1:10" ht="15" hidden="1" customHeight="1" thickBot="1" x14ac:dyDescent="0.45">
      <c r="A386" s="15">
        <v>2026</v>
      </c>
      <c r="B386" s="15">
        <f t="shared" si="35"/>
        <v>4</v>
      </c>
      <c r="C386" s="16" t="s">
        <v>21</v>
      </c>
      <c r="D386" s="17" t="s">
        <v>12</v>
      </c>
      <c r="E386" s="18" t="str">
        <f t="shared" si="34"/>
        <v>C/W</v>
      </c>
      <c r="F386" s="23">
        <v>143</v>
      </c>
      <c r="H386" s="5" t="e">
        <f ca="1">_xlfn.FORMULATEXT(표1[[#This Row],[Q''ty]])</f>
        <v>#N/A</v>
      </c>
    </row>
    <row r="387" spans="1:10" ht="15" hidden="1" customHeight="1" thickTop="1" x14ac:dyDescent="0.4">
      <c r="A387" s="6">
        <v>2026</v>
      </c>
      <c r="B387" s="6">
        <f t="shared" si="35"/>
        <v>4</v>
      </c>
      <c r="C387" s="13" t="s">
        <v>22</v>
      </c>
      <c r="D387" s="2" t="s">
        <v>6</v>
      </c>
      <c r="E387" s="14" t="str">
        <f t="shared" si="34"/>
        <v>Growing Line</v>
      </c>
      <c r="F387" s="21">
        <f t="shared" ref="F387:F392" si="38">F288</f>
        <v>11</v>
      </c>
      <c r="H387" s="5" t="str">
        <f ca="1">_xlfn.FORMULATEXT(표1[[#This Row],[Q''ty]])</f>
        <v>=F288</v>
      </c>
    </row>
    <row r="388" spans="1:10" ht="15" hidden="1" customHeight="1" x14ac:dyDescent="0.4">
      <c r="A388" s="6">
        <v>2026</v>
      </c>
      <c r="B388" s="6">
        <f t="shared" si="35"/>
        <v>4</v>
      </c>
      <c r="C388" s="13" t="s">
        <v>22</v>
      </c>
      <c r="D388" s="2" t="s">
        <v>6</v>
      </c>
      <c r="E388" s="14" t="str">
        <f t="shared" si="34"/>
        <v>Paint Booth</v>
      </c>
      <c r="F388" s="22">
        <f t="shared" si="38"/>
        <v>6</v>
      </c>
      <c r="H388" s="5" t="str">
        <f ca="1">_xlfn.FORMULATEXT(표1[[#This Row],[Q''ty]])</f>
        <v>=F289</v>
      </c>
    </row>
    <row r="389" spans="1:10" ht="15" hidden="1" customHeight="1" x14ac:dyDescent="0.4">
      <c r="A389" s="6">
        <v>2026</v>
      </c>
      <c r="B389" s="6">
        <f t="shared" si="35"/>
        <v>4</v>
      </c>
      <c r="C389" s="13" t="s">
        <v>22</v>
      </c>
      <c r="D389" s="2" t="s">
        <v>6</v>
      </c>
      <c r="E389" s="14" t="str">
        <f t="shared" si="34"/>
        <v>Paint Line</v>
      </c>
      <c r="F389" s="22">
        <f t="shared" si="38"/>
        <v>4</v>
      </c>
      <c r="H389" s="5" t="str">
        <f ca="1">_xlfn.FORMULATEXT(표1[[#This Row],[Q''ty]])</f>
        <v>=F290</v>
      </c>
    </row>
    <row r="390" spans="1:10" ht="15" hidden="1" customHeight="1" x14ac:dyDescent="0.4">
      <c r="A390" s="6">
        <v>2026</v>
      </c>
      <c r="B390" s="6">
        <f t="shared" si="35"/>
        <v>4</v>
      </c>
      <c r="C390" s="13" t="s">
        <v>22</v>
      </c>
      <c r="D390" s="2" t="s">
        <v>6</v>
      </c>
      <c r="E390" s="14" t="str">
        <f t="shared" si="34"/>
        <v>Roll Bending Machine</v>
      </c>
      <c r="F390" s="22">
        <f t="shared" si="38"/>
        <v>4</v>
      </c>
      <c r="H390" s="5" t="str">
        <f ca="1">_xlfn.FORMULATEXT(표1[[#This Row],[Q''ty]])</f>
        <v>=F291</v>
      </c>
    </row>
    <row r="391" spans="1:10" ht="15" hidden="1" customHeight="1" x14ac:dyDescent="0.4">
      <c r="A391" s="6">
        <v>2026</v>
      </c>
      <c r="B391" s="6">
        <f t="shared" si="35"/>
        <v>4</v>
      </c>
      <c r="C391" s="13" t="s">
        <v>22</v>
      </c>
      <c r="D391" s="2" t="s">
        <v>6</v>
      </c>
      <c r="E391" s="14" t="str">
        <f t="shared" si="34"/>
        <v>L/W Machine</v>
      </c>
      <c r="F391" s="22">
        <f t="shared" si="38"/>
        <v>7</v>
      </c>
      <c r="H391" s="5" t="str">
        <f ca="1">_xlfn.FORMULATEXT(표1[[#This Row],[Q''ty]])</f>
        <v>=F292</v>
      </c>
    </row>
    <row r="392" spans="1:10" ht="15" hidden="1" customHeight="1" x14ac:dyDescent="0.4">
      <c r="A392" s="6">
        <v>2026</v>
      </c>
      <c r="B392" s="6">
        <f t="shared" si="35"/>
        <v>4</v>
      </c>
      <c r="C392" s="13" t="s">
        <v>22</v>
      </c>
      <c r="D392" s="2" t="s">
        <v>6</v>
      </c>
      <c r="E392" s="14" t="str">
        <f t="shared" si="34"/>
        <v>C/W Machine</v>
      </c>
      <c r="F392" s="22">
        <f t="shared" si="38"/>
        <v>12.5</v>
      </c>
      <c r="H392" s="5" t="str">
        <f ca="1">_xlfn.FORMULATEXT(표1[[#This Row],[Q''ty]])</f>
        <v>=F293</v>
      </c>
    </row>
    <row r="393" spans="1:10" ht="15" hidden="1" customHeight="1" x14ac:dyDescent="0.4">
      <c r="A393" s="6">
        <v>2026</v>
      </c>
      <c r="B393" s="6">
        <f t="shared" si="35"/>
        <v>4</v>
      </c>
      <c r="C393" s="13" t="s">
        <v>22</v>
      </c>
      <c r="D393" s="2" t="s">
        <v>12</v>
      </c>
      <c r="E393" s="14" t="str">
        <f t="shared" si="34"/>
        <v>BT GT</v>
      </c>
      <c r="F393" s="22">
        <v>7</v>
      </c>
      <c r="H393" s="5" t="e">
        <f ca="1">_xlfn.FORMULATEXT(표1[[#This Row],[Q''ty]])</f>
        <v>#N/A</v>
      </c>
    </row>
    <row r="394" spans="1:10" ht="15" hidden="1" customHeight="1" x14ac:dyDescent="0.4">
      <c r="A394" s="6">
        <v>2026</v>
      </c>
      <c r="B394" s="6">
        <f t="shared" si="35"/>
        <v>4</v>
      </c>
      <c r="C394" s="13" t="s">
        <v>22</v>
      </c>
      <c r="D394" s="2" t="s">
        <v>12</v>
      </c>
      <c r="E394" s="14" t="str">
        <f t="shared" si="34"/>
        <v>WT GT</v>
      </c>
      <c r="F394" s="22">
        <v>10</v>
      </c>
      <c r="H394" s="5" t="e">
        <f ca="1">_xlfn.FORMULATEXT(표1[[#This Row],[Q''ty]])</f>
        <v>#N/A</v>
      </c>
    </row>
    <row r="395" spans="1:10" ht="15" hidden="1" customHeight="1" x14ac:dyDescent="0.4">
      <c r="A395" s="6">
        <v>2026</v>
      </c>
      <c r="B395" s="6">
        <f t="shared" si="35"/>
        <v>4</v>
      </c>
      <c r="C395" s="13" t="s">
        <v>22</v>
      </c>
      <c r="D395" s="2" t="s">
        <v>12</v>
      </c>
      <c r="E395" s="14" t="str">
        <f t="shared" si="34"/>
        <v>Bending</v>
      </c>
      <c r="F395" s="22">
        <v>109</v>
      </c>
      <c r="H395" s="5" t="e">
        <f ca="1">_xlfn.FORMULATEXT(표1[[#This Row],[Q''ty]])</f>
        <v>#N/A</v>
      </c>
    </row>
    <row r="396" spans="1:10" ht="15" hidden="1" customHeight="1" x14ac:dyDescent="0.4">
      <c r="A396" s="6">
        <v>2026</v>
      </c>
      <c r="B396" s="6">
        <f t="shared" si="35"/>
        <v>4</v>
      </c>
      <c r="C396" s="13" t="s">
        <v>22</v>
      </c>
      <c r="D396" s="2" t="s">
        <v>12</v>
      </c>
      <c r="E396" s="14" t="str">
        <f t="shared" si="34"/>
        <v>L/W</v>
      </c>
      <c r="F396" s="22">
        <v>110</v>
      </c>
      <c r="H396" s="5" t="e">
        <f ca="1">_xlfn.FORMULATEXT(표1[[#This Row],[Q''ty]])</f>
        <v>#N/A</v>
      </c>
    </row>
    <row r="397" spans="1:10" ht="15" hidden="1" customHeight="1" thickBot="1" x14ac:dyDescent="0.45">
      <c r="A397" s="15">
        <v>2026</v>
      </c>
      <c r="B397" s="15">
        <f t="shared" si="35"/>
        <v>4</v>
      </c>
      <c r="C397" s="16" t="s">
        <v>22</v>
      </c>
      <c r="D397" s="17" t="s">
        <v>12</v>
      </c>
      <c r="E397" s="18" t="str">
        <f t="shared" si="34"/>
        <v>C/W</v>
      </c>
      <c r="F397" s="23">
        <v>103</v>
      </c>
      <c r="H397" s="5" t="e">
        <f ca="1">_xlfn.FORMULATEXT(표1[[#This Row],[Q''ty]])</f>
        <v>#N/A</v>
      </c>
    </row>
    <row r="398" spans="1:10" ht="15" hidden="1" customHeight="1" thickTop="1" x14ac:dyDescent="0.4">
      <c r="A398" s="9">
        <v>2026</v>
      </c>
      <c r="B398" s="9">
        <f>B299+1</f>
        <v>5</v>
      </c>
      <c r="C398" s="10" t="s">
        <v>28</v>
      </c>
      <c r="D398" s="11" t="s">
        <v>6</v>
      </c>
      <c r="E398" s="12" t="s">
        <v>7</v>
      </c>
      <c r="F398" s="21">
        <f t="shared" ref="F398:F403" si="39">F299</f>
        <v>15</v>
      </c>
      <c r="H398" s="5" t="str">
        <f ca="1">_xlfn.FORMULATEXT(표1[[#This Row],[Q''ty]])</f>
        <v>=F299</v>
      </c>
    </row>
    <row r="399" spans="1:10" s="2" customFormat="1" ht="15" hidden="1" customHeight="1" x14ac:dyDescent="0.4">
      <c r="A399" s="6">
        <v>2026</v>
      </c>
      <c r="B399" s="6">
        <f t="shared" ref="B399:B462" si="40">B300+1</f>
        <v>5</v>
      </c>
      <c r="C399" s="13" t="s">
        <v>23</v>
      </c>
      <c r="D399" s="2" t="s">
        <v>6</v>
      </c>
      <c r="E399" s="14" t="s">
        <v>8</v>
      </c>
      <c r="F399" s="22">
        <f t="shared" si="39"/>
        <v>10</v>
      </c>
      <c r="H399" s="5" t="str">
        <f ca="1">_xlfn.FORMULATEXT(표1[[#This Row],[Q''ty]])</f>
        <v>=F300</v>
      </c>
      <c r="I399" s="26"/>
      <c r="J399" s="26"/>
    </row>
    <row r="400" spans="1:10" s="2" customFormat="1" ht="15" hidden="1" customHeight="1" x14ac:dyDescent="0.4">
      <c r="A400" s="6">
        <v>2026</v>
      </c>
      <c r="B400" s="6">
        <f t="shared" si="40"/>
        <v>5</v>
      </c>
      <c r="C400" s="13" t="s">
        <v>23</v>
      </c>
      <c r="D400" s="2" t="s">
        <v>6</v>
      </c>
      <c r="E400" s="14" t="s">
        <v>9</v>
      </c>
      <c r="F400" s="22">
        <f t="shared" si="39"/>
        <v>5</v>
      </c>
      <c r="H400" s="5" t="str">
        <f ca="1">_xlfn.FORMULATEXT(표1[[#This Row],[Q''ty]])</f>
        <v>=F301</v>
      </c>
      <c r="I400" s="26"/>
      <c r="J400" s="26"/>
    </row>
    <row r="401" spans="1:10" ht="15" hidden="1" customHeight="1" x14ac:dyDescent="0.4">
      <c r="A401" s="6">
        <v>2026</v>
      </c>
      <c r="B401" s="6">
        <f t="shared" si="40"/>
        <v>5</v>
      </c>
      <c r="C401" s="13" t="s">
        <v>23</v>
      </c>
      <c r="D401" s="2" t="s">
        <v>6</v>
      </c>
      <c r="E401" s="14" t="s">
        <v>27</v>
      </c>
      <c r="F401" s="22">
        <f t="shared" si="39"/>
        <v>6</v>
      </c>
      <c r="H401" s="5" t="str">
        <f ca="1">_xlfn.FORMULATEXT(표1[[#This Row],[Q''ty]])</f>
        <v>=F302</v>
      </c>
    </row>
    <row r="402" spans="1:10" ht="15" hidden="1" customHeight="1" x14ac:dyDescent="0.4">
      <c r="A402" s="6">
        <v>2026</v>
      </c>
      <c r="B402" s="6">
        <f t="shared" si="40"/>
        <v>5</v>
      </c>
      <c r="C402" s="13" t="s">
        <v>23</v>
      </c>
      <c r="D402" s="2" t="s">
        <v>6</v>
      </c>
      <c r="E402" s="14" t="s">
        <v>10</v>
      </c>
      <c r="F402" s="22">
        <f t="shared" si="39"/>
        <v>10</v>
      </c>
      <c r="H402" s="5" t="str">
        <f ca="1">_xlfn.FORMULATEXT(표1[[#This Row],[Q''ty]])</f>
        <v>=F303</v>
      </c>
    </row>
    <row r="403" spans="1:10" ht="15" hidden="1" customHeight="1" x14ac:dyDescent="0.4">
      <c r="A403" s="6">
        <v>2026</v>
      </c>
      <c r="B403" s="6">
        <f t="shared" si="40"/>
        <v>5</v>
      </c>
      <c r="C403" s="13" t="s">
        <v>23</v>
      </c>
      <c r="D403" s="2" t="s">
        <v>6</v>
      </c>
      <c r="E403" s="14" t="s">
        <v>11</v>
      </c>
      <c r="F403" s="22">
        <f t="shared" si="39"/>
        <v>10</v>
      </c>
      <c r="H403" s="5" t="str">
        <f ca="1">_xlfn.FORMULATEXT(표1[[#This Row],[Q''ty]])</f>
        <v>=F304</v>
      </c>
    </row>
    <row r="404" spans="1:10" ht="15" hidden="1" customHeight="1" x14ac:dyDescent="0.4">
      <c r="A404" s="6">
        <v>2026</v>
      </c>
      <c r="B404" s="6">
        <f t="shared" si="40"/>
        <v>5</v>
      </c>
      <c r="C404" s="13" t="s">
        <v>23</v>
      </c>
      <c r="D404" s="2" t="s">
        <v>12</v>
      </c>
      <c r="E404" s="14" t="s">
        <v>13</v>
      </c>
      <c r="F404" s="22">
        <v>20</v>
      </c>
      <c r="H404" s="5" t="e">
        <f ca="1">_xlfn.FORMULATEXT(표1[[#This Row],[Q''ty]])</f>
        <v>#N/A</v>
      </c>
    </row>
    <row r="405" spans="1:10" s="2" customFormat="1" ht="15" hidden="1" customHeight="1" x14ac:dyDescent="0.4">
      <c r="A405" s="6">
        <v>2026</v>
      </c>
      <c r="B405" s="6">
        <f t="shared" si="40"/>
        <v>5</v>
      </c>
      <c r="C405" s="13" t="s">
        <v>23</v>
      </c>
      <c r="D405" s="2" t="s">
        <v>12</v>
      </c>
      <c r="E405" s="14" t="s">
        <v>14</v>
      </c>
      <c r="F405" s="22">
        <v>22</v>
      </c>
      <c r="H405" s="5" t="e">
        <f ca="1">_xlfn.FORMULATEXT(표1[[#This Row],[Q''ty]])</f>
        <v>#N/A</v>
      </c>
      <c r="I405" s="26"/>
      <c r="J405" s="26"/>
    </row>
    <row r="406" spans="1:10" ht="15" hidden="1" customHeight="1" x14ac:dyDescent="0.4">
      <c r="A406" s="6">
        <v>2026</v>
      </c>
      <c r="B406" s="6">
        <f t="shared" si="40"/>
        <v>5</v>
      </c>
      <c r="C406" s="13" t="s">
        <v>23</v>
      </c>
      <c r="D406" s="2" t="s">
        <v>12</v>
      </c>
      <c r="E406" s="14" t="s">
        <v>15</v>
      </c>
      <c r="F406" s="22">
        <v>142</v>
      </c>
      <c r="H406" s="5" t="e">
        <f ca="1">_xlfn.FORMULATEXT(표1[[#This Row],[Q''ty]])</f>
        <v>#N/A</v>
      </c>
    </row>
    <row r="407" spans="1:10" ht="15" hidden="1" customHeight="1" x14ac:dyDescent="0.4">
      <c r="A407" s="6">
        <v>2026</v>
      </c>
      <c r="B407" s="6">
        <f t="shared" si="40"/>
        <v>5</v>
      </c>
      <c r="C407" s="13" t="s">
        <v>23</v>
      </c>
      <c r="D407" s="2" t="s">
        <v>12</v>
      </c>
      <c r="E407" s="14" t="s">
        <v>16</v>
      </c>
      <c r="F407" s="22">
        <v>137.80000000000001</v>
      </c>
      <c r="H407" s="5" t="e">
        <f ca="1">_xlfn.FORMULATEXT(표1[[#This Row],[Q''ty]])</f>
        <v>#N/A</v>
      </c>
    </row>
    <row r="408" spans="1:10" ht="15" hidden="1" customHeight="1" thickBot="1" x14ac:dyDescent="0.45">
      <c r="A408" s="15">
        <v>2026</v>
      </c>
      <c r="B408" s="15">
        <f t="shared" si="40"/>
        <v>5</v>
      </c>
      <c r="C408" s="16" t="s">
        <v>23</v>
      </c>
      <c r="D408" s="17" t="s">
        <v>12</v>
      </c>
      <c r="E408" s="18" t="s">
        <v>17</v>
      </c>
      <c r="F408" s="23">
        <v>207</v>
      </c>
      <c r="H408" s="5" t="e">
        <f ca="1">_xlfn.FORMULATEXT(표1[[#This Row],[Q''ty]])</f>
        <v>#N/A</v>
      </c>
    </row>
    <row r="409" spans="1:10" ht="15" hidden="1" customHeight="1" thickTop="1" x14ac:dyDescent="0.4">
      <c r="A409" s="9">
        <v>2026</v>
      </c>
      <c r="B409" s="9">
        <f t="shared" si="40"/>
        <v>5</v>
      </c>
      <c r="C409" s="10" t="s">
        <v>29</v>
      </c>
      <c r="D409" s="11" t="s">
        <v>6</v>
      </c>
      <c r="E409" s="12" t="s">
        <v>7</v>
      </c>
      <c r="F409" s="21">
        <f t="shared" ref="F409:F414" si="41">F310</f>
        <v>14</v>
      </c>
      <c r="H409" s="5" t="str">
        <f ca="1">_xlfn.FORMULATEXT(표1[[#This Row],[Q''ty]])</f>
        <v>=F310</v>
      </c>
    </row>
    <row r="410" spans="1:10" s="2" customFormat="1" ht="15" hidden="1" customHeight="1" x14ac:dyDescent="0.4">
      <c r="A410" s="6">
        <v>2026</v>
      </c>
      <c r="B410" s="6">
        <f t="shared" si="40"/>
        <v>5</v>
      </c>
      <c r="C410" s="13" t="s">
        <v>24</v>
      </c>
      <c r="D410" s="2" t="s">
        <v>6</v>
      </c>
      <c r="E410" s="14" t="s">
        <v>8</v>
      </c>
      <c r="F410" s="22">
        <f t="shared" si="41"/>
        <v>8</v>
      </c>
      <c r="H410" s="5" t="str">
        <f ca="1">_xlfn.FORMULATEXT(표1[[#This Row],[Q''ty]])</f>
        <v>=F311</v>
      </c>
      <c r="I410" s="26"/>
      <c r="J410" s="26"/>
    </row>
    <row r="411" spans="1:10" s="2" customFormat="1" ht="15" hidden="1" customHeight="1" x14ac:dyDescent="0.4">
      <c r="A411" s="6">
        <v>2026</v>
      </c>
      <c r="B411" s="6">
        <f t="shared" si="40"/>
        <v>5</v>
      </c>
      <c r="C411" s="13" t="s">
        <v>24</v>
      </c>
      <c r="D411" s="2" t="s">
        <v>6</v>
      </c>
      <c r="E411" s="14" t="s">
        <v>9</v>
      </c>
      <c r="F411" s="22">
        <f t="shared" si="41"/>
        <v>4</v>
      </c>
      <c r="H411" s="5" t="str">
        <f ca="1">_xlfn.FORMULATEXT(표1[[#This Row],[Q''ty]])</f>
        <v>=F312</v>
      </c>
      <c r="I411" s="26"/>
      <c r="J411" s="26"/>
    </row>
    <row r="412" spans="1:10" ht="15" hidden="1" customHeight="1" x14ac:dyDescent="0.4">
      <c r="A412" s="6">
        <v>2026</v>
      </c>
      <c r="B412" s="6">
        <f t="shared" si="40"/>
        <v>5</v>
      </c>
      <c r="C412" s="13" t="s">
        <v>24</v>
      </c>
      <c r="D412" s="2" t="s">
        <v>6</v>
      </c>
      <c r="E412" s="14" t="s">
        <v>27</v>
      </c>
      <c r="F412" s="22">
        <f t="shared" si="41"/>
        <v>3</v>
      </c>
      <c r="H412" s="5" t="str">
        <f ca="1">_xlfn.FORMULATEXT(표1[[#This Row],[Q''ty]])</f>
        <v>=F313</v>
      </c>
    </row>
    <row r="413" spans="1:10" ht="15" hidden="1" customHeight="1" x14ac:dyDescent="0.4">
      <c r="A413" s="6">
        <v>2026</v>
      </c>
      <c r="B413" s="6">
        <f t="shared" si="40"/>
        <v>5</v>
      </c>
      <c r="C413" s="13" t="s">
        <v>24</v>
      </c>
      <c r="D413" s="2" t="s">
        <v>6</v>
      </c>
      <c r="E413" s="14" t="s">
        <v>10</v>
      </c>
      <c r="F413" s="22">
        <f t="shared" si="41"/>
        <v>6</v>
      </c>
      <c r="H413" s="5" t="str">
        <f ca="1">_xlfn.FORMULATEXT(표1[[#This Row],[Q''ty]])</f>
        <v>=F314</v>
      </c>
    </row>
    <row r="414" spans="1:10" ht="15" hidden="1" customHeight="1" x14ac:dyDescent="0.4">
      <c r="A414" s="6">
        <v>2026</v>
      </c>
      <c r="B414" s="6">
        <f t="shared" si="40"/>
        <v>5</v>
      </c>
      <c r="C414" s="13" t="s">
        <v>24</v>
      </c>
      <c r="D414" s="2" t="s">
        <v>6</v>
      </c>
      <c r="E414" s="14" t="s">
        <v>11</v>
      </c>
      <c r="F414" s="22">
        <f t="shared" si="41"/>
        <v>8.8000000000000007</v>
      </c>
      <c r="H414" s="5" t="str">
        <f ca="1">_xlfn.FORMULATEXT(표1[[#This Row],[Q''ty]])</f>
        <v>=F315</v>
      </c>
    </row>
    <row r="415" spans="1:10" ht="15" hidden="1" customHeight="1" x14ac:dyDescent="0.4">
      <c r="A415" s="6">
        <v>2026</v>
      </c>
      <c r="B415" s="6">
        <f t="shared" si="40"/>
        <v>5</v>
      </c>
      <c r="C415" s="13" t="s">
        <v>24</v>
      </c>
      <c r="D415" s="2" t="s">
        <v>12</v>
      </c>
      <c r="E415" s="14" t="s">
        <v>13</v>
      </c>
      <c r="F415" s="22">
        <v>21</v>
      </c>
      <c r="H415" s="5" t="e">
        <f ca="1">_xlfn.FORMULATEXT(표1[[#This Row],[Q''ty]])</f>
        <v>#N/A</v>
      </c>
    </row>
    <row r="416" spans="1:10" s="2" customFormat="1" ht="15" hidden="1" customHeight="1" x14ac:dyDescent="0.4">
      <c r="A416" s="6">
        <v>2026</v>
      </c>
      <c r="B416" s="6">
        <f t="shared" si="40"/>
        <v>5</v>
      </c>
      <c r="C416" s="13" t="s">
        <v>24</v>
      </c>
      <c r="D416" s="2" t="s">
        <v>12</v>
      </c>
      <c r="E416" s="14" t="s">
        <v>14</v>
      </c>
      <c r="F416" s="22">
        <v>21</v>
      </c>
      <c r="H416" s="5" t="e">
        <f ca="1">_xlfn.FORMULATEXT(표1[[#This Row],[Q''ty]])</f>
        <v>#N/A</v>
      </c>
      <c r="I416" s="26"/>
      <c r="J416" s="26"/>
    </row>
    <row r="417" spans="1:8" ht="15" hidden="1" customHeight="1" x14ac:dyDescent="0.4">
      <c r="A417" s="6">
        <v>2026</v>
      </c>
      <c r="B417" s="6">
        <f t="shared" si="40"/>
        <v>5</v>
      </c>
      <c r="C417" s="13" t="s">
        <v>24</v>
      </c>
      <c r="D417" s="2" t="s">
        <v>12</v>
      </c>
      <c r="E417" s="14" t="s">
        <v>15</v>
      </c>
      <c r="F417" s="22">
        <v>111</v>
      </c>
      <c r="H417" s="5" t="e">
        <f ca="1">_xlfn.FORMULATEXT(표1[[#This Row],[Q''ty]])</f>
        <v>#N/A</v>
      </c>
    </row>
    <row r="418" spans="1:8" ht="15" hidden="1" customHeight="1" x14ac:dyDescent="0.4">
      <c r="A418" s="6">
        <v>2026</v>
      </c>
      <c r="B418" s="6">
        <f t="shared" si="40"/>
        <v>5</v>
      </c>
      <c r="C418" s="13" t="s">
        <v>24</v>
      </c>
      <c r="D418" s="2" t="s">
        <v>12</v>
      </c>
      <c r="E418" s="14" t="s">
        <v>16</v>
      </c>
      <c r="F418" s="22">
        <v>125</v>
      </c>
      <c r="H418" s="5" t="e">
        <f ca="1">_xlfn.FORMULATEXT(표1[[#This Row],[Q''ty]])</f>
        <v>#N/A</v>
      </c>
    </row>
    <row r="419" spans="1:8" ht="15" hidden="1" customHeight="1" thickBot="1" x14ac:dyDescent="0.45">
      <c r="A419" s="15">
        <v>2026</v>
      </c>
      <c r="B419" s="15">
        <f t="shared" si="40"/>
        <v>5</v>
      </c>
      <c r="C419" s="16" t="s">
        <v>24</v>
      </c>
      <c r="D419" s="17" t="s">
        <v>12</v>
      </c>
      <c r="E419" s="18" t="s">
        <v>17</v>
      </c>
      <c r="F419" s="23">
        <v>153.5</v>
      </c>
      <c r="H419" s="5" t="e">
        <f ca="1">_xlfn.FORMULATEXT(표1[[#This Row],[Q''ty]])</f>
        <v>#N/A</v>
      </c>
    </row>
    <row r="420" spans="1:8" ht="15" hidden="1" customHeight="1" thickTop="1" x14ac:dyDescent="0.4">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hidden="1" customHeight="1" x14ac:dyDescent="0.4">
      <c r="A421" s="6">
        <v>2026</v>
      </c>
      <c r="B421" s="6">
        <f t="shared" si="40"/>
        <v>5</v>
      </c>
      <c r="C421" s="13" t="s">
        <v>18</v>
      </c>
      <c r="D421" s="2" t="s">
        <v>6</v>
      </c>
      <c r="E421" s="14" t="str">
        <f t="shared" si="42"/>
        <v>Paint Booth</v>
      </c>
      <c r="F421" s="22">
        <f t="shared" si="42"/>
        <v>3</v>
      </c>
      <c r="H421" s="5" t="str">
        <f ca="1">_xlfn.FORMULATEXT(표1[[#This Row],[Q''ty]])</f>
        <v>=F322</v>
      </c>
    </row>
    <row r="422" spans="1:8" ht="15" hidden="1" customHeight="1" x14ac:dyDescent="0.4">
      <c r="A422" s="6">
        <v>2026</v>
      </c>
      <c r="B422" s="6">
        <f t="shared" si="40"/>
        <v>5</v>
      </c>
      <c r="C422" s="13" t="s">
        <v>18</v>
      </c>
      <c r="D422" s="2" t="s">
        <v>6</v>
      </c>
      <c r="E422" s="14" t="str">
        <f t="shared" si="42"/>
        <v>Paint Line</v>
      </c>
      <c r="F422" s="22">
        <f t="shared" si="42"/>
        <v>2</v>
      </c>
      <c r="H422" s="5" t="str">
        <f ca="1">_xlfn.FORMULATEXT(표1[[#This Row],[Q''ty]])</f>
        <v>=F323</v>
      </c>
    </row>
    <row r="423" spans="1:8" ht="15" hidden="1" customHeight="1" x14ac:dyDescent="0.4">
      <c r="A423" s="6">
        <v>2026</v>
      </c>
      <c r="B423" s="6">
        <f t="shared" si="40"/>
        <v>5</v>
      </c>
      <c r="C423" s="13" t="s">
        <v>18</v>
      </c>
      <c r="D423" s="2" t="s">
        <v>6</v>
      </c>
      <c r="E423" s="14" t="str">
        <f t="shared" si="42"/>
        <v>Roll Bending Machine</v>
      </c>
      <c r="F423" s="22">
        <f t="shared" si="42"/>
        <v>2</v>
      </c>
      <c r="H423" s="5" t="str">
        <f ca="1">_xlfn.FORMULATEXT(표1[[#This Row],[Q''ty]])</f>
        <v>=F324</v>
      </c>
    </row>
    <row r="424" spans="1:8" ht="15" hidden="1" customHeight="1" x14ac:dyDescent="0.4">
      <c r="A424" s="6">
        <v>2026</v>
      </c>
      <c r="B424" s="6">
        <f t="shared" si="40"/>
        <v>5</v>
      </c>
      <c r="C424" s="13" t="s">
        <v>18</v>
      </c>
      <c r="D424" s="2" t="s">
        <v>6</v>
      </c>
      <c r="E424" s="14" t="str">
        <f t="shared" si="42"/>
        <v>L/W Machine</v>
      </c>
      <c r="F424" s="22">
        <f t="shared" si="42"/>
        <v>2</v>
      </c>
      <c r="H424" s="5" t="str">
        <f ca="1">_xlfn.FORMULATEXT(표1[[#This Row],[Q''ty]])</f>
        <v>=F325</v>
      </c>
    </row>
    <row r="425" spans="1:8" ht="15" hidden="1" customHeight="1" x14ac:dyDescent="0.4">
      <c r="A425" s="6">
        <v>2026</v>
      </c>
      <c r="B425" s="6">
        <f t="shared" si="40"/>
        <v>5</v>
      </c>
      <c r="C425" s="13" t="s">
        <v>18</v>
      </c>
      <c r="D425" s="2" t="s">
        <v>6</v>
      </c>
      <c r="E425" s="14" t="str">
        <f t="shared" si="42"/>
        <v>C/W Machine</v>
      </c>
      <c r="F425" s="22">
        <f t="shared" si="42"/>
        <v>3</v>
      </c>
      <c r="H425" s="5" t="str">
        <f ca="1">_xlfn.FORMULATEXT(표1[[#This Row],[Q''ty]])</f>
        <v>=F326</v>
      </c>
    </row>
    <row r="426" spans="1:8" ht="15" hidden="1" customHeight="1" x14ac:dyDescent="0.4">
      <c r="A426" s="6">
        <v>2026</v>
      </c>
      <c r="B426" s="6">
        <f t="shared" si="40"/>
        <v>5</v>
      </c>
      <c r="C426" s="13" t="s">
        <v>18</v>
      </c>
      <c r="D426" s="2" t="s">
        <v>12</v>
      </c>
      <c r="E426" s="14" t="str">
        <f t="shared" ref="E426:E441" si="43">E327</f>
        <v>BT GT</v>
      </c>
      <c r="F426" s="22">
        <v>0</v>
      </c>
      <c r="H426" s="5" t="e">
        <f ca="1">_xlfn.FORMULATEXT(표1[[#This Row],[Q''ty]])</f>
        <v>#N/A</v>
      </c>
    </row>
    <row r="427" spans="1:8" ht="15" hidden="1" customHeight="1" x14ac:dyDescent="0.4">
      <c r="A427" s="6">
        <v>2026</v>
      </c>
      <c r="B427" s="6">
        <f t="shared" si="40"/>
        <v>5</v>
      </c>
      <c r="C427" s="13" t="s">
        <v>18</v>
      </c>
      <c r="D427" s="2" t="s">
        <v>12</v>
      </c>
      <c r="E427" s="14" t="str">
        <f t="shared" si="43"/>
        <v>WT GT</v>
      </c>
      <c r="F427" s="22">
        <v>0</v>
      </c>
      <c r="H427" s="5" t="e">
        <f ca="1">_xlfn.FORMULATEXT(표1[[#This Row],[Q''ty]])</f>
        <v>#N/A</v>
      </c>
    </row>
    <row r="428" spans="1:8" ht="15" hidden="1" customHeight="1" x14ac:dyDescent="0.4">
      <c r="A428" s="6">
        <v>2026</v>
      </c>
      <c r="B428" s="6">
        <f t="shared" si="40"/>
        <v>5</v>
      </c>
      <c r="C428" s="13" t="s">
        <v>18</v>
      </c>
      <c r="D428" s="2" t="s">
        <v>12</v>
      </c>
      <c r="E428" s="14" t="str">
        <f t="shared" si="43"/>
        <v>Bending</v>
      </c>
      <c r="F428" s="22">
        <v>0</v>
      </c>
      <c r="H428" s="5" t="e">
        <f ca="1">_xlfn.FORMULATEXT(표1[[#This Row],[Q''ty]])</f>
        <v>#N/A</v>
      </c>
    </row>
    <row r="429" spans="1:8" ht="15" hidden="1" customHeight="1" x14ac:dyDescent="0.4">
      <c r="A429" s="6">
        <v>2026</v>
      </c>
      <c r="B429" s="6">
        <f t="shared" si="40"/>
        <v>5</v>
      </c>
      <c r="C429" s="13" t="s">
        <v>18</v>
      </c>
      <c r="D429" s="2" t="s">
        <v>12</v>
      </c>
      <c r="E429" s="14" t="str">
        <f t="shared" si="43"/>
        <v>L/W</v>
      </c>
      <c r="F429" s="22">
        <v>0</v>
      </c>
      <c r="H429" s="5" t="e">
        <f ca="1">_xlfn.FORMULATEXT(표1[[#This Row],[Q''ty]])</f>
        <v>#N/A</v>
      </c>
    </row>
    <row r="430" spans="1:8" ht="15" hidden="1" customHeight="1" thickBot="1" x14ac:dyDescent="0.45">
      <c r="A430" s="15">
        <v>2026</v>
      </c>
      <c r="B430" s="15">
        <f t="shared" si="40"/>
        <v>5</v>
      </c>
      <c r="C430" s="16" t="s">
        <v>18</v>
      </c>
      <c r="D430" s="17" t="s">
        <v>12</v>
      </c>
      <c r="E430" s="18" t="str">
        <f t="shared" si="43"/>
        <v>C/W</v>
      </c>
      <c r="F430" s="23">
        <v>0</v>
      </c>
      <c r="H430" s="5" t="e">
        <f ca="1">_xlfn.FORMULATEXT(표1[[#This Row],[Q''ty]])</f>
        <v>#N/A</v>
      </c>
    </row>
    <row r="431" spans="1:8" ht="15" hidden="1" customHeight="1" thickTop="1" x14ac:dyDescent="0.4">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hidden="1" customHeight="1" x14ac:dyDescent="0.4">
      <c r="A432" s="6">
        <v>2026</v>
      </c>
      <c r="B432" s="6">
        <f t="shared" si="40"/>
        <v>5</v>
      </c>
      <c r="C432" s="13" t="s">
        <v>19</v>
      </c>
      <c r="D432" s="2" t="s">
        <v>6</v>
      </c>
      <c r="E432" s="14" t="str">
        <f t="shared" si="43"/>
        <v>Paint Booth</v>
      </c>
      <c r="F432" s="22">
        <f t="shared" si="44"/>
        <v>22</v>
      </c>
      <c r="H432" s="5" t="str">
        <f ca="1">_xlfn.FORMULATEXT(표1[[#This Row],[Q''ty]])</f>
        <v>=F333</v>
      </c>
    </row>
    <row r="433" spans="1:8" ht="15" hidden="1" customHeight="1" x14ac:dyDescent="0.4">
      <c r="A433" s="6">
        <v>2026</v>
      </c>
      <c r="B433" s="6">
        <f t="shared" si="40"/>
        <v>5</v>
      </c>
      <c r="C433" s="13" t="s">
        <v>19</v>
      </c>
      <c r="D433" s="2" t="s">
        <v>6</v>
      </c>
      <c r="E433" s="14" t="str">
        <f t="shared" si="43"/>
        <v>Paint Line</v>
      </c>
      <c r="F433" s="22">
        <f t="shared" si="44"/>
        <v>6</v>
      </c>
      <c r="H433" s="5" t="str">
        <f ca="1">_xlfn.FORMULATEXT(표1[[#This Row],[Q''ty]])</f>
        <v>=F334</v>
      </c>
    </row>
    <row r="434" spans="1:8" ht="15" hidden="1" customHeight="1" x14ac:dyDescent="0.4">
      <c r="A434" s="6">
        <v>2026</v>
      </c>
      <c r="B434" s="6">
        <f t="shared" si="40"/>
        <v>5</v>
      </c>
      <c r="C434" s="13" t="s">
        <v>19</v>
      </c>
      <c r="D434" s="2" t="s">
        <v>6</v>
      </c>
      <c r="E434" s="14" t="str">
        <f t="shared" si="43"/>
        <v>Roll Bending Machine</v>
      </c>
      <c r="F434" s="22">
        <f t="shared" si="44"/>
        <v>4</v>
      </c>
      <c r="H434" s="5" t="str">
        <f ca="1">_xlfn.FORMULATEXT(표1[[#This Row],[Q''ty]])</f>
        <v>=F335</v>
      </c>
    </row>
    <row r="435" spans="1:8" ht="15" hidden="1" customHeight="1" x14ac:dyDescent="0.4">
      <c r="A435" s="6">
        <v>2026</v>
      </c>
      <c r="B435" s="6">
        <f t="shared" si="40"/>
        <v>5</v>
      </c>
      <c r="C435" s="13" t="s">
        <v>19</v>
      </c>
      <c r="D435" s="2" t="s">
        <v>6</v>
      </c>
      <c r="E435" s="14" t="str">
        <f t="shared" si="43"/>
        <v>L/W Machine</v>
      </c>
      <c r="F435" s="22">
        <f t="shared" si="44"/>
        <v>10</v>
      </c>
      <c r="H435" s="5" t="str">
        <f ca="1">_xlfn.FORMULATEXT(표1[[#This Row],[Q''ty]])</f>
        <v>=F336</v>
      </c>
    </row>
    <row r="436" spans="1:8" ht="15" hidden="1" customHeight="1" x14ac:dyDescent="0.4">
      <c r="A436" s="6">
        <v>2026</v>
      </c>
      <c r="B436" s="6">
        <f t="shared" si="40"/>
        <v>5</v>
      </c>
      <c r="C436" s="13" t="s">
        <v>19</v>
      </c>
      <c r="D436" s="2" t="s">
        <v>6</v>
      </c>
      <c r="E436" s="14" t="str">
        <f t="shared" si="43"/>
        <v>C/W Machine</v>
      </c>
      <c r="F436" s="22">
        <f t="shared" si="44"/>
        <v>12</v>
      </c>
      <c r="H436" s="5" t="str">
        <f ca="1">_xlfn.FORMULATEXT(표1[[#This Row],[Q''ty]])</f>
        <v>=F337</v>
      </c>
    </row>
    <row r="437" spans="1:8" ht="15" hidden="1" customHeight="1" x14ac:dyDescent="0.4">
      <c r="A437" s="6">
        <v>2026</v>
      </c>
      <c r="B437" s="6">
        <f t="shared" si="40"/>
        <v>5</v>
      </c>
      <c r="C437" s="13" t="s">
        <v>19</v>
      </c>
      <c r="D437" s="2" t="s">
        <v>12</v>
      </c>
      <c r="E437" s="14" t="str">
        <f t="shared" si="43"/>
        <v>BT GT</v>
      </c>
      <c r="F437" s="22">
        <v>32</v>
      </c>
      <c r="H437" s="5" t="e">
        <f ca="1">_xlfn.FORMULATEXT(표1[[#This Row],[Q''ty]])</f>
        <v>#N/A</v>
      </c>
    </row>
    <row r="438" spans="1:8" ht="15" hidden="1" customHeight="1" x14ac:dyDescent="0.4">
      <c r="A438" s="6">
        <v>2026</v>
      </c>
      <c r="B438" s="6">
        <f t="shared" si="40"/>
        <v>5</v>
      </c>
      <c r="C438" s="13" t="s">
        <v>19</v>
      </c>
      <c r="D438" s="2" t="s">
        <v>12</v>
      </c>
      <c r="E438" s="14" t="str">
        <f t="shared" si="43"/>
        <v>WT GT</v>
      </c>
      <c r="F438" s="22">
        <v>30</v>
      </c>
      <c r="H438" s="5" t="e">
        <f ca="1">_xlfn.FORMULATEXT(표1[[#This Row],[Q''ty]])</f>
        <v>#N/A</v>
      </c>
    </row>
    <row r="439" spans="1:8" ht="15" hidden="1" customHeight="1" x14ac:dyDescent="0.4">
      <c r="A439" s="6">
        <v>2026</v>
      </c>
      <c r="B439" s="6">
        <f t="shared" si="40"/>
        <v>5</v>
      </c>
      <c r="C439" s="13" t="s">
        <v>19</v>
      </c>
      <c r="D439" s="2" t="s">
        <v>12</v>
      </c>
      <c r="E439" s="14" t="str">
        <f t="shared" si="43"/>
        <v>Bending</v>
      </c>
      <c r="F439" s="22">
        <v>320</v>
      </c>
      <c r="H439" s="5" t="e">
        <f ca="1">_xlfn.FORMULATEXT(표1[[#This Row],[Q''ty]])</f>
        <v>#N/A</v>
      </c>
    </row>
    <row r="440" spans="1:8" ht="15" hidden="1" customHeight="1" x14ac:dyDescent="0.4">
      <c r="A440" s="6">
        <v>2026</v>
      </c>
      <c r="B440" s="6">
        <f t="shared" si="40"/>
        <v>5</v>
      </c>
      <c r="C440" s="13" t="s">
        <v>19</v>
      </c>
      <c r="D440" s="2" t="s">
        <v>12</v>
      </c>
      <c r="E440" s="14" t="str">
        <f t="shared" si="43"/>
        <v>L/W</v>
      </c>
      <c r="F440" s="22">
        <v>320</v>
      </c>
      <c r="H440" s="5" t="e">
        <f ca="1">_xlfn.FORMULATEXT(표1[[#This Row],[Q''ty]])</f>
        <v>#N/A</v>
      </c>
    </row>
    <row r="441" spans="1:8" ht="15" hidden="1" customHeight="1" thickBot="1" x14ac:dyDescent="0.45">
      <c r="A441" s="15">
        <v>2026</v>
      </c>
      <c r="B441" s="15">
        <f t="shared" si="40"/>
        <v>5</v>
      </c>
      <c r="C441" s="16" t="s">
        <v>19</v>
      </c>
      <c r="D441" s="17" t="s">
        <v>12</v>
      </c>
      <c r="E441" s="18" t="str">
        <f t="shared" si="43"/>
        <v>C/W</v>
      </c>
      <c r="F441" s="23">
        <v>330</v>
      </c>
      <c r="H441" s="5" t="e">
        <f ca="1">_xlfn.FORMULATEXT(표1[[#This Row],[Q''ty]])</f>
        <v>#N/A</v>
      </c>
    </row>
    <row r="442" spans="1:8" ht="15" hidden="1" customHeight="1" thickTop="1" x14ac:dyDescent="0.4">
      <c r="A442" s="6">
        <v>2026</v>
      </c>
      <c r="B442" s="6">
        <f t="shared" si="40"/>
        <v>5</v>
      </c>
      <c r="C442" s="13" t="s">
        <v>25</v>
      </c>
      <c r="D442" s="2" t="s">
        <v>6</v>
      </c>
      <c r="E442" s="14" t="s">
        <v>7</v>
      </c>
      <c r="F442" s="22">
        <f t="shared" ref="F442:F447" si="45">F343</f>
        <v>3</v>
      </c>
      <c r="H442" s="5" t="str">
        <f ca="1">_xlfn.FORMULATEXT(표1[[#This Row],[Q''ty]])</f>
        <v>=F343</v>
      </c>
    </row>
    <row r="443" spans="1:8" ht="15" hidden="1" customHeight="1" x14ac:dyDescent="0.4">
      <c r="A443" s="6">
        <v>2026</v>
      </c>
      <c r="B443" s="6">
        <f t="shared" si="40"/>
        <v>5</v>
      </c>
      <c r="C443" s="13" t="s">
        <v>25</v>
      </c>
      <c r="D443" s="2" t="s">
        <v>6</v>
      </c>
      <c r="E443" s="14" t="s">
        <v>8</v>
      </c>
      <c r="F443" s="22">
        <f t="shared" si="45"/>
        <v>3</v>
      </c>
      <c r="H443" s="5" t="str">
        <f ca="1">_xlfn.FORMULATEXT(표1[[#This Row],[Q''ty]])</f>
        <v>=F344</v>
      </c>
    </row>
    <row r="444" spans="1:8" ht="15" hidden="1" customHeight="1" x14ac:dyDescent="0.4">
      <c r="A444" s="6">
        <v>2026</v>
      </c>
      <c r="B444" s="6">
        <f t="shared" si="40"/>
        <v>5</v>
      </c>
      <c r="C444" s="13" t="s">
        <v>25</v>
      </c>
      <c r="D444" s="2" t="s">
        <v>6</v>
      </c>
      <c r="E444" s="14" t="s">
        <v>9</v>
      </c>
      <c r="F444" s="22">
        <f t="shared" si="45"/>
        <v>2</v>
      </c>
      <c r="H444" s="5" t="str">
        <f ca="1">_xlfn.FORMULATEXT(표1[[#This Row],[Q''ty]])</f>
        <v>=F345</v>
      </c>
    </row>
    <row r="445" spans="1:8" ht="15" hidden="1" customHeight="1" x14ac:dyDescent="0.4">
      <c r="A445" s="6">
        <v>2026</v>
      </c>
      <c r="B445" s="6">
        <f t="shared" si="40"/>
        <v>5</v>
      </c>
      <c r="C445" s="13" t="s">
        <v>25</v>
      </c>
      <c r="D445" s="2" t="s">
        <v>6</v>
      </c>
      <c r="E445" s="14" t="s">
        <v>27</v>
      </c>
      <c r="F445" s="22">
        <f t="shared" si="45"/>
        <v>2</v>
      </c>
      <c r="H445" s="5" t="str">
        <f ca="1">_xlfn.FORMULATEXT(표1[[#This Row],[Q''ty]])</f>
        <v>=F346</v>
      </c>
    </row>
    <row r="446" spans="1:8" ht="15" hidden="1" customHeight="1" x14ac:dyDescent="0.4">
      <c r="A446" s="6">
        <v>2026</v>
      </c>
      <c r="B446" s="6">
        <f t="shared" si="40"/>
        <v>5</v>
      </c>
      <c r="C446" s="13" t="s">
        <v>25</v>
      </c>
      <c r="D446" s="2" t="s">
        <v>6</v>
      </c>
      <c r="E446" s="14" t="s">
        <v>10</v>
      </c>
      <c r="F446" s="22">
        <f t="shared" si="45"/>
        <v>3</v>
      </c>
      <c r="H446" s="5" t="str">
        <f ca="1">_xlfn.FORMULATEXT(표1[[#This Row],[Q''ty]])</f>
        <v>=F347</v>
      </c>
    </row>
    <row r="447" spans="1:8" ht="15" hidden="1" customHeight="1" x14ac:dyDescent="0.4">
      <c r="A447" s="6">
        <v>2026</v>
      </c>
      <c r="B447" s="6">
        <f t="shared" si="40"/>
        <v>5</v>
      </c>
      <c r="C447" s="13" t="s">
        <v>25</v>
      </c>
      <c r="D447" s="2" t="s">
        <v>6</v>
      </c>
      <c r="E447" s="14" t="s">
        <v>11</v>
      </c>
      <c r="F447" s="22">
        <f t="shared" si="45"/>
        <v>4</v>
      </c>
      <c r="H447" s="5" t="str">
        <f ca="1">_xlfn.FORMULATEXT(표1[[#This Row],[Q''ty]])</f>
        <v>=F348</v>
      </c>
    </row>
    <row r="448" spans="1:8" ht="15" hidden="1" customHeight="1" x14ac:dyDescent="0.4">
      <c r="A448" s="6">
        <v>2026</v>
      </c>
      <c r="B448" s="6">
        <f t="shared" si="40"/>
        <v>5</v>
      </c>
      <c r="C448" s="13" t="s">
        <v>25</v>
      </c>
      <c r="D448" s="2" t="s">
        <v>12</v>
      </c>
      <c r="E448" s="14" t="s">
        <v>13</v>
      </c>
      <c r="F448" s="22">
        <v>0</v>
      </c>
      <c r="H448" s="5" t="e">
        <f ca="1">_xlfn.FORMULATEXT(표1[[#This Row],[Q''ty]])</f>
        <v>#N/A</v>
      </c>
    </row>
    <row r="449" spans="1:8" ht="15" hidden="1" customHeight="1" x14ac:dyDescent="0.4">
      <c r="A449" s="6">
        <v>2026</v>
      </c>
      <c r="B449" s="6">
        <f t="shared" si="40"/>
        <v>5</v>
      </c>
      <c r="C449" s="13" t="s">
        <v>25</v>
      </c>
      <c r="D449" s="2" t="s">
        <v>12</v>
      </c>
      <c r="E449" s="14" t="s">
        <v>14</v>
      </c>
      <c r="F449" s="22">
        <v>0</v>
      </c>
      <c r="H449" s="5" t="e">
        <f ca="1">_xlfn.FORMULATEXT(표1[[#This Row],[Q''ty]])</f>
        <v>#N/A</v>
      </c>
    </row>
    <row r="450" spans="1:8" ht="15" hidden="1" customHeight="1" x14ac:dyDescent="0.4">
      <c r="A450" s="6">
        <v>2026</v>
      </c>
      <c r="B450" s="6">
        <f t="shared" si="40"/>
        <v>5</v>
      </c>
      <c r="C450" s="13" t="s">
        <v>25</v>
      </c>
      <c r="D450" s="2" t="s">
        <v>12</v>
      </c>
      <c r="E450" s="14" t="s">
        <v>15</v>
      </c>
      <c r="F450" s="22">
        <v>0</v>
      </c>
      <c r="H450" s="5" t="e">
        <f ca="1">_xlfn.FORMULATEXT(표1[[#This Row],[Q''ty]])</f>
        <v>#N/A</v>
      </c>
    </row>
    <row r="451" spans="1:8" ht="15" hidden="1" customHeight="1" x14ac:dyDescent="0.4">
      <c r="A451" s="6">
        <v>2026</v>
      </c>
      <c r="B451" s="6">
        <f t="shared" si="40"/>
        <v>5</v>
      </c>
      <c r="C451" s="13" t="s">
        <v>25</v>
      </c>
      <c r="D451" s="2" t="s">
        <v>12</v>
      </c>
      <c r="E451" s="14" t="s">
        <v>16</v>
      </c>
      <c r="F451" s="22">
        <v>0</v>
      </c>
      <c r="H451" s="5" t="e">
        <f ca="1">_xlfn.FORMULATEXT(표1[[#This Row],[Q''ty]])</f>
        <v>#N/A</v>
      </c>
    </row>
    <row r="452" spans="1:8" ht="15" hidden="1" customHeight="1" thickBot="1" x14ac:dyDescent="0.45">
      <c r="A452" s="15">
        <v>2026</v>
      </c>
      <c r="B452" s="15">
        <f t="shared" si="40"/>
        <v>5</v>
      </c>
      <c r="C452" s="16" t="s">
        <v>25</v>
      </c>
      <c r="D452" s="17" t="s">
        <v>12</v>
      </c>
      <c r="E452" s="18" t="s">
        <v>17</v>
      </c>
      <c r="F452" s="23">
        <v>0</v>
      </c>
      <c r="H452" s="5" t="e">
        <f ca="1">_xlfn.FORMULATEXT(표1[[#This Row],[Q''ty]])</f>
        <v>#N/A</v>
      </c>
    </row>
    <row r="453" spans="1:8" ht="15" hidden="1" customHeight="1" thickTop="1" x14ac:dyDescent="0.4">
      <c r="A453" s="6">
        <v>2026</v>
      </c>
      <c r="B453" s="6">
        <f t="shared" si="40"/>
        <v>5</v>
      </c>
      <c r="C453" s="13" t="s">
        <v>26</v>
      </c>
      <c r="D453" s="2" t="s">
        <v>6</v>
      </c>
      <c r="E453" s="14" t="s">
        <v>7</v>
      </c>
      <c r="F453" s="22">
        <f t="shared" ref="F453:F458" si="46">F354</f>
        <v>6</v>
      </c>
      <c r="H453" s="5" t="str">
        <f ca="1">_xlfn.FORMULATEXT(표1[[#This Row],[Q''ty]])</f>
        <v>=F354</v>
      </c>
    </row>
    <row r="454" spans="1:8" ht="15" hidden="1" customHeight="1" x14ac:dyDescent="0.4">
      <c r="A454" s="6">
        <v>2026</v>
      </c>
      <c r="B454" s="6">
        <f t="shared" si="40"/>
        <v>5</v>
      </c>
      <c r="C454" s="13" t="s">
        <v>26</v>
      </c>
      <c r="D454" s="2" t="s">
        <v>6</v>
      </c>
      <c r="E454" s="14" t="s">
        <v>8</v>
      </c>
      <c r="F454" s="22">
        <f t="shared" si="46"/>
        <v>4</v>
      </c>
      <c r="H454" s="5" t="str">
        <f ca="1">_xlfn.FORMULATEXT(표1[[#This Row],[Q''ty]])</f>
        <v>=F355</v>
      </c>
    </row>
    <row r="455" spans="1:8" ht="15" hidden="1" customHeight="1" x14ac:dyDescent="0.4">
      <c r="A455" s="6">
        <v>2026</v>
      </c>
      <c r="B455" s="6">
        <f t="shared" si="40"/>
        <v>5</v>
      </c>
      <c r="C455" s="13" t="s">
        <v>26</v>
      </c>
      <c r="D455" s="2" t="s">
        <v>6</v>
      </c>
      <c r="E455" s="14" t="s">
        <v>9</v>
      </c>
      <c r="F455" s="22">
        <f t="shared" si="46"/>
        <v>2</v>
      </c>
      <c r="H455" s="5" t="str">
        <f ca="1">_xlfn.FORMULATEXT(표1[[#This Row],[Q''ty]])</f>
        <v>=F356</v>
      </c>
    </row>
    <row r="456" spans="1:8" ht="15" hidden="1" customHeight="1" x14ac:dyDescent="0.4">
      <c r="A456" s="6">
        <v>2026</v>
      </c>
      <c r="B456" s="6">
        <f t="shared" si="40"/>
        <v>5</v>
      </c>
      <c r="C456" s="13" t="s">
        <v>26</v>
      </c>
      <c r="D456" s="2" t="s">
        <v>6</v>
      </c>
      <c r="E456" s="14" t="s">
        <v>27</v>
      </c>
      <c r="F456" s="22">
        <f t="shared" si="46"/>
        <v>3</v>
      </c>
      <c r="H456" s="5" t="str">
        <f ca="1">_xlfn.FORMULATEXT(표1[[#This Row],[Q''ty]])</f>
        <v>=F357</v>
      </c>
    </row>
    <row r="457" spans="1:8" ht="15" hidden="1" customHeight="1" x14ac:dyDescent="0.4">
      <c r="A457" s="6">
        <v>2026</v>
      </c>
      <c r="B457" s="6">
        <f t="shared" si="40"/>
        <v>5</v>
      </c>
      <c r="C457" s="13" t="s">
        <v>26</v>
      </c>
      <c r="D457" s="2" t="s">
        <v>6</v>
      </c>
      <c r="E457" s="14" t="s">
        <v>10</v>
      </c>
      <c r="F457" s="22">
        <f t="shared" si="46"/>
        <v>4</v>
      </c>
      <c r="H457" s="5" t="str">
        <f ca="1">_xlfn.FORMULATEXT(표1[[#This Row],[Q''ty]])</f>
        <v>=F358</v>
      </c>
    </row>
    <row r="458" spans="1:8" ht="15" hidden="1" customHeight="1" x14ac:dyDescent="0.4">
      <c r="A458" s="6">
        <v>2026</v>
      </c>
      <c r="B458" s="6">
        <f t="shared" si="40"/>
        <v>5</v>
      </c>
      <c r="C458" s="13" t="s">
        <v>26</v>
      </c>
      <c r="D458" s="2" t="s">
        <v>6</v>
      </c>
      <c r="E458" s="14" t="s">
        <v>11</v>
      </c>
      <c r="F458" s="22">
        <f t="shared" si="46"/>
        <v>6</v>
      </c>
      <c r="H458" s="5" t="str">
        <f ca="1">_xlfn.FORMULATEXT(표1[[#This Row],[Q''ty]])</f>
        <v>=F359</v>
      </c>
    </row>
    <row r="459" spans="1:8" ht="15" hidden="1" customHeight="1" x14ac:dyDescent="0.4">
      <c r="A459" s="6">
        <v>2026</v>
      </c>
      <c r="B459" s="6">
        <f t="shared" si="40"/>
        <v>5</v>
      </c>
      <c r="C459" s="13" t="s">
        <v>26</v>
      </c>
      <c r="D459" s="2" t="s">
        <v>12</v>
      </c>
      <c r="E459" s="14" t="str">
        <f t="shared" ref="E459:E496" si="47">E360</f>
        <v>BT GT</v>
      </c>
      <c r="F459" s="22">
        <v>19</v>
      </c>
      <c r="H459" s="5" t="e">
        <f ca="1">_xlfn.FORMULATEXT(표1[[#This Row],[Q''ty]])</f>
        <v>#N/A</v>
      </c>
    </row>
    <row r="460" spans="1:8" ht="15" hidden="1" customHeight="1" x14ac:dyDescent="0.4">
      <c r="A460" s="6">
        <v>2026</v>
      </c>
      <c r="B460" s="6">
        <f t="shared" si="40"/>
        <v>5</v>
      </c>
      <c r="C460" s="13" t="s">
        <v>26</v>
      </c>
      <c r="D460" s="2" t="s">
        <v>12</v>
      </c>
      <c r="E460" s="14" t="str">
        <f t="shared" si="47"/>
        <v>WT GT</v>
      </c>
      <c r="F460" s="22">
        <v>18</v>
      </c>
      <c r="H460" s="5" t="e">
        <f ca="1">_xlfn.FORMULATEXT(표1[[#This Row],[Q''ty]])</f>
        <v>#N/A</v>
      </c>
    </row>
    <row r="461" spans="1:8" ht="15" hidden="1" customHeight="1" x14ac:dyDescent="0.4">
      <c r="A461" s="6">
        <v>2026</v>
      </c>
      <c r="B461" s="6">
        <f t="shared" si="40"/>
        <v>5</v>
      </c>
      <c r="C461" s="13" t="s">
        <v>26</v>
      </c>
      <c r="D461" s="2" t="s">
        <v>12</v>
      </c>
      <c r="E461" s="14" t="str">
        <f t="shared" si="47"/>
        <v>Bending</v>
      </c>
      <c r="F461" s="22">
        <v>113</v>
      </c>
      <c r="H461" s="5" t="e">
        <f ca="1">_xlfn.FORMULATEXT(표1[[#This Row],[Q''ty]])</f>
        <v>#N/A</v>
      </c>
    </row>
    <row r="462" spans="1:8" ht="15" hidden="1" customHeight="1" x14ac:dyDescent="0.4">
      <c r="A462" s="6">
        <v>2026</v>
      </c>
      <c r="B462" s="6">
        <f t="shared" si="40"/>
        <v>5</v>
      </c>
      <c r="C462" s="13" t="s">
        <v>26</v>
      </c>
      <c r="D462" s="2" t="s">
        <v>12</v>
      </c>
      <c r="E462" s="14" t="str">
        <f t="shared" si="47"/>
        <v>L/W</v>
      </c>
      <c r="F462" s="22">
        <v>117</v>
      </c>
      <c r="H462" s="5" t="e">
        <f ca="1">_xlfn.FORMULATEXT(표1[[#This Row],[Q''ty]])</f>
        <v>#N/A</v>
      </c>
    </row>
    <row r="463" spans="1:8" ht="15" hidden="1" customHeight="1" thickBot="1" x14ac:dyDescent="0.45">
      <c r="A463" s="15">
        <v>2026</v>
      </c>
      <c r="B463" s="15">
        <f t="shared" ref="B463:B496" si="48">B364+1</f>
        <v>5</v>
      </c>
      <c r="C463" s="16" t="s">
        <v>26</v>
      </c>
      <c r="D463" s="17" t="s">
        <v>12</v>
      </c>
      <c r="E463" s="18" t="str">
        <f t="shared" si="47"/>
        <v>C/W</v>
      </c>
      <c r="F463" s="23">
        <v>109</v>
      </c>
      <c r="H463" s="5" t="e">
        <f ca="1">_xlfn.FORMULATEXT(표1[[#This Row],[Q''ty]])</f>
        <v>#N/A</v>
      </c>
    </row>
    <row r="464" spans="1:8" ht="15" hidden="1" customHeight="1" thickTop="1" x14ac:dyDescent="0.4">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hidden="1" customHeight="1" x14ac:dyDescent="0.4">
      <c r="A465" s="6">
        <v>2026</v>
      </c>
      <c r="B465" s="6">
        <f t="shared" si="48"/>
        <v>5</v>
      </c>
      <c r="C465" s="13" t="s">
        <v>20</v>
      </c>
      <c r="D465" s="2" t="s">
        <v>6</v>
      </c>
      <c r="E465" s="14" t="str">
        <f t="shared" si="47"/>
        <v>Paint Booth</v>
      </c>
      <c r="F465" s="22">
        <f t="shared" si="49"/>
        <v>16</v>
      </c>
      <c r="H465" s="5" t="str">
        <f ca="1">_xlfn.FORMULATEXT(표1[[#This Row],[Q''ty]])</f>
        <v>=F366</v>
      </c>
    </row>
    <row r="466" spans="1:8" ht="15" hidden="1" customHeight="1" x14ac:dyDescent="0.4">
      <c r="A466" s="6">
        <v>2026</v>
      </c>
      <c r="B466" s="6">
        <f t="shared" si="48"/>
        <v>5</v>
      </c>
      <c r="C466" s="13" t="s">
        <v>20</v>
      </c>
      <c r="D466" s="2" t="s">
        <v>6</v>
      </c>
      <c r="E466" s="14" t="str">
        <f t="shared" si="47"/>
        <v>Paint Line</v>
      </c>
      <c r="F466" s="22">
        <f t="shared" si="49"/>
        <v>8</v>
      </c>
      <c r="H466" s="5" t="str">
        <f ca="1">_xlfn.FORMULATEXT(표1[[#This Row],[Q''ty]])</f>
        <v>=F367</v>
      </c>
    </row>
    <row r="467" spans="1:8" ht="15" hidden="1" customHeight="1" x14ac:dyDescent="0.4">
      <c r="A467" s="6">
        <v>2026</v>
      </c>
      <c r="B467" s="6">
        <f t="shared" si="48"/>
        <v>5</v>
      </c>
      <c r="C467" s="13" t="s">
        <v>20</v>
      </c>
      <c r="D467" s="2" t="s">
        <v>6</v>
      </c>
      <c r="E467" s="14" t="str">
        <f t="shared" si="47"/>
        <v>Roll Bending Machine</v>
      </c>
      <c r="F467" s="22">
        <f t="shared" si="49"/>
        <v>6</v>
      </c>
      <c r="H467" s="5" t="str">
        <f ca="1">_xlfn.FORMULATEXT(표1[[#This Row],[Q''ty]])</f>
        <v>=F368</v>
      </c>
    </row>
    <row r="468" spans="1:8" ht="15" hidden="1" customHeight="1" x14ac:dyDescent="0.4">
      <c r="A468" s="6">
        <v>2026</v>
      </c>
      <c r="B468" s="6">
        <f t="shared" si="48"/>
        <v>5</v>
      </c>
      <c r="C468" s="13" t="s">
        <v>20</v>
      </c>
      <c r="D468" s="2" t="s">
        <v>6</v>
      </c>
      <c r="E468" s="14" t="str">
        <f t="shared" si="47"/>
        <v>L/W Machine</v>
      </c>
      <c r="F468" s="22">
        <f t="shared" si="49"/>
        <v>11</v>
      </c>
      <c r="H468" s="5" t="str">
        <f ca="1">_xlfn.FORMULATEXT(표1[[#This Row],[Q''ty]])</f>
        <v>=F369</v>
      </c>
    </row>
    <row r="469" spans="1:8" ht="15" hidden="1" customHeight="1" x14ac:dyDescent="0.4">
      <c r="A469" s="6">
        <v>2026</v>
      </c>
      <c r="B469" s="6">
        <f t="shared" si="48"/>
        <v>5</v>
      </c>
      <c r="C469" s="13" t="s">
        <v>20</v>
      </c>
      <c r="D469" s="2" t="s">
        <v>6</v>
      </c>
      <c r="E469" s="14" t="str">
        <f t="shared" si="47"/>
        <v>C/W Machine</v>
      </c>
      <c r="F469" s="22">
        <f t="shared" si="49"/>
        <v>15</v>
      </c>
      <c r="H469" s="5" t="str">
        <f ca="1">_xlfn.FORMULATEXT(표1[[#This Row],[Q''ty]])</f>
        <v>=F370</v>
      </c>
    </row>
    <row r="470" spans="1:8" ht="15" hidden="1" customHeight="1" x14ac:dyDescent="0.4">
      <c r="A470" s="6">
        <v>2026</v>
      </c>
      <c r="B470" s="6">
        <f t="shared" si="48"/>
        <v>5</v>
      </c>
      <c r="C470" s="13" t="s">
        <v>20</v>
      </c>
      <c r="D470" s="2" t="s">
        <v>12</v>
      </c>
      <c r="E470" s="14" t="str">
        <f t="shared" si="47"/>
        <v>BT GT</v>
      </c>
      <c r="F470" s="22">
        <v>68</v>
      </c>
      <c r="H470" s="5" t="e">
        <f ca="1">_xlfn.FORMULATEXT(표1[[#This Row],[Q''ty]])</f>
        <v>#N/A</v>
      </c>
    </row>
    <row r="471" spans="1:8" ht="15" hidden="1" customHeight="1" x14ac:dyDescent="0.4">
      <c r="A471" s="6">
        <v>2026</v>
      </c>
      <c r="B471" s="6">
        <f t="shared" si="48"/>
        <v>5</v>
      </c>
      <c r="C471" s="13" t="s">
        <v>20</v>
      </c>
      <c r="D471" s="2" t="s">
        <v>12</v>
      </c>
      <c r="E471" s="14" t="str">
        <f t="shared" si="47"/>
        <v>WT GT</v>
      </c>
      <c r="F471" s="22">
        <v>66</v>
      </c>
      <c r="H471" s="5" t="e">
        <f ca="1">_xlfn.FORMULATEXT(표1[[#This Row],[Q''ty]])</f>
        <v>#N/A</v>
      </c>
    </row>
    <row r="472" spans="1:8" ht="15" hidden="1" customHeight="1" x14ac:dyDescent="0.4">
      <c r="A472" s="6">
        <v>2026</v>
      </c>
      <c r="B472" s="6">
        <f t="shared" si="48"/>
        <v>5</v>
      </c>
      <c r="C472" s="13" t="s">
        <v>20</v>
      </c>
      <c r="D472" s="2" t="s">
        <v>12</v>
      </c>
      <c r="E472" s="14" t="str">
        <f t="shared" si="47"/>
        <v>Bending</v>
      </c>
      <c r="F472" s="22">
        <v>581</v>
      </c>
      <c r="H472" s="5" t="e">
        <f ca="1">_xlfn.FORMULATEXT(표1[[#This Row],[Q''ty]])</f>
        <v>#N/A</v>
      </c>
    </row>
    <row r="473" spans="1:8" ht="15" hidden="1" customHeight="1" x14ac:dyDescent="0.4">
      <c r="A473" s="6">
        <v>2026</v>
      </c>
      <c r="B473" s="6">
        <f t="shared" si="48"/>
        <v>5</v>
      </c>
      <c r="C473" s="13" t="s">
        <v>20</v>
      </c>
      <c r="D473" s="2" t="s">
        <v>12</v>
      </c>
      <c r="E473" s="14" t="str">
        <f t="shared" si="47"/>
        <v>L/W</v>
      </c>
      <c r="F473" s="22">
        <v>577</v>
      </c>
      <c r="H473" s="5" t="e">
        <f ca="1">_xlfn.FORMULATEXT(표1[[#This Row],[Q''ty]])</f>
        <v>#N/A</v>
      </c>
    </row>
    <row r="474" spans="1:8" ht="15" hidden="1" customHeight="1" thickBot="1" x14ac:dyDescent="0.45">
      <c r="A474" s="15">
        <v>2026</v>
      </c>
      <c r="B474" s="15">
        <f t="shared" si="48"/>
        <v>5</v>
      </c>
      <c r="C474" s="16" t="s">
        <v>20</v>
      </c>
      <c r="D474" s="17" t="s">
        <v>12</v>
      </c>
      <c r="E474" s="18" t="str">
        <f t="shared" si="47"/>
        <v>C/W</v>
      </c>
      <c r="F474" s="23">
        <v>540</v>
      </c>
      <c r="H474" s="5" t="e">
        <f ca="1">_xlfn.FORMULATEXT(표1[[#This Row],[Q''ty]])</f>
        <v>#N/A</v>
      </c>
    </row>
    <row r="475" spans="1:8" ht="15" hidden="1" customHeight="1" thickTop="1" x14ac:dyDescent="0.4">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hidden="1" customHeight="1" x14ac:dyDescent="0.4">
      <c r="A476" s="6">
        <v>2026</v>
      </c>
      <c r="B476" s="6">
        <f t="shared" si="48"/>
        <v>5</v>
      </c>
      <c r="C476" s="13" t="s">
        <v>21</v>
      </c>
      <c r="D476" s="2" t="s">
        <v>6</v>
      </c>
      <c r="E476" s="14" t="str">
        <f t="shared" si="47"/>
        <v>Paint Booth</v>
      </c>
      <c r="F476" s="22">
        <f t="shared" si="50"/>
        <v>4</v>
      </c>
      <c r="H476" s="5" t="str">
        <f ca="1">_xlfn.FORMULATEXT(표1[[#This Row],[Q''ty]])</f>
        <v>=F377</v>
      </c>
    </row>
    <row r="477" spans="1:8" ht="15" hidden="1" customHeight="1" x14ac:dyDescent="0.4">
      <c r="A477" s="6">
        <v>2026</v>
      </c>
      <c r="B477" s="6">
        <f t="shared" si="48"/>
        <v>5</v>
      </c>
      <c r="C477" s="13" t="s">
        <v>21</v>
      </c>
      <c r="D477" s="2" t="s">
        <v>6</v>
      </c>
      <c r="E477" s="14" t="str">
        <f t="shared" si="47"/>
        <v>Paint Line</v>
      </c>
      <c r="F477" s="22">
        <f t="shared" si="50"/>
        <v>4</v>
      </c>
      <c r="H477" s="5" t="str">
        <f ca="1">_xlfn.FORMULATEXT(표1[[#This Row],[Q''ty]])</f>
        <v>=F378</v>
      </c>
    </row>
    <row r="478" spans="1:8" ht="15" hidden="1" customHeight="1" x14ac:dyDescent="0.4">
      <c r="A478" s="6">
        <v>2026</v>
      </c>
      <c r="B478" s="6">
        <f t="shared" si="48"/>
        <v>5</v>
      </c>
      <c r="C478" s="13" t="s">
        <v>21</v>
      </c>
      <c r="D478" s="2" t="s">
        <v>6</v>
      </c>
      <c r="E478" s="14" t="str">
        <f t="shared" si="47"/>
        <v>Roll Bending Machine</v>
      </c>
      <c r="F478" s="22">
        <f t="shared" si="50"/>
        <v>3</v>
      </c>
      <c r="H478" s="5" t="str">
        <f ca="1">_xlfn.FORMULATEXT(표1[[#This Row],[Q''ty]])</f>
        <v>=F379</v>
      </c>
    </row>
    <row r="479" spans="1:8" ht="15" hidden="1" customHeight="1" x14ac:dyDescent="0.4">
      <c r="A479" s="6">
        <v>2026</v>
      </c>
      <c r="B479" s="6">
        <f t="shared" si="48"/>
        <v>5</v>
      </c>
      <c r="C479" s="13" t="s">
        <v>21</v>
      </c>
      <c r="D479" s="2" t="s">
        <v>6</v>
      </c>
      <c r="E479" s="14" t="str">
        <f t="shared" si="47"/>
        <v>L/W Machine</v>
      </c>
      <c r="F479" s="22">
        <f t="shared" si="50"/>
        <v>4</v>
      </c>
      <c r="H479" s="5" t="str">
        <f ca="1">_xlfn.FORMULATEXT(표1[[#This Row],[Q''ty]])</f>
        <v>=F380</v>
      </c>
    </row>
    <row r="480" spans="1:8" ht="15" hidden="1" customHeight="1" x14ac:dyDescent="0.4">
      <c r="A480" s="6">
        <v>2026</v>
      </c>
      <c r="B480" s="6">
        <f t="shared" si="48"/>
        <v>5</v>
      </c>
      <c r="C480" s="13" t="s">
        <v>21</v>
      </c>
      <c r="D480" s="2" t="s">
        <v>6</v>
      </c>
      <c r="E480" s="14" t="str">
        <f t="shared" si="47"/>
        <v>C/W Machine</v>
      </c>
      <c r="F480" s="22">
        <f t="shared" si="50"/>
        <v>6.5</v>
      </c>
      <c r="H480" s="5" t="str">
        <f ca="1">_xlfn.FORMULATEXT(표1[[#This Row],[Q''ty]])</f>
        <v>=F381</v>
      </c>
    </row>
    <row r="481" spans="1:8" ht="15" hidden="1" customHeight="1" x14ac:dyDescent="0.4">
      <c r="A481" s="6">
        <v>2026</v>
      </c>
      <c r="B481" s="6">
        <f t="shared" si="48"/>
        <v>5</v>
      </c>
      <c r="C481" s="13" t="s">
        <v>21</v>
      </c>
      <c r="D481" s="2" t="s">
        <v>12</v>
      </c>
      <c r="E481" s="14" t="str">
        <f t="shared" si="47"/>
        <v>BT GT</v>
      </c>
      <c r="F481" s="22">
        <v>15</v>
      </c>
      <c r="H481" s="5" t="e">
        <f ca="1">_xlfn.FORMULATEXT(표1[[#This Row],[Q''ty]])</f>
        <v>#N/A</v>
      </c>
    </row>
    <row r="482" spans="1:8" ht="15" hidden="1" customHeight="1" x14ac:dyDescent="0.4">
      <c r="A482" s="6">
        <v>2026</v>
      </c>
      <c r="B482" s="6">
        <f t="shared" si="48"/>
        <v>5</v>
      </c>
      <c r="C482" s="13" t="s">
        <v>21</v>
      </c>
      <c r="D482" s="2" t="s">
        <v>12</v>
      </c>
      <c r="E482" s="14" t="str">
        <f t="shared" si="47"/>
        <v>WT GT</v>
      </c>
      <c r="F482" s="22">
        <v>13</v>
      </c>
      <c r="H482" s="5" t="e">
        <f ca="1">_xlfn.FORMULATEXT(표1[[#This Row],[Q''ty]])</f>
        <v>#N/A</v>
      </c>
    </row>
    <row r="483" spans="1:8" ht="15" hidden="1" customHeight="1" x14ac:dyDescent="0.4">
      <c r="A483" s="6">
        <v>2026</v>
      </c>
      <c r="B483" s="6">
        <f t="shared" si="48"/>
        <v>5</v>
      </c>
      <c r="C483" s="13" t="s">
        <v>21</v>
      </c>
      <c r="D483" s="2" t="s">
        <v>12</v>
      </c>
      <c r="E483" s="14" t="str">
        <f t="shared" si="47"/>
        <v>Bending</v>
      </c>
      <c r="F483" s="22">
        <v>126</v>
      </c>
      <c r="H483" s="5" t="e">
        <f ca="1">_xlfn.FORMULATEXT(표1[[#This Row],[Q''ty]])</f>
        <v>#N/A</v>
      </c>
    </row>
    <row r="484" spans="1:8" ht="15" hidden="1" customHeight="1" x14ac:dyDescent="0.4">
      <c r="A484" s="6">
        <v>2026</v>
      </c>
      <c r="B484" s="6">
        <f t="shared" si="48"/>
        <v>5</v>
      </c>
      <c r="C484" s="13" t="s">
        <v>21</v>
      </c>
      <c r="D484" s="2" t="s">
        <v>12</v>
      </c>
      <c r="E484" s="14" t="str">
        <f t="shared" si="47"/>
        <v>L/W</v>
      </c>
      <c r="F484" s="22">
        <v>119</v>
      </c>
      <c r="H484" s="5" t="e">
        <f ca="1">_xlfn.FORMULATEXT(표1[[#This Row],[Q''ty]])</f>
        <v>#N/A</v>
      </c>
    </row>
    <row r="485" spans="1:8" ht="15" hidden="1" customHeight="1" thickBot="1" x14ac:dyDescent="0.45">
      <c r="A485" s="15">
        <v>2026</v>
      </c>
      <c r="B485" s="15">
        <f t="shared" si="48"/>
        <v>5</v>
      </c>
      <c r="C485" s="16" t="s">
        <v>21</v>
      </c>
      <c r="D485" s="17" t="s">
        <v>12</v>
      </c>
      <c r="E485" s="18" t="str">
        <f t="shared" si="47"/>
        <v>C/W</v>
      </c>
      <c r="F485" s="23">
        <v>140</v>
      </c>
      <c r="H485" s="5" t="e">
        <f ca="1">_xlfn.FORMULATEXT(표1[[#This Row],[Q''ty]])</f>
        <v>#N/A</v>
      </c>
    </row>
    <row r="486" spans="1:8" ht="15" hidden="1" customHeight="1" thickTop="1" x14ac:dyDescent="0.4">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hidden="1" customHeight="1" x14ac:dyDescent="0.4">
      <c r="A487" s="6">
        <v>2026</v>
      </c>
      <c r="B487" s="6">
        <f t="shared" si="48"/>
        <v>5</v>
      </c>
      <c r="C487" s="13" t="s">
        <v>22</v>
      </c>
      <c r="D487" s="2" t="s">
        <v>6</v>
      </c>
      <c r="E487" s="14" t="str">
        <f t="shared" si="47"/>
        <v>Paint Booth</v>
      </c>
      <c r="F487" s="22">
        <f t="shared" si="51"/>
        <v>6</v>
      </c>
      <c r="H487" s="5" t="str">
        <f ca="1">_xlfn.FORMULATEXT(표1[[#This Row],[Q''ty]])</f>
        <v>=F388</v>
      </c>
    </row>
    <row r="488" spans="1:8" ht="15" hidden="1" customHeight="1" x14ac:dyDescent="0.4">
      <c r="A488" s="6">
        <v>2026</v>
      </c>
      <c r="B488" s="6">
        <f t="shared" si="48"/>
        <v>5</v>
      </c>
      <c r="C488" s="13" t="s">
        <v>22</v>
      </c>
      <c r="D488" s="2" t="s">
        <v>6</v>
      </c>
      <c r="E488" s="14" t="str">
        <f t="shared" si="47"/>
        <v>Paint Line</v>
      </c>
      <c r="F488" s="22">
        <f t="shared" si="51"/>
        <v>4</v>
      </c>
      <c r="H488" s="5" t="str">
        <f ca="1">_xlfn.FORMULATEXT(표1[[#This Row],[Q''ty]])</f>
        <v>=F389</v>
      </c>
    </row>
    <row r="489" spans="1:8" ht="15" hidden="1" customHeight="1" x14ac:dyDescent="0.4">
      <c r="A489" s="6">
        <v>2026</v>
      </c>
      <c r="B489" s="6">
        <f t="shared" si="48"/>
        <v>5</v>
      </c>
      <c r="C489" s="13" t="s">
        <v>22</v>
      </c>
      <c r="D489" s="2" t="s">
        <v>6</v>
      </c>
      <c r="E489" s="14" t="str">
        <f t="shared" si="47"/>
        <v>Roll Bending Machine</v>
      </c>
      <c r="F489" s="22">
        <f t="shared" si="51"/>
        <v>4</v>
      </c>
      <c r="H489" s="5" t="str">
        <f ca="1">_xlfn.FORMULATEXT(표1[[#This Row],[Q''ty]])</f>
        <v>=F390</v>
      </c>
    </row>
    <row r="490" spans="1:8" ht="15" hidden="1" customHeight="1" x14ac:dyDescent="0.4">
      <c r="A490" s="6">
        <v>2026</v>
      </c>
      <c r="B490" s="6">
        <f t="shared" si="48"/>
        <v>5</v>
      </c>
      <c r="C490" s="13" t="s">
        <v>22</v>
      </c>
      <c r="D490" s="2" t="s">
        <v>6</v>
      </c>
      <c r="E490" s="14" t="str">
        <f t="shared" si="47"/>
        <v>L/W Machine</v>
      </c>
      <c r="F490" s="22">
        <f t="shared" si="51"/>
        <v>7</v>
      </c>
      <c r="H490" s="5" t="str">
        <f ca="1">_xlfn.FORMULATEXT(표1[[#This Row],[Q''ty]])</f>
        <v>=F391</v>
      </c>
    </row>
    <row r="491" spans="1:8" ht="15" hidden="1" customHeight="1" x14ac:dyDescent="0.4">
      <c r="A491" s="6">
        <v>2026</v>
      </c>
      <c r="B491" s="6">
        <f t="shared" si="48"/>
        <v>5</v>
      </c>
      <c r="C491" s="13" t="s">
        <v>22</v>
      </c>
      <c r="D491" s="2" t="s">
        <v>6</v>
      </c>
      <c r="E491" s="14" t="str">
        <f t="shared" si="47"/>
        <v>C/W Machine</v>
      </c>
      <c r="F491" s="22">
        <f t="shared" si="51"/>
        <v>12.5</v>
      </c>
      <c r="H491" s="5" t="str">
        <f ca="1">_xlfn.FORMULATEXT(표1[[#This Row],[Q''ty]])</f>
        <v>=F392</v>
      </c>
    </row>
    <row r="492" spans="1:8" ht="15" hidden="1" customHeight="1" x14ac:dyDescent="0.4">
      <c r="A492" s="6">
        <v>2026</v>
      </c>
      <c r="B492" s="6">
        <f t="shared" si="48"/>
        <v>5</v>
      </c>
      <c r="C492" s="13" t="s">
        <v>22</v>
      </c>
      <c r="D492" s="2" t="s">
        <v>12</v>
      </c>
      <c r="E492" s="14" t="str">
        <f t="shared" si="47"/>
        <v>BT GT</v>
      </c>
      <c r="F492" s="22">
        <v>12</v>
      </c>
      <c r="H492" s="5" t="e">
        <f ca="1">_xlfn.FORMULATEXT(표1[[#This Row],[Q''ty]])</f>
        <v>#N/A</v>
      </c>
    </row>
    <row r="493" spans="1:8" ht="15" hidden="1" customHeight="1" x14ac:dyDescent="0.4">
      <c r="A493" s="6">
        <v>2026</v>
      </c>
      <c r="B493" s="6">
        <f t="shared" si="48"/>
        <v>5</v>
      </c>
      <c r="C493" s="13" t="s">
        <v>22</v>
      </c>
      <c r="D493" s="2" t="s">
        <v>12</v>
      </c>
      <c r="E493" s="14" t="str">
        <f t="shared" si="47"/>
        <v>WT GT</v>
      </c>
      <c r="F493" s="22">
        <v>10</v>
      </c>
      <c r="H493" s="5" t="e">
        <f ca="1">_xlfn.FORMULATEXT(표1[[#This Row],[Q''ty]])</f>
        <v>#N/A</v>
      </c>
    </row>
    <row r="494" spans="1:8" ht="15" hidden="1" customHeight="1" x14ac:dyDescent="0.4">
      <c r="A494" s="6">
        <v>2026</v>
      </c>
      <c r="B494" s="6">
        <f t="shared" si="48"/>
        <v>5</v>
      </c>
      <c r="C494" s="13" t="s">
        <v>22</v>
      </c>
      <c r="D494" s="2" t="s">
        <v>12</v>
      </c>
      <c r="E494" s="14" t="str">
        <f t="shared" si="47"/>
        <v>Bending</v>
      </c>
      <c r="F494" s="22">
        <v>115</v>
      </c>
      <c r="H494" s="5" t="e">
        <f ca="1">_xlfn.FORMULATEXT(표1[[#This Row],[Q''ty]])</f>
        <v>#N/A</v>
      </c>
    </row>
    <row r="495" spans="1:8" ht="15" hidden="1" customHeight="1" x14ac:dyDescent="0.4">
      <c r="A495" s="6">
        <v>2026</v>
      </c>
      <c r="B495" s="6">
        <f t="shared" si="48"/>
        <v>5</v>
      </c>
      <c r="C495" s="13" t="s">
        <v>22</v>
      </c>
      <c r="D495" s="2" t="s">
        <v>12</v>
      </c>
      <c r="E495" s="14" t="str">
        <f t="shared" si="47"/>
        <v>L/W</v>
      </c>
      <c r="F495" s="22">
        <v>117</v>
      </c>
      <c r="H495" s="5" t="e">
        <f ca="1">_xlfn.FORMULATEXT(표1[[#This Row],[Q''ty]])</f>
        <v>#N/A</v>
      </c>
    </row>
    <row r="496" spans="1:8" ht="15" hidden="1" customHeight="1" thickBot="1" x14ac:dyDescent="0.45">
      <c r="A496" s="6">
        <v>2026</v>
      </c>
      <c r="B496" s="6">
        <f t="shared" si="48"/>
        <v>5</v>
      </c>
      <c r="C496" s="13" t="s">
        <v>22</v>
      </c>
      <c r="D496" s="2" t="s">
        <v>12</v>
      </c>
      <c r="E496" s="14" t="str">
        <f t="shared" si="47"/>
        <v>C/W</v>
      </c>
      <c r="F496" s="22">
        <v>107</v>
      </c>
      <c r="H496" s="5" t="e">
        <f ca="1">_xlfn.FORMULATEXT(표1[[#This Row],[Q''ty]])</f>
        <v>#N/A</v>
      </c>
    </row>
    <row r="497" spans="1:10" ht="15" hidden="1" customHeight="1" thickTop="1" x14ac:dyDescent="0.4">
      <c r="A497" s="9">
        <v>2026</v>
      </c>
      <c r="B497" s="9">
        <f t="shared" ref="B497:B528" si="52">B398+1</f>
        <v>6</v>
      </c>
      <c r="C497" s="10" t="s">
        <v>28</v>
      </c>
      <c r="D497" s="11" t="s">
        <v>6</v>
      </c>
      <c r="E497" s="12" t="s">
        <v>7</v>
      </c>
      <c r="F497" s="21">
        <f t="shared" ref="F497:F502" si="53">F398</f>
        <v>15</v>
      </c>
      <c r="H497" s="5" t="str">
        <f ca="1">_xlfn.FORMULATEXT(표1[[#This Row],[Q''ty]])</f>
        <v>=F398</v>
      </c>
    </row>
    <row r="498" spans="1:10" s="2" customFormat="1" ht="15" hidden="1" customHeight="1" x14ac:dyDescent="0.4">
      <c r="A498" s="6">
        <v>2026</v>
      </c>
      <c r="B498" s="6">
        <f t="shared" si="52"/>
        <v>6</v>
      </c>
      <c r="C498" s="13" t="s">
        <v>23</v>
      </c>
      <c r="D498" s="2" t="s">
        <v>6</v>
      </c>
      <c r="E498" s="14" t="s">
        <v>8</v>
      </c>
      <c r="F498" s="22">
        <f t="shared" si="53"/>
        <v>10</v>
      </c>
      <c r="H498" s="5" t="str">
        <f ca="1">_xlfn.FORMULATEXT(표1[[#This Row],[Q''ty]])</f>
        <v>=F399</v>
      </c>
      <c r="I498" s="26"/>
      <c r="J498" s="26"/>
    </row>
    <row r="499" spans="1:10" s="2" customFormat="1" ht="15" hidden="1" customHeight="1" x14ac:dyDescent="0.4">
      <c r="A499" s="6">
        <v>2026</v>
      </c>
      <c r="B499" s="6">
        <f t="shared" si="52"/>
        <v>6</v>
      </c>
      <c r="C499" s="13" t="s">
        <v>23</v>
      </c>
      <c r="D499" s="2" t="s">
        <v>6</v>
      </c>
      <c r="E499" s="14" t="s">
        <v>9</v>
      </c>
      <c r="F499" s="22">
        <f t="shared" si="53"/>
        <v>5</v>
      </c>
      <c r="H499" s="5" t="str">
        <f ca="1">_xlfn.FORMULATEXT(표1[[#This Row],[Q''ty]])</f>
        <v>=F400</v>
      </c>
      <c r="I499" s="26"/>
      <c r="J499" s="26"/>
    </row>
    <row r="500" spans="1:10" ht="15" hidden="1" customHeight="1" x14ac:dyDescent="0.4">
      <c r="A500" s="6">
        <v>2026</v>
      </c>
      <c r="B500" s="6">
        <f t="shared" si="52"/>
        <v>6</v>
      </c>
      <c r="C500" s="13" t="s">
        <v>23</v>
      </c>
      <c r="D500" s="2" t="s">
        <v>6</v>
      </c>
      <c r="E500" s="14" t="s">
        <v>27</v>
      </c>
      <c r="F500" s="22">
        <f t="shared" si="53"/>
        <v>6</v>
      </c>
      <c r="H500" s="5" t="str">
        <f ca="1">_xlfn.FORMULATEXT(표1[[#This Row],[Q''ty]])</f>
        <v>=F401</v>
      </c>
    </row>
    <row r="501" spans="1:10" ht="15" hidden="1" customHeight="1" x14ac:dyDescent="0.4">
      <c r="A501" s="6">
        <v>2026</v>
      </c>
      <c r="B501" s="6">
        <f t="shared" si="52"/>
        <v>6</v>
      </c>
      <c r="C501" s="13" t="s">
        <v>23</v>
      </c>
      <c r="D501" s="2" t="s">
        <v>6</v>
      </c>
      <c r="E501" s="14" t="s">
        <v>10</v>
      </c>
      <c r="F501" s="22">
        <f t="shared" si="53"/>
        <v>10</v>
      </c>
      <c r="H501" s="5" t="str">
        <f ca="1">_xlfn.FORMULATEXT(표1[[#This Row],[Q''ty]])</f>
        <v>=F402</v>
      </c>
    </row>
    <row r="502" spans="1:10" ht="15" hidden="1" customHeight="1" x14ac:dyDescent="0.4">
      <c r="A502" s="6">
        <v>2026</v>
      </c>
      <c r="B502" s="6">
        <f t="shared" si="52"/>
        <v>6</v>
      </c>
      <c r="C502" s="13" t="s">
        <v>23</v>
      </c>
      <c r="D502" s="2" t="s">
        <v>6</v>
      </c>
      <c r="E502" s="14" t="s">
        <v>11</v>
      </c>
      <c r="F502" s="22">
        <f t="shared" si="53"/>
        <v>10</v>
      </c>
      <c r="H502" s="5" t="str">
        <f ca="1">_xlfn.FORMULATEXT(표1[[#This Row],[Q''ty]])</f>
        <v>=F403</v>
      </c>
    </row>
    <row r="503" spans="1:10" ht="15" hidden="1" customHeight="1" x14ac:dyDescent="0.4">
      <c r="A503" s="6">
        <v>2026</v>
      </c>
      <c r="B503" s="6">
        <f t="shared" si="52"/>
        <v>6</v>
      </c>
      <c r="C503" s="13" t="s">
        <v>23</v>
      </c>
      <c r="D503" s="2" t="s">
        <v>12</v>
      </c>
      <c r="E503" s="14" t="s">
        <v>13</v>
      </c>
      <c r="F503" s="22">
        <v>12</v>
      </c>
      <c r="H503" s="5" t="e">
        <f ca="1">_xlfn.FORMULATEXT(표1[[#This Row],[Q''ty]])</f>
        <v>#N/A</v>
      </c>
    </row>
    <row r="504" spans="1:10" s="2" customFormat="1" ht="15" hidden="1" customHeight="1" x14ac:dyDescent="0.4">
      <c r="A504" s="6">
        <v>2026</v>
      </c>
      <c r="B504" s="6">
        <f t="shared" si="52"/>
        <v>6</v>
      </c>
      <c r="C504" s="13" t="s">
        <v>23</v>
      </c>
      <c r="D504" s="2" t="s">
        <v>12</v>
      </c>
      <c r="E504" s="14" t="s">
        <v>14</v>
      </c>
      <c r="F504" s="22">
        <v>18</v>
      </c>
      <c r="H504" s="5" t="e">
        <f ca="1">_xlfn.FORMULATEXT(표1[[#This Row],[Q''ty]])</f>
        <v>#N/A</v>
      </c>
      <c r="I504" s="26"/>
      <c r="J504" s="26"/>
    </row>
    <row r="505" spans="1:10" ht="15" hidden="1" customHeight="1" x14ac:dyDescent="0.4">
      <c r="A505" s="6">
        <v>2026</v>
      </c>
      <c r="B505" s="6">
        <f t="shared" si="52"/>
        <v>6</v>
      </c>
      <c r="C505" s="13" t="s">
        <v>23</v>
      </c>
      <c r="D505" s="2" t="s">
        <v>12</v>
      </c>
      <c r="E505" s="14" t="s">
        <v>15</v>
      </c>
      <c r="F505" s="22">
        <v>0</v>
      </c>
      <c r="H505" s="5" t="e">
        <f ca="1">_xlfn.FORMULATEXT(표1[[#This Row],[Q''ty]])</f>
        <v>#N/A</v>
      </c>
    </row>
    <row r="506" spans="1:10" ht="15" hidden="1" customHeight="1" x14ac:dyDescent="0.4">
      <c r="A506" s="6">
        <v>2026</v>
      </c>
      <c r="B506" s="6">
        <f t="shared" si="52"/>
        <v>6</v>
      </c>
      <c r="C506" s="13" t="s">
        <v>23</v>
      </c>
      <c r="D506" s="2" t="s">
        <v>12</v>
      </c>
      <c r="E506" s="14" t="s">
        <v>16</v>
      </c>
      <c r="F506" s="22">
        <v>0</v>
      </c>
      <c r="H506" s="5" t="e">
        <f ca="1">_xlfn.FORMULATEXT(표1[[#This Row],[Q''ty]])</f>
        <v>#N/A</v>
      </c>
    </row>
    <row r="507" spans="1:10" ht="15" hidden="1" customHeight="1" thickBot="1" x14ac:dyDescent="0.45">
      <c r="A507" s="15">
        <v>2026</v>
      </c>
      <c r="B507" s="15">
        <f t="shared" si="52"/>
        <v>6</v>
      </c>
      <c r="C507" s="16" t="s">
        <v>23</v>
      </c>
      <c r="D507" s="17" t="s">
        <v>12</v>
      </c>
      <c r="E507" s="18" t="s">
        <v>17</v>
      </c>
      <c r="F507" s="23">
        <v>22</v>
      </c>
      <c r="H507" s="5" t="e">
        <f ca="1">_xlfn.FORMULATEXT(표1[[#This Row],[Q''ty]])</f>
        <v>#N/A</v>
      </c>
    </row>
    <row r="508" spans="1:10" ht="15" hidden="1" customHeight="1" thickTop="1" x14ac:dyDescent="0.4">
      <c r="A508" s="9">
        <v>2026</v>
      </c>
      <c r="B508" s="9">
        <f t="shared" si="52"/>
        <v>6</v>
      </c>
      <c r="C508" s="10" t="s">
        <v>29</v>
      </c>
      <c r="D508" s="11" t="s">
        <v>6</v>
      </c>
      <c r="E508" s="12" t="s">
        <v>7</v>
      </c>
      <c r="F508" s="21">
        <f t="shared" ref="F508:F513" si="54">F409</f>
        <v>14</v>
      </c>
      <c r="H508" s="5" t="str">
        <f ca="1">_xlfn.FORMULATEXT(표1[[#This Row],[Q''ty]])</f>
        <v>=F409</v>
      </c>
    </row>
    <row r="509" spans="1:10" s="2" customFormat="1" ht="15" hidden="1" customHeight="1" x14ac:dyDescent="0.4">
      <c r="A509" s="6">
        <v>2026</v>
      </c>
      <c r="B509" s="6">
        <f t="shared" si="52"/>
        <v>6</v>
      </c>
      <c r="C509" s="13" t="s">
        <v>24</v>
      </c>
      <c r="D509" s="2" t="s">
        <v>6</v>
      </c>
      <c r="E509" s="14" t="s">
        <v>8</v>
      </c>
      <c r="F509" s="22">
        <f t="shared" si="54"/>
        <v>8</v>
      </c>
      <c r="H509" s="5" t="str">
        <f ca="1">_xlfn.FORMULATEXT(표1[[#This Row],[Q''ty]])</f>
        <v>=F410</v>
      </c>
      <c r="I509" s="26"/>
      <c r="J509" s="26"/>
    </row>
    <row r="510" spans="1:10" s="2" customFormat="1" ht="15" hidden="1" customHeight="1" x14ac:dyDescent="0.4">
      <c r="A510" s="6">
        <v>2026</v>
      </c>
      <c r="B510" s="6">
        <f t="shared" si="52"/>
        <v>6</v>
      </c>
      <c r="C510" s="13" t="s">
        <v>24</v>
      </c>
      <c r="D510" s="2" t="s">
        <v>6</v>
      </c>
      <c r="E510" s="14" t="s">
        <v>9</v>
      </c>
      <c r="F510" s="22">
        <f t="shared" si="54"/>
        <v>4</v>
      </c>
      <c r="H510" s="5" t="str">
        <f ca="1">_xlfn.FORMULATEXT(표1[[#This Row],[Q''ty]])</f>
        <v>=F411</v>
      </c>
      <c r="I510" s="26"/>
      <c r="J510" s="26"/>
    </row>
    <row r="511" spans="1:10" ht="15" hidden="1" customHeight="1" x14ac:dyDescent="0.4">
      <c r="A511" s="6">
        <v>2026</v>
      </c>
      <c r="B511" s="6">
        <f t="shared" si="52"/>
        <v>6</v>
      </c>
      <c r="C511" s="13" t="s">
        <v>24</v>
      </c>
      <c r="D511" s="2" t="s">
        <v>6</v>
      </c>
      <c r="E511" s="14" t="s">
        <v>27</v>
      </c>
      <c r="F511" s="22">
        <f t="shared" si="54"/>
        <v>3</v>
      </c>
      <c r="H511" s="5" t="str">
        <f ca="1">_xlfn.FORMULATEXT(표1[[#This Row],[Q''ty]])</f>
        <v>=F412</v>
      </c>
    </row>
    <row r="512" spans="1:10" ht="15" hidden="1" customHeight="1" x14ac:dyDescent="0.4">
      <c r="A512" s="6">
        <v>2026</v>
      </c>
      <c r="B512" s="6">
        <f t="shared" si="52"/>
        <v>6</v>
      </c>
      <c r="C512" s="13" t="s">
        <v>24</v>
      </c>
      <c r="D512" s="2" t="s">
        <v>6</v>
      </c>
      <c r="E512" s="14" t="s">
        <v>10</v>
      </c>
      <c r="F512" s="22">
        <f t="shared" si="54"/>
        <v>6</v>
      </c>
      <c r="H512" s="5" t="str">
        <f ca="1">_xlfn.FORMULATEXT(표1[[#This Row],[Q''ty]])</f>
        <v>=F413</v>
      </c>
    </row>
    <row r="513" spans="1:10" ht="15" hidden="1" customHeight="1" x14ac:dyDescent="0.4">
      <c r="A513" s="6">
        <v>2026</v>
      </c>
      <c r="B513" s="6">
        <f t="shared" si="52"/>
        <v>6</v>
      </c>
      <c r="C513" s="13" t="s">
        <v>24</v>
      </c>
      <c r="D513" s="2" t="s">
        <v>6</v>
      </c>
      <c r="E513" s="14" t="s">
        <v>11</v>
      </c>
      <c r="F513" s="22">
        <f t="shared" si="54"/>
        <v>8.8000000000000007</v>
      </c>
      <c r="H513" s="5" t="str">
        <f ca="1">_xlfn.FORMULATEXT(표1[[#This Row],[Q''ty]])</f>
        <v>=F414</v>
      </c>
    </row>
    <row r="514" spans="1:10" ht="15" hidden="1" customHeight="1" x14ac:dyDescent="0.4">
      <c r="A514" s="6">
        <v>2026</v>
      </c>
      <c r="B514" s="6">
        <f t="shared" si="52"/>
        <v>6</v>
      </c>
      <c r="C514" s="13" t="s">
        <v>24</v>
      </c>
      <c r="D514" s="2" t="s">
        <v>12</v>
      </c>
      <c r="E514" s="14" t="s">
        <v>13</v>
      </c>
      <c r="F514" s="22">
        <v>12</v>
      </c>
      <c r="H514" s="5" t="e">
        <f ca="1">_xlfn.FORMULATEXT(표1[[#This Row],[Q''ty]])</f>
        <v>#N/A</v>
      </c>
    </row>
    <row r="515" spans="1:10" s="2" customFormat="1" ht="15" hidden="1" customHeight="1" x14ac:dyDescent="0.4">
      <c r="A515" s="6">
        <v>2026</v>
      </c>
      <c r="B515" s="6">
        <f t="shared" si="52"/>
        <v>6</v>
      </c>
      <c r="C515" s="13" t="s">
        <v>24</v>
      </c>
      <c r="D515" s="2" t="s">
        <v>12</v>
      </c>
      <c r="E515" s="14" t="s">
        <v>14</v>
      </c>
      <c r="F515" s="22">
        <v>12</v>
      </c>
      <c r="H515" s="5" t="e">
        <f ca="1">_xlfn.FORMULATEXT(표1[[#This Row],[Q''ty]])</f>
        <v>#N/A</v>
      </c>
      <c r="I515" s="26"/>
      <c r="J515" s="26"/>
    </row>
    <row r="516" spans="1:10" ht="15" hidden="1" customHeight="1" x14ac:dyDescent="0.4">
      <c r="A516" s="6">
        <v>2026</v>
      </c>
      <c r="B516" s="6">
        <f t="shared" si="52"/>
        <v>6</v>
      </c>
      <c r="C516" s="13" t="s">
        <v>24</v>
      </c>
      <c r="D516" s="2" t="s">
        <v>12</v>
      </c>
      <c r="E516" s="14" t="s">
        <v>15</v>
      </c>
      <c r="F516" s="22">
        <v>47</v>
      </c>
      <c r="H516" s="5" t="e">
        <f ca="1">_xlfn.FORMULATEXT(표1[[#This Row],[Q''ty]])</f>
        <v>#N/A</v>
      </c>
    </row>
    <row r="517" spans="1:10" ht="15" hidden="1" customHeight="1" x14ac:dyDescent="0.4">
      <c r="A517" s="6">
        <v>2026</v>
      </c>
      <c r="B517" s="6">
        <f t="shared" si="52"/>
        <v>6</v>
      </c>
      <c r="C517" s="13" t="s">
        <v>24</v>
      </c>
      <c r="D517" s="2" t="s">
        <v>12</v>
      </c>
      <c r="E517" s="14" t="s">
        <v>16</v>
      </c>
      <c r="F517" s="22">
        <v>50</v>
      </c>
      <c r="H517" s="5" t="e">
        <f ca="1">_xlfn.FORMULATEXT(표1[[#This Row],[Q''ty]])</f>
        <v>#N/A</v>
      </c>
    </row>
    <row r="518" spans="1:10" ht="15" hidden="1" customHeight="1" thickBot="1" x14ac:dyDescent="0.45">
      <c r="A518" s="15">
        <v>2026</v>
      </c>
      <c r="B518" s="15">
        <f t="shared" si="52"/>
        <v>6</v>
      </c>
      <c r="C518" s="16" t="s">
        <v>24</v>
      </c>
      <c r="D518" s="17" t="s">
        <v>12</v>
      </c>
      <c r="E518" s="18" t="s">
        <v>17</v>
      </c>
      <c r="F518" s="23">
        <v>65</v>
      </c>
      <c r="H518" s="5" t="e">
        <f ca="1">_xlfn.FORMULATEXT(표1[[#This Row],[Q''ty]])</f>
        <v>#N/A</v>
      </c>
    </row>
    <row r="519" spans="1:10" ht="15" hidden="1" customHeight="1" thickTop="1" x14ac:dyDescent="0.4">
      <c r="A519" s="6">
        <v>2026</v>
      </c>
      <c r="B519" s="6">
        <f t="shared" si="52"/>
        <v>6</v>
      </c>
      <c r="C519" s="13" t="s">
        <v>18</v>
      </c>
      <c r="D519" s="2" t="s">
        <v>6</v>
      </c>
      <c r="E519" s="14" t="str">
        <f t="shared" ref="E519:F524" si="55">E420</f>
        <v>Growing Line</v>
      </c>
      <c r="F519" s="22">
        <f t="shared" si="55"/>
        <v>5</v>
      </c>
      <c r="H519" s="5" t="str">
        <f ca="1">_xlfn.FORMULATEXT(표1[[#This Row],[Q''ty]])</f>
        <v>=F420</v>
      </c>
    </row>
    <row r="520" spans="1:10" ht="15" hidden="1" customHeight="1" x14ac:dyDescent="0.4">
      <c r="A520" s="6">
        <v>2026</v>
      </c>
      <c r="B520" s="6">
        <f t="shared" si="52"/>
        <v>6</v>
      </c>
      <c r="C520" s="13" t="s">
        <v>18</v>
      </c>
      <c r="D520" s="2" t="s">
        <v>6</v>
      </c>
      <c r="E520" s="14" t="str">
        <f t="shared" si="55"/>
        <v>Paint Booth</v>
      </c>
      <c r="F520" s="22">
        <f t="shared" si="55"/>
        <v>3</v>
      </c>
      <c r="H520" s="5" t="str">
        <f ca="1">_xlfn.FORMULATEXT(표1[[#This Row],[Q''ty]])</f>
        <v>=F421</v>
      </c>
    </row>
    <row r="521" spans="1:10" ht="15" hidden="1" customHeight="1" x14ac:dyDescent="0.4">
      <c r="A521" s="6">
        <v>2026</v>
      </c>
      <c r="B521" s="6">
        <f t="shared" si="52"/>
        <v>6</v>
      </c>
      <c r="C521" s="13" t="s">
        <v>18</v>
      </c>
      <c r="D521" s="2" t="s">
        <v>6</v>
      </c>
      <c r="E521" s="14" t="str">
        <f t="shared" si="55"/>
        <v>Paint Line</v>
      </c>
      <c r="F521" s="22">
        <f t="shared" si="55"/>
        <v>2</v>
      </c>
      <c r="H521" s="5" t="str">
        <f ca="1">_xlfn.FORMULATEXT(표1[[#This Row],[Q''ty]])</f>
        <v>=F422</v>
      </c>
    </row>
    <row r="522" spans="1:10" ht="15" hidden="1" customHeight="1" x14ac:dyDescent="0.4">
      <c r="A522" s="6">
        <v>2026</v>
      </c>
      <c r="B522" s="6">
        <f t="shared" si="52"/>
        <v>6</v>
      </c>
      <c r="C522" s="13" t="s">
        <v>18</v>
      </c>
      <c r="D522" s="2" t="s">
        <v>6</v>
      </c>
      <c r="E522" s="14" t="str">
        <f t="shared" si="55"/>
        <v>Roll Bending Machine</v>
      </c>
      <c r="F522" s="22">
        <f t="shared" si="55"/>
        <v>2</v>
      </c>
      <c r="H522" s="5" t="str">
        <f ca="1">_xlfn.FORMULATEXT(표1[[#This Row],[Q''ty]])</f>
        <v>=F423</v>
      </c>
    </row>
    <row r="523" spans="1:10" ht="15" hidden="1" customHeight="1" x14ac:dyDescent="0.4">
      <c r="A523" s="6">
        <v>2026</v>
      </c>
      <c r="B523" s="6">
        <f t="shared" si="52"/>
        <v>6</v>
      </c>
      <c r="C523" s="13" t="s">
        <v>18</v>
      </c>
      <c r="D523" s="2" t="s">
        <v>6</v>
      </c>
      <c r="E523" s="14" t="str">
        <f t="shared" si="55"/>
        <v>L/W Machine</v>
      </c>
      <c r="F523" s="22">
        <f t="shared" si="55"/>
        <v>2</v>
      </c>
      <c r="H523" s="5" t="str">
        <f ca="1">_xlfn.FORMULATEXT(표1[[#This Row],[Q''ty]])</f>
        <v>=F424</v>
      </c>
    </row>
    <row r="524" spans="1:10" ht="15" hidden="1" customHeight="1" x14ac:dyDescent="0.4">
      <c r="A524" s="6">
        <v>2026</v>
      </c>
      <c r="B524" s="6">
        <f t="shared" si="52"/>
        <v>6</v>
      </c>
      <c r="C524" s="13" t="s">
        <v>18</v>
      </c>
      <c r="D524" s="2" t="s">
        <v>6</v>
      </c>
      <c r="E524" s="14" t="str">
        <f t="shared" si="55"/>
        <v>C/W Machine</v>
      </c>
      <c r="F524" s="22">
        <f t="shared" si="55"/>
        <v>3</v>
      </c>
      <c r="H524" s="5" t="str">
        <f ca="1">_xlfn.FORMULATEXT(표1[[#This Row],[Q''ty]])</f>
        <v>=F425</v>
      </c>
    </row>
    <row r="525" spans="1:10" ht="15" hidden="1" customHeight="1" x14ac:dyDescent="0.4">
      <c r="A525" s="6">
        <v>2026</v>
      </c>
      <c r="B525" s="6">
        <f t="shared" si="52"/>
        <v>6</v>
      </c>
      <c r="C525" s="13" t="s">
        <v>18</v>
      </c>
      <c r="D525" s="2" t="s">
        <v>12</v>
      </c>
      <c r="E525" s="14" t="str">
        <f t="shared" ref="E525:E540" si="56">E426</f>
        <v>BT GT</v>
      </c>
      <c r="F525" s="22">
        <v>0</v>
      </c>
      <c r="H525" s="5" t="e">
        <f ca="1">_xlfn.FORMULATEXT(표1[[#This Row],[Q''ty]])</f>
        <v>#N/A</v>
      </c>
    </row>
    <row r="526" spans="1:10" ht="15" hidden="1" customHeight="1" x14ac:dyDescent="0.4">
      <c r="A526" s="6">
        <v>2026</v>
      </c>
      <c r="B526" s="6">
        <f t="shared" si="52"/>
        <v>6</v>
      </c>
      <c r="C526" s="13" t="s">
        <v>18</v>
      </c>
      <c r="D526" s="2" t="s">
        <v>12</v>
      </c>
      <c r="E526" s="14" t="str">
        <f t="shared" si="56"/>
        <v>WT GT</v>
      </c>
      <c r="F526" s="22">
        <v>0</v>
      </c>
      <c r="H526" s="5" t="e">
        <f ca="1">_xlfn.FORMULATEXT(표1[[#This Row],[Q''ty]])</f>
        <v>#N/A</v>
      </c>
    </row>
    <row r="527" spans="1:10" ht="15" hidden="1" customHeight="1" x14ac:dyDescent="0.4">
      <c r="A527" s="6">
        <v>2026</v>
      </c>
      <c r="B527" s="6">
        <f t="shared" si="52"/>
        <v>6</v>
      </c>
      <c r="C527" s="13" t="s">
        <v>18</v>
      </c>
      <c r="D527" s="2" t="s">
        <v>12</v>
      </c>
      <c r="E527" s="14" t="str">
        <f t="shared" si="56"/>
        <v>Bending</v>
      </c>
      <c r="F527" s="22">
        <v>4</v>
      </c>
      <c r="H527" s="5" t="e">
        <f ca="1">_xlfn.FORMULATEXT(표1[[#This Row],[Q''ty]])</f>
        <v>#N/A</v>
      </c>
    </row>
    <row r="528" spans="1:10" ht="15" hidden="1" customHeight="1" x14ac:dyDescent="0.4">
      <c r="A528" s="6">
        <v>2026</v>
      </c>
      <c r="B528" s="6">
        <f t="shared" si="52"/>
        <v>6</v>
      </c>
      <c r="C528" s="13" t="s">
        <v>18</v>
      </c>
      <c r="D528" s="2" t="s">
        <v>12</v>
      </c>
      <c r="E528" s="14" t="str">
        <f t="shared" si="56"/>
        <v>L/W</v>
      </c>
      <c r="F528" s="22">
        <v>2</v>
      </c>
      <c r="H528" s="5" t="e">
        <f ca="1">_xlfn.FORMULATEXT(표1[[#This Row],[Q''ty]])</f>
        <v>#N/A</v>
      </c>
    </row>
    <row r="529" spans="1:8" ht="15" hidden="1" customHeight="1" thickBot="1" x14ac:dyDescent="0.45">
      <c r="A529" s="15">
        <v>2026</v>
      </c>
      <c r="B529" s="15">
        <f t="shared" ref="B529:B560" si="57">B430+1</f>
        <v>6</v>
      </c>
      <c r="C529" s="16" t="s">
        <v>18</v>
      </c>
      <c r="D529" s="17" t="s">
        <v>12</v>
      </c>
      <c r="E529" s="18" t="str">
        <f t="shared" si="56"/>
        <v>C/W</v>
      </c>
      <c r="F529" s="23">
        <v>0</v>
      </c>
      <c r="H529" s="5" t="e">
        <f ca="1">_xlfn.FORMULATEXT(표1[[#This Row],[Q''ty]])</f>
        <v>#N/A</v>
      </c>
    </row>
    <row r="530" spans="1:8" ht="15" hidden="1" customHeight="1" thickTop="1" x14ac:dyDescent="0.4">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hidden="1" customHeight="1" x14ac:dyDescent="0.4">
      <c r="A531" s="6">
        <v>2026</v>
      </c>
      <c r="B531" s="6">
        <f t="shared" si="57"/>
        <v>6</v>
      </c>
      <c r="C531" s="13" t="s">
        <v>19</v>
      </c>
      <c r="D531" s="2" t="s">
        <v>6</v>
      </c>
      <c r="E531" s="14" t="str">
        <f t="shared" si="56"/>
        <v>Paint Booth</v>
      </c>
      <c r="F531" s="22">
        <f t="shared" si="58"/>
        <v>22</v>
      </c>
      <c r="H531" s="5" t="str">
        <f ca="1">_xlfn.FORMULATEXT(표1[[#This Row],[Q''ty]])</f>
        <v>=F432</v>
      </c>
    </row>
    <row r="532" spans="1:8" ht="15" hidden="1" customHeight="1" x14ac:dyDescent="0.4">
      <c r="A532" s="6">
        <v>2026</v>
      </c>
      <c r="B532" s="6">
        <f t="shared" si="57"/>
        <v>6</v>
      </c>
      <c r="C532" s="13" t="s">
        <v>19</v>
      </c>
      <c r="D532" s="2" t="s">
        <v>6</v>
      </c>
      <c r="E532" s="14" t="str">
        <f t="shared" si="56"/>
        <v>Paint Line</v>
      </c>
      <c r="F532" s="22">
        <f t="shared" si="58"/>
        <v>6</v>
      </c>
      <c r="H532" s="5" t="str">
        <f ca="1">_xlfn.FORMULATEXT(표1[[#This Row],[Q''ty]])</f>
        <v>=F433</v>
      </c>
    </row>
    <row r="533" spans="1:8" ht="15" hidden="1" customHeight="1" x14ac:dyDescent="0.4">
      <c r="A533" s="6">
        <v>2026</v>
      </c>
      <c r="B533" s="6">
        <f t="shared" si="57"/>
        <v>6</v>
      </c>
      <c r="C533" s="13" t="s">
        <v>19</v>
      </c>
      <c r="D533" s="2" t="s">
        <v>6</v>
      </c>
      <c r="E533" s="14" t="str">
        <f t="shared" si="56"/>
        <v>Roll Bending Machine</v>
      </c>
      <c r="F533" s="22">
        <f t="shared" si="58"/>
        <v>4</v>
      </c>
      <c r="H533" s="5" t="str">
        <f ca="1">_xlfn.FORMULATEXT(표1[[#This Row],[Q''ty]])</f>
        <v>=F434</v>
      </c>
    </row>
    <row r="534" spans="1:8" ht="15" hidden="1" customHeight="1" x14ac:dyDescent="0.4">
      <c r="A534" s="6">
        <v>2026</v>
      </c>
      <c r="B534" s="6">
        <f t="shared" si="57"/>
        <v>6</v>
      </c>
      <c r="C534" s="13" t="s">
        <v>19</v>
      </c>
      <c r="D534" s="2" t="s">
        <v>6</v>
      </c>
      <c r="E534" s="14" t="str">
        <f t="shared" si="56"/>
        <v>L/W Machine</v>
      </c>
      <c r="F534" s="22">
        <f t="shared" si="58"/>
        <v>10</v>
      </c>
      <c r="H534" s="5" t="str">
        <f ca="1">_xlfn.FORMULATEXT(표1[[#This Row],[Q''ty]])</f>
        <v>=F435</v>
      </c>
    </row>
    <row r="535" spans="1:8" ht="15" hidden="1" customHeight="1" x14ac:dyDescent="0.4">
      <c r="A535" s="6">
        <v>2026</v>
      </c>
      <c r="B535" s="6">
        <f t="shared" si="57"/>
        <v>6</v>
      </c>
      <c r="C535" s="13" t="s">
        <v>19</v>
      </c>
      <c r="D535" s="2" t="s">
        <v>6</v>
      </c>
      <c r="E535" s="14" t="str">
        <f t="shared" si="56"/>
        <v>C/W Machine</v>
      </c>
      <c r="F535" s="22">
        <f t="shared" si="58"/>
        <v>12</v>
      </c>
      <c r="H535" s="5" t="str">
        <f ca="1">_xlfn.FORMULATEXT(표1[[#This Row],[Q''ty]])</f>
        <v>=F436</v>
      </c>
    </row>
    <row r="536" spans="1:8" ht="15" hidden="1" customHeight="1" x14ac:dyDescent="0.4">
      <c r="A536" s="6">
        <v>2026</v>
      </c>
      <c r="B536" s="6">
        <f t="shared" si="57"/>
        <v>6</v>
      </c>
      <c r="C536" s="13" t="s">
        <v>19</v>
      </c>
      <c r="D536" s="2" t="s">
        <v>12</v>
      </c>
      <c r="E536" s="14" t="str">
        <f t="shared" si="56"/>
        <v>BT GT</v>
      </c>
      <c r="F536" s="22">
        <v>31</v>
      </c>
      <c r="H536" s="5" t="e">
        <f ca="1">_xlfn.FORMULATEXT(표1[[#This Row],[Q''ty]])</f>
        <v>#N/A</v>
      </c>
    </row>
    <row r="537" spans="1:8" ht="15" hidden="1" customHeight="1" x14ac:dyDescent="0.4">
      <c r="A537" s="6">
        <v>2026</v>
      </c>
      <c r="B537" s="6">
        <f t="shared" si="57"/>
        <v>6</v>
      </c>
      <c r="C537" s="13" t="s">
        <v>19</v>
      </c>
      <c r="D537" s="2" t="s">
        <v>12</v>
      </c>
      <c r="E537" s="14" t="str">
        <f t="shared" si="56"/>
        <v>WT GT</v>
      </c>
      <c r="F537" s="22">
        <v>30</v>
      </c>
      <c r="H537" s="5" t="e">
        <f ca="1">_xlfn.FORMULATEXT(표1[[#This Row],[Q''ty]])</f>
        <v>#N/A</v>
      </c>
    </row>
    <row r="538" spans="1:8" ht="15" hidden="1" customHeight="1" x14ac:dyDescent="0.4">
      <c r="A538" s="6">
        <v>2026</v>
      </c>
      <c r="B538" s="6">
        <f t="shared" si="57"/>
        <v>6</v>
      </c>
      <c r="C538" s="13" t="s">
        <v>19</v>
      </c>
      <c r="D538" s="2" t="s">
        <v>12</v>
      </c>
      <c r="E538" s="14" t="str">
        <f t="shared" si="56"/>
        <v>Bending</v>
      </c>
      <c r="F538" s="22">
        <v>293</v>
      </c>
      <c r="H538" s="5" t="e">
        <f ca="1">_xlfn.FORMULATEXT(표1[[#This Row],[Q''ty]])</f>
        <v>#N/A</v>
      </c>
    </row>
    <row r="539" spans="1:8" ht="15" hidden="1" customHeight="1" x14ac:dyDescent="0.4">
      <c r="A539" s="6">
        <v>2026</v>
      </c>
      <c r="B539" s="6">
        <f t="shared" si="57"/>
        <v>6</v>
      </c>
      <c r="C539" s="13" t="s">
        <v>19</v>
      </c>
      <c r="D539" s="2" t="s">
        <v>12</v>
      </c>
      <c r="E539" s="14" t="str">
        <f t="shared" si="56"/>
        <v>L/W</v>
      </c>
      <c r="F539" s="22">
        <v>293</v>
      </c>
      <c r="H539" s="5" t="e">
        <f ca="1">_xlfn.FORMULATEXT(표1[[#This Row],[Q''ty]])</f>
        <v>#N/A</v>
      </c>
    </row>
    <row r="540" spans="1:8" ht="15" hidden="1" customHeight="1" thickBot="1" x14ac:dyDescent="0.45">
      <c r="A540" s="15">
        <v>2026</v>
      </c>
      <c r="B540" s="15">
        <f t="shared" si="57"/>
        <v>6</v>
      </c>
      <c r="C540" s="16" t="s">
        <v>19</v>
      </c>
      <c r="D540" s="17" t="s">
        <v>12</v>
      </c>
      <c r="E540" s="18" t="str">
        <f t="shared" si="56"/>
        <v>C/W</v>
      </c>
      <c r="F540" s="23">
        <v>265.70000000000005</v>
      </c>
      <c r="H540" s="5" t="e">
        <f ca="1">_xlfn.FORMULATEXT(표1[[#This Row],[Q''ty]])</f>
        <v>#N/A</v>
      </c>
    </row>
    <row r="541" spans="1:8" ht="15" hidden="1" customHeight="1" thickTop="1" x14ac:dyDescent="0.4">
      <c r="A541" s="6">
        <v>2026</v>
      </c>
      <c r="B541" s="6">
        <f t="shared" si="57"/>
        <v>6</v>
      </c>
      <c r="C541" s="13" t="s">
        <v>25</v>
      </c>
      <c r="D541" s="2" t="s">
        <v>6</v>
      </c>
      <c r="E541" s="14" t="s">
        <v>7</v>
      </c>
      <c r="F541" s="22">
        <f t="shared" ref="F541:F546" si="59">F442</f>
        <v>3</v>
      </c>
      <c r="H541" s="5" t="str">
        <f ca="1">_xlfn.FORMULATEXT(표1[[#This Row],[Q''ty]])</f>
        <v>=F442</v>
      </c>
    </row>
    <row r="542" spans="1:8" ht="15" hidden="1" customHeight="1" x14ac:dyDescent="0.4">
      <c r="A542" s="6">
        <v>2026</v>
      </c>
      <c r="B542" s="6">
        <f t="shared" si="57"/>
        <v>6</v>
      </c>
      <c r="C542" s="13" t="s">
        <v>25</v>
      </c>
      <c r="D542" s="2" t="s">
        <v>6</v>
      </c>
      <c r="E542" s="14" t="s">
        <v>8</v>
      </c>
      <c r="F542" s="22">
        <f t="shared" si="59"/>
        <v>3</v>
      </c>
      <c r="H542" s="5" t="str">
        <f ca="1">_xlfn.FORMULATEXT(표1[[#This Row],[Q''ty]])</f>
        <v>=F443</v>
      </c>
    </row>
    <row r="543" spans="1:8" ht="15" hidden="1" customHeight="1" x14ac:dyDescent="0.4">
      <c r="A543" s="6">
        <v>2026</v>
      </c>
      <c r="B543" s="6">
        <f t="shared" si="57"/>
        <v>6</v>
      </c>
      <c r="C543" s="13" t="s">
        <v>25</v>
      </c>
      <c r="D543" s="2" t="s">
        <v>6</v>
      </c>
      <c r="E543" s="14" t="s">
        <v>9</v>
      </c>
      <c r="F543" s="22">
        <f t="shared" si="59"/>
        <v>2</v>
      </c>
      <c r="H543" s="5" t="str">
        <f ca="1">_xlfn.FORMULATEXT(표1[[#This Row],[Q''ty]])</f>
        <v>=F444</v>
      </c>
    </row>
    <row r="544" spans="1:8" ht="15" hidden="1" customHeight="1" x14ac:dyDescent="0.4">
      <c r="A544" s="6">
        <v>2026</v>
      </c>
      <c r="B544" s="6">
        <f t="shared" si="57"/>
        <v>6</v>
      </c>
      <c r="C544" s="13" t="s">
        <v>25</v>
      </c>
      <c r="D544" s="2" t="s">
        <v>6</v>
      </c>
      <c r="E544" s="14" t="s">
        <v>27</v>
      </c>
      <c r="F544" s="22">
        <f t="shared" si="59"/>
        <v>2</v>
      </c>
      <c r="H544" s="5" t="str">
        <f ca="1">_xlfn.FORMULATEXT(표1[[#This Row],[Q''ty]])</f>
        <v>=F445</v>
      </c>
    </row>
    <row r="545" spans="1:8" ht="15" hidden="1" customHeight="1" x14ac:dyDescent="0.4">
      <c r="A545" s="6">
        <v>2026</v>
      </c>
      <c r="B545" s="6">
        <f t="shared" si="57"/>
        <v>6</v>
      </c>
      <c r="C545" s="13" t="s">
        <v>25</v>
      </c>
      <c r="D545" s="2" t="s">
        <v>6</v>
      </c>
      <c r="E545" s="14" t="s">
        <v>10</v>
      </c>
      <c r="F545" s="22">
        <f t="shared" si="59"/>
        <v>3</v>
      </c>
      <c r="H545" s="5" t="str">
        <f ca="1">_xlfn.FORMULATEXT(표1[[#This Row],[Q''ty]])</f>
        <v>=F446</v>
      </c>
    </row>
    <row r="546" spans="1:8" ht="15" hidden="1" customHeight="1" x14ac:dyDescent="0.4">
      <c r="A546" s="6">
        <v>2026</v>
      </c>
      <c r="B546" s="6">
        <f t="shared" si="57"/>
        <v>6</v>
      </c>
      <c r="C546" s="13" t="s">
        <v>25</v>
      </c>
      <c r="D546" s="2" t="s">
        <v>6</v>
      </c>
      <c r="E546" s="14" t="s">
        <v>11</v>
      </c>
      <c r="F546" s="22">
        <f t="shared" si="59"/>
        <v>4</v>
      </c>
      <c r="H546" s="5" t="str">
        <f ca="1">_xlfn.FORMULATEXT(표1[[#This Row],[Q''ty]])</f>
        <v>=F447</v>
      </c>
    </row>
    <row r="547" spans="1:8" ht="15" hidden="1" customHeight="1" x14ac:dyDescent="0.4">
      <c r="A547" s="6">
        <v>2026</v>
      </c>
      <c r="B547" s="6">
        <f t="shared" si="57"/>
        <v>6</v>
      </c>
      <c r="C547" s="13" t="s">
        <v>25</v>
      </c>
      <c r="D547" s="2" t="s">
        <v>12</v>
      </c>
      <c r="E547" s="14" t="s">
        <v>13</v>
      </c>
      <c r="F547" s="22">
        <v>0</v>
      </c>
      <c r="H547" s="5" t="e">
        <f ca="1">_xlfn.FORMULATEXT(표1[[#This Row],[Q''ty]])</f>
        <v>#N/A</v>
      </c>
    </row>
    <row r="548" spans="1:8" ht="15" hidden="1" customHeight="1" x14ac:dyDescent="0.4">
      <c r="A548" s="6">
        <v>2026</v>
      </c>
      <c r="B548" s="6">
        <f t="shared" si="57"/>
        <v>6</v>
      </c>
      <c r="C548" s="13" t="s">
        <v>25</v>
      </c>
      <c r="D548" s="2" t="s">
        <v>12</v>
      </c>
      <c r="E548" s="14" t="s">
        <v>14</v>
      </c>
      <c r="F548" s="22">
        <v>0</v>
      </c>
      <c r="H548" s="5" t="e">
        <f ca="1">_xlfn.FORMULATEXT(표1[[#This Row],[Q''ty]])</f>
        <v>#N/A</v>
      </c>
    </row>
    <row r="549" spans="1:8" ht="15" hidden="1" customHeight="1" x14ac:dyDescent="0.4">
      <c r="A549" s="6">
        <v>2026</v>
      </c>
      <c r="B549" s="6">
        <f t="shared" si="57"/>
        <v>6</v>
      </c>
      <c r="C549" s="13" t="s">
        <v>25</v>
      </c>
      <c r="D549" s="2" t="s">
        <v>12</v>
      </c>
      <c r="E549" s="14" t="s">
        <v>15</v>
      </c>
      <c r="F549" s="22">
        <v>0</v>
      </c>
      <c r="H549" s="5" t="e">
        <f ca="1">_xlfn.FORMULATEXT(표1[[#This Row],[Q''ty]])</f>
        <v>#N/A</v>
      </c>
    </row>
    <row r="550" spans="1:8" ht="15" hidden="1" customHeight="1" x14ac:dyDescent="0.4">
      <c r="A550" s="6">
        <v>2026</v>
      </c>
      <c r="B550" s="6">
        <f t="shared" si="57"/>
        <v>6</v>
      </c>
      <c r="C550" s="13" t="s">
        <v>25</v>
      </c>
      <c r="D550" s="2" t="s">
        <v>12</v>
      </c>
      <c r="E550" s="14" t="s">
        <v>16</v>
      </c>
      <c r="F550" s="22">
        <v>0</v>
      </c>
      <c r="H550" s="5" t="e">
        <f ca="1">_xlfn.FORMULATEXT(표1[[#This Row],[Q''ty]])</f>
        <v>#N/A</v>
      </c>
    </row>
    <row r="551" spans="1:8" ht="15" hidden="1" customHeight="1" thickBot="1" x14ac:dyDescent="0.45">
      <c r="A551" s="15">
        <v>2026</v>
      </c>
      <c r="B551" s="15">
        <f t="shared" si="57"/>
        <v>6</v>
      </c>
      <c r="C551" s="16" t="s">
        <v>25</v>
      </c>
      <c r="D551" s="17" t="s">
        <v>12</v>
      </c>
      <c r="E551" s="18" t="s">
        <v>17</v>
      </c>
      <c r="F551" s="23">
        <v>0</v>
      </c>
      <c r="H551" s="5" t="e">
        <f ca="1">_xlfn.FORMULATEXT(표1[[#This Row],[Q''ty]])</f>
        <v>#N/A</v>
      </c>
    </row>
    <row r="552" spans="1:8" ht="15" hidden="1" customHeight="1" thickTop="1" x14ac:dyDescent="0.4">
      <c r="A552" s="6">
        <v>2026</v>
      </c>
      <c r="B552" s="6">
        <f t="shared" si="57"/>
        <v>6</v>
      </c>
      <c r="C552" s="13" t="s">
        <v>26</v>
      </c>
      <c r="D552" s="2" t="s">
        <v>6</v>
      </c>
      <c r="E552" s="14" t="s">
        <v>7</v>
      </c>
      <c r="F552" s="22">
        <f t="shared" ref="F552:F557" si="60">F453</f>
        <v>6</v>
      </c>
      <c r="H552" s="5" t="str">
        <f ca="1">_xlfn.FORMULATEXT(표1[[#This Row],[Q''ty]])</f>
        <v>=F453</v>
      </c>
    </row>
    <row r="553" spans="1:8" ht="15" hidden="1" customHeight="1" x14ac:dyDescent="0.4">
      <c r="A553" s="6">
        <v>2026</v>
      </c>
      <c r="B553" s="6">
        <f t="shared" si="57"/>
        <v>6</v>
      </c>
      <c r="C553" s="13" t="s">
        <v>26</v>
      </c>
      <c r="D553" s="2" t="s">
        <v>6</v>
      </c>
      <c r="E553" s="14" t="s">
        <v>8</v>
      </c>
      <c r="F553" s="22">
        <f t="shared" si="60"/>
        <v>4</v>
      </c>
      <c r="H553" s="5" t="str">
        <f ca="1">_xlfn.FORMULATEXT(표1[[#This Row],[Q''ty]])</f>
        <v>=F454</v>
      </c>
    </row>
    <row r="554" spans="1:8" ht="15" hidden="1" customHeight="1" x14ac:dyDescent="0.4">
      <c r="A554" s="6">
        <v>2026</v>
      </c>
      <c r="B554" s="6">
        <f t="shared" si="57"/>
        <v>6</v>
      </c>
      <c r="C554" s="13" t="s">
        <v>26</v>
      </c>
      <c r="D554" s="2" t="s">
        <v>6</v>
      </c>
      <c r="E554" s="14" t="s">
        <v>9</v>
      </c>
      <c r="F554" s="22">
        <f t="shared" si="60"/>
        <v>2</v>
      </c>
      <c r="H554" s="5" t="str">
        <f ca="1">_xlfn.FORMULATEXT(표1[[#This Row],[Q''ty]])</f>
        <v>=F455</v>
      </c>
    </row>
    <row r="555" spans="1:8" ht="15" hidden="1" customHeight="1" x14ac:dyDescent="0.4">
      <c r="A555" s="6">
        <v>2026</v>
      </c>
      <c r="B555" s="6">
        <f t="shared" si="57"/>
        <v>6</v>
      </c>
      <c r="C555" s="13" t="s">
        <v>26</v>
      </c>
      <c r="D555" s="2" t="s">
        <v>6</v>
      </c>
      <c r="E555" s="14" t="s">
        <v>27</v>
      </c>
      <c r="F555" s="22">
        <f t="shared" si="60"/>
        <v>3</v>
      </c>
      <c r="H555" s="5" t="str">
        <f ca="1">_xlfn.FORMULATEXT(표1[[#This Row],[Q''ty]])</f>
        <v>=F456</v>
      </c>
    </row>
    <row r="556" spans="1:8" ht="15" hidden="1" customHeight="1" x14ac:dyDescent="0.4">
      <c r="A556" s="6">
        <v>2026</v>
      </c>
      <c r="B556" s="6">
        <f t="shared" si="57"/>
        <v>6</v>
      </c>
      <c r="C556" s="13" t="s">
        <v>26</v>
      </c>
      <c r="D556" s="2" t="s">
        <v>6</v>
      </c>
      <c r="E556" s="14" t="s">
        <v>10</v>
      </c>
      <c r="F556" s="22">
        <f t="shared" si="60"/>
        <v>4</v>
      </c>
      <c r="H556" s="5" t="str">
        <f ca="1">_xlfn.FORMULATEXT(표1[[#This Row],[Q''ty]])</f>
        <v>=F457</v>
      </c>
    </row>
    <row r="557" spans="1:8" ht="15" hidden="1" customHeight="1" x14ac:dyDescent="0.4">
      <c r="A557" s="6">
        <v>2026</v>
      </c>
      <c r="B557" s="6">
        <f t="shared" si="57"/>
        <v>6</v>
      </c>
      <c r="C557" s="13" t="s">
        <v>26</v>
      </c>
      <c r="D557" s="2" t="s">
        <v>6</v>
      </c>
      <c r="E557" s="14" t="s">
        <v>11</v>
      </c>
      <c r="F557" s="22">
        <f t="shared" si="60"/>
        <v>6</v>
      </c>
      <c r="H557" s="5" t="str">
        <f ca="1">_xlfn.FORMULATEXT(표1[[#This Row],[Q''ty]])</f>
        <v>=F458</v>
      </c>
    </row>
    <row r="558" spans="1:8" ht="15" hidden="1" customHeight="1" x14ac:dyDescent="0.4">
      <c r="A558" s="6">
        <v>2026</v>
      </c>
      <c r="B558" s="6">
        <f t="shared" si="57"/>
        <v>6</v>
      </c>
      <c r="C558" s="13" t="s">
        <v>26</v>
      </c>
      <c r="D558" s="2" t="s">
        <v>12</v>
      </c>
      <c r="E558" s="14" t="str">
        <f t="shared" ref="E558:E595" si="61">E459</f>
        <v>BT GT</v>
      </c>
      <c r="F558" s="22">
        <v>16</v>
      </c>
      <c r="H558" s="5" t="e">
        <f ca="1">_xlfn.FORMULATEXT(표1[[#This Row],[Q''ty]])</f>
        <v>#N/A</v>
      </c>
    </row>
    <row r="559" spans="1:8" ht="15" hidden="1" customHeight="1" x14ac:dyDescent="0.4">
      <c r="A559" s="6">
        <v>2026</v>
      </c>
      <c r="B559" s="6">
        <f t="shared" si="57"/>
        <v>6</v>
      </c>
      <c r="C559" s="13" t="s">
        <v>26</v>
      </c>
      <c r="D559" s="2" t="s">
        <v>12</v>
      </c>
      <c r="E559" s="14" t="str">
        <f t="shared" si="61"/>
        <v>WT GT</v>
      </c>
      <c r="F559" s="22">
        <v>16</v>
      </c>
      <c r="H559" s="5" t="e">
        <f ca="1">_xlfn.FORMULATEXT(표1[[#This Row],[Q''ty]])</f>
        <v>#N/A</v>
      </c>
    </row>
    <row r="560" spans="1:8" ht="15" hidden="1" customHeight="1" x14ac:dyDescent="0.4">
      <c r="A560" s="6">
        <v>2026</v>
      </c>
      <c r="B560" s="6">
        <f t="shared" si="57"/>
        <v>6</v>
      </c>
      <c r="C560" s="13" t="s">
        <v>26</v>
      </c>
      <c r="D560" s="2" t="s">
        <v>12</v>
      </c>
      <c r="E560" s="14" t="str">
        <f t="shared" si="61"/>
        <v>Bending</v>
      </c>
      <c r="F560" s="22">
        <v>113</v>
      </c>
      <c r="H560" s="5" t="e">
        <f ca="1">_xlfn.FORMULATEXT(표1[[#This Row],[Q''ty]])</f>
        <v>#N/A</v>
      </c>
    </row>
    <row r="561" spans="1:8" ht="15" hidden="1" customHeight="1" x14ac:dyDescent="0.4">
      <c r="A561" s="6">
        <v>2026</v>
      </c>
      <c r="B561" s="6">
        <f t="shared" ref="B561" si="62">B462+1</f>
        <v>6</v>
      </c>
      <c r="C561" s="13" t="s">
        <v>26</v>
      </c>
      <c r="D561" s="2" t="s">
        <v>12</v>
      </c>
      <c r="E561" s="14" t="str">
        <f t="shared" si="61"/>
        <v>L/W</v>
      </c>
      <c r="F561" s="22">
        <v>112</v>
      </c>
      <c r="H561" s="5" t="e">
        <f ca="1">_xlfn.FORMULATEXT(표1[[#This Row],[Q''ty]])</f>
        <v>#N/A</v>
      </c>
    </row>
    <row r="562" spans="1:8" ht="15" hidden="1" customHeight="1" thickBot="1" x14ac:dyDescent="0.45">
      <c r="A562" s="15">
        <v>2026</v>
      </c>
      <c r="B562" s="15">
        <f t="shared" ref="B562:B595" si="63">B463+1</f>
        <v>6</v>
      </c>
      <c r="C562" s="16" t="s">
        <v>26</v>
      </c>
      <c r="D562" s="17" t="s">
        <v>12</v>
      </c>
      <c r="E562" s="18" t="str">
        <f t="shared" si="61"/>
        <v>C/W</v>
      </c>
      <c r="F562" s="23">
        <v>117</v>
      </c>
      <c r="H562" s="5" t="e">
        <f ca="1">_xlfn.FORMULATEXT(표1[[#This Row],[Q''ty]])</f>
        <v>#N/A</v>
      </c>
    </row>
    <row r="563" spans="1:8" ht="15" hidden="1" customHeight="1" thickTop="1" x14ac:dyDescent="0.4">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hidden="1" customHeight="1" x14ac:dyDescent="0.4">
      <c r="A564" s="6">
        <v>2026</v>
      </c>
      <c r="B564" s="6">
        <f t="shared" si="63"/>
        <v>6</v>
      </c>
      <c r="C564" s="13" t="s">
        <v>20</v>
      </c>
      <c r="D564" s="2" t="s">
        <v>6</v>
      </c>
      <c r="E564" s="14" t="str">
        <f t="shared" si="61"/>
        <v>Paint Booth</v>
      </c>
      <c r="F564" s="22">
        <f t="shared" si="64"/>
        <v>16</v>
      </c>
      <c r="H564" s="5" t="str">
        <f ca="1">_xlfn.FORMULATEXT(표1[[#This Row],[Q''ty]])</f>
        <v>=F465</v>
      </c>
    </row>
    <row r="565" spans="1:8" ht="15" hidden="1" customHeight="1" x14ac:dyDescent="0.4">
      <c r="A565" s="6">
        <v>2026</v>
      </c>
      <c r="B565" s="6">
        <f t="shared" si="63"/>
        <v>6</v>
      </c>
      <c r="C565" s="13" t="s">
        <v>20</v>
      </c>
      <c r="D565" s="2" t="s">
        <v>6</v>
      </c>
      <c r="E565" s="14" t="str">
        <f t="shared" si="61"/>
        <v>Paint Line</v>
      </c>
      <c r="F565" s="22">
        <f t="shared" si="64"/>
        <v>8</v>
      </c>
      <c r="H565" s="5" t="str">
        <f ca="1">_xlfn.FORMULATEXT(표1[[#This Row],[Q''ty]])</f>
        <v>=F466</v>
      </c>
    </row>
    <row r="566" spans="1:8" ht="15" hidden="1" customHeight="1" x14ac:dyDescent="0.4">
      <c r="A566" s="6">
        <v>2026</v>
      </c>
      <c r="B566" s="6">
        <f t="shared" si="63"/>
        <v>6</v>
      </c>
      <c r="C566" s="13" t="s">
        <v>20</v>
      </c>
      <c r="D566" s="2" t="s">
        <v>6</v>
      </c>
      <c r="E566" s="14" t="str">
        <f t="shared" si="61"/>
        <v>Roll Bending Machine</v>
      </c>
      <c r="F566" s="22">
        <f t="shared" si="64"/>
        <v>6</v>
      </c>
      <c r="H566" s="5" t="str">
        <f ca="1">_xlfn.FORMULATEXT(표1[[#This Row],[Q''ty]])</f>
        <v>=F467</v>
      </c>
    </row>
    <row r="567" spans="1:8" ht="15" hidden="1" customHeight="1" x14ac:dyDescent="0.4">
      <c r="A567" s="6">
        <v>2026</v>
      </c>
      <c r="B567" s="6">
        <f t="shared" si="63"/>
        <v>6</v>
      </c>
      <c r="C567" s="13" t="s">
        <v>20</v>
      </c>
      <c r="D567" s="2" t="s">
        <v>6</v>
      </c>
      <c r="E567" s="14" t="str">
        <f t="shared" si="61"/>
        <v>L/W Machine</v>
      </c>
      <c r="F567" s="22">
        <f t="shared" si="64"/>
        <v>11</v>
      </c>
      <c r="H567" s="5" t="str">
        <f ca="1">_xlfn.FORMULATEXT(표1[[#This Row],[Q''ty]])</f>
        <v>=F468</v>
      </c>
    </row>
    <row r="568" spans="1:8" ht="15" hidden="1" customHeight="1" x14ac:dyDescent="0.4">
      <c r="A568" s="6">
        <v>2026</v>
      </c>
      <c r="B568" s="6">
        <f t="shared" si="63"/>
        <v>6</v>
      </c>
      <c r="C568" s="13" t="s">
        <v>20</v>
      </c>
      <c r="D568" s="2" t="s">
        <v>6</v>
      </c>
      <c r="E568" s="14" t="str">
        <f t="shared" si="61"/>
        <v>C/W Machine</v>
      </c>
      <c r="F568" s="22">
        <f t="shared" si="64"/>
        <v>15</v>
      </c>
      <c r="H568" s="5" t="str">
        <f ca="1">_xlfn.FORMULATEXT(표1[[#This Row],[Q''ty]])</f>
        <v>=F469</v>
      </c>
    </row>
    <row r="569" spans="1:8" ht="15" hidden="1" customHeight="1" x14ac:dyDescent="0.4">
      <c r="A569" s="6">
        <v>2026</v>
      </c>
      <c r="B569" s="6">
        <f t="shared" si="63"/>
        <v>6</v>
      </c>
      <c r="C569" s="13" t="s">
        <v>20</v>
      </c>
      <c r="D569" s="2" t="s">
        <v>12</v>
      </c>
      <c r="E569" s="14" t="str">
        <f t="shared" si="61"/>
        <v>BT GT</v>
      </c>
      <c r="F569" s="22">
        <v>72</v>
      </c>
      <c r="H569" s="5" t="e">
        <f ca="1">_xlfn.FORMULATEXT(표1[[#This Row],[Q''ty]])</f>
        <v>#N/A</v>
      </c>
    </row>
    <row r="570" spans="1:8" ht="15" hidden="1" customHeight="1" x14ac:dyDescent="0.4">
      <c r="A570" s="6">
        <v>2026</v>
      </c>
      <c r="B570" s="6">
        <f t="shared" si="63"/>
        <v>6</v>
      </c>
      <c r="C570" s="13" t="s">
        <v>20</v>
      </c>
      <c r="D570" s="2" t="s">
        <v>12</v>
      </c>
      <c r="E570" s="14" t="str">
        <f t="shared" si="61"/>
        <v>WT GT</v>
      </c>
      <c r="F570" s="22">
        <v>68</v>
      </c>
      <c r="H570" s="5" t="e">
        <f ca="1">_xlfn.FORMULATEXT(표1[[#This Row],[Q''ty]])</f>
        <v>#N/A</v>
      </c>
    </row>
    <row r="571" spans="1:8" ht="15" hidden="1" customHeight="1" x14ac:dyDescent="0.4">
      <c r="A571" s="6">
        <v>2026</v>
      </c>
      <c r="B571" s="6">
        <f t="shared" si="63"/>
        <v>6</v>
      </c>
      <c r="C571" s="13" t="s">
        <v>20</v>
      </c>
      <c r="D571" s="2" t="s">
        <v>12</v>
      </c>
      <c r="E571" s="14" t="str">
        <f t="shared" si="61"/>
        <v>Bending</v>
      </c>
      <c r="F571" s="22">
        <v>594</v>
      </c>
      <c r="H571" s="5" t="e">
        <f ca="1">_xlfn.FORMULATEXT(표1[[#This Row],[Q''ty]])</f>
        <v>#N/A</v>
      </c>
    </row>
    <row r="572" spans="1:8" ht="15" hidden="1" customHeight="1" x14ac:dyDescent="0.4">
      <c r="A572" s="6">
        <v>2026</v>
      </c>
      <c r="B572" s="6">
        <f t="shared" si="63"/>
        <v>6</v>
      </c>
      <c r="C572" s="13" t="s">
        <v>20</v>
      </c>
      <c r="D572" s="2" t="s">
        <v>12</v>
      </c>
      <c r="E572" s="14" t="str">
        <f t="shared" si="61"/>
        <v>L/W</v>
      </c>
      <c r="F572" s="22">
        <v>608</v>
      </c>
      <c r="H572" s="5" t="e">
        <f ca="1">_xlfn.FORMULATEXT(표1[[#This Row],[Q''ty]])</f>
        <v>#N/A</v>
      </c>
    </row>
    <row r="573" spans="1:8" ht="15" hidden="1" customHeight="1" thickBot="1" x14ac:dyDescent="0.45">
      <c r="A573" s="15">
        <v>2026</v>
      </c>
      <c r="B573" s="15">
        <f t="shared" si="63"/>
        <v>6</v>
      </c>
      <c r="C573" s="16" t="s">
        <v>20</v>
      </c>
      <c r="D573" s="17" t="s">
        <v>12</v>
      </c>
      <c r="E573" s="18" t="str">
        <f t="shared" si="61"/>
        <v>C/W</v>
      </c>
      <c r="F573" s="23">
        <v>493</v>
      </c>
      <c r="H573" s="5" t="e">
        <f ca="1">_xlfn.FORMULATEXT(표1[[#This Row],[Q''ty]])</f>
        <v>#N/A</v>
      </c>
    </row>
    <row r="574" spans="1:8" ht="15" hidden="1" customHeight="1" thickTop="1" x14ac:dyDescent="0.4">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hidden="1" customHeight="1" x14ac:dyDescent="0.4">
      <c r="A575" s="6">
        <v>2026</v>
      </c>
      <c r="B575" s="6">
        <f t="shared" si="63"/>
        <v>6</v>
      </c>
      <c r="C575" s="13" t="s">
        <v>21</v>
      </c>
      <c r="D575" s="2" t="s">
        <v>6</v>
      </c>
      <c r="E575" s="14" t="str">
        <f t="shared" si="61"/>
        <v>Paint Booth</v>
      </c>
      <c r="F575" s="22">
        <f t="shared" si="65"/>
        <v>4</v>
      </c>
      <c r="H575" s="5" t="str">
        <f ca="1">_xlfn.FORMULATEXT(표1[[#This Row],[Q''ty]])</f>
        <v>=F476</v>
      </c>
    </row>
    <row r="576" spans="1:8" ht="15" hidden="1" customHeight="1" x14ac:dyDescent="0.4">
      <c r="A576" s="6">
        <v>2026</v>
      </c>
      <c r="B576" s="6">
        <f t="shared" si="63"/>
        <v>6</v>
      </c>
      <c r="C576" s="13" t="s">
        <v>21</v>
      </c>
      <c r="D576" s="2" t="s">
        <v>6</v>
      </c>
      <c r="E576" s="14" t="str">
        <f t="shared" si="61"/>
        <v>Paint Line</v>
      </c>
      <c r="F576" s="22">
        <f t="shared" si="65"/>
        <v>4</v>
      </c>
      <c r="H576" s="5" t="str">
        <f ca="1">_xlfn.FORMULATEXT(표1[[#This Row],[Q''ty]])</f>
        <v>=F477</v>
      </c>
    </row>
    <row r="577" spans="1:8" ht="15" hidden="1" customHeight="1" x14ac:dyDescent="0.4">
      <c r="A577" s="6">
        <v>2026</v>
      </c>
      <c r="B577" s="6">
        <f t="shared" si="63"/>
        <v>6</v>
      </c>
      <c r="C577" s="13" t="s">
        <v>21</v>
      </c>
      <c r="D577" s="2" t="s">
        <v>6</v>
      </c>
      <c r="E577" s="14" t="str">
        <f t="shared" si="61"/>
        <v>Roll Bending Machine</v>
      </c>
      <c r="F577" s="22">
        <f t="shared" si="65"/>
        <v>3</v>
      </c>
      <c r="H577" s="5" t="str">
        <f ca="1">_xlfn.FORMULATEXT(표1[[#This Row],[Q''ty]])</f>
        <v>=F478</v>
      </c>
    </row>
    <row r="578" spans="1:8" ht="15" hidden="1" customHeight="1" x14ac:dyDescent="0.4">
      <c r="A578" s="6">
        <v>2026</v>
      </c>
      <c r="B578" s="6">
        <f t="shared" si="63"/>
        <v>6</v>
      </c>
      <c r="C578" s="13" t="s">
        <v>21</v>
      </c>
      <c r="D578" s="2" t="s">
        <v>6</v>
      </c>
      <c r="E578" s="14" t="str">
        <f t="shared" si="61"/>
        <v>L/W Machine</v>
      </c>
      <c r="F578" s="22">
        <f t="shared" si="65"/>
        <v>4</v>
      </c>
      <c r="H578" s="5" t="str">
        <f ca="1">_xlfn.FORMULATEXT(표1[[#This Row],[Q''ty]])</f>
        <v>=F479</v>
      </c>
    </row>
    <row r="579" spans="1:8" ht="15" hidden="1" customHeight="1" x14ac:dyDescent="0.4">
      <c r="A579" s="6">
        <v>2026</v>
      </c>
      <c r="B579" s="6">
        <f t="shared" si="63"/>
        <v>6</v>
      </c>
      <c r="C579" s="13" t="s">
        <v>21</v>
      </c>
      <c r="D579" s="2" t="s">
        <v>6</v>
      </c>
      <c r="E579" s="14" t="str">
        <f t="shared" si="61"/>
        <v>C/W Machine</v>
      </c>
      <c r="F579" s="22">
        <f t="shared" si="65"/>
        <v>6.5</v>
      </c>
      <c r="H579" s="5" t="str">
        <f ca="1">_xlfn.FORMULATEXT(표1[[#This Row],[Q''ty]])</f>
        <v>=F480</v>
      </c>
    </row>
    <row r="580" spans="1:8" ht="15" hidden="1" customHeight="1" x14ac:dyDescent="0.4">
      <c r="A580" s="6">
        <v>2026</v>
      </c>
      <c r="B580" s="6">
        <f t="shared" si="63"/>
        <v>6</v>
      </c>
      <c r="C580" s="13" t="s">
        <v>21</v>
      </c>
      <c r="D580" s="2" t="s">
        <v>12</v>
      </c>
      <c r="E580" s="14" t="str">
        <f t="shared" si="61"/>
        <v>BT GT</v>
      </c>
      <c r="F580" s="22">
        <v>16</v>
      </c>
      <c r="H580" s="5" t="e">
        <f ca="1">_xlfn.FORMULATEXT(표1[[#This Row],[Q''ty]])</f>
        <v>#N/A</v>
      </c>
    </row>
    <row r="581" spans="1:8" ht="15" hidden="1" customHeight="1" x14ac:dyDescent="0.4">
      <c r="A581" s="6">
        <v>2026</v>
      </c>
      <c r="B581" s="6">
        <f t="shared" si="63"/>
        <v>6</v>
      </c>
      <c r="C581" s="13" t="s">
        <v>21</v>
      </c>
      <c r="D581" s="2" t="s">
        <v>12</v>
      </c>
      <c r="E581" s="14" t="str">
        <f t="shared" si="61"/>
        <v>WT GT</v>
      </c>
      <c r="F581" s="22">
        <v>14</v>
      </c>
      <c r="H581" s="5" t="e">
        <f ca="1">_xlfn.FORMULATEXT(표1[[#This Row],[Q''ty]])</f>
        <v>#N/A</v>
      </c>
    </row>
    <row r="582" spans="1:8" ht="15" hidden="1" customHeight="1" x14ac:dyDescent="0.4">
      <c r="A582" s="6">
        <v>2026</v>
      </c>
      <c r="B582" s="6">
        <f t="shared" si="63"/>
        <v>6</v>
      </c>
      <c r="C582" s="13" t="s">
        <v>21</v>
      </c>
      <c r="D582" s="2" t="s">
        <v>12</v>
      </c>
      <c r="E582" s="14" t="str">
        <f t="shared" si="61"/>
        <v>Bending</v>
      </c>
      <c r="F582" s="22">
        <v>111</v>
      </c>
      <c r="H582" s="5" t="e">
        <f ca="1">_xlfn.FORMULATEXT(표1[[#This Row],[Q''ty]])</f>
        <v>#N/A</v>
      </c>
    </row>
    <row r="583" spans="1:8" ht="15" hidden="1" customHeight="1" x14ac:dyDescent="0.4">
      <c r="A583" s="6">
        <v>2026</v>
      </c>
      <c r="B583" s="6">
        <f t="shared" si="63"/>
        <v>6</v>
      </c>
      <c r="C583" s="13" t="s">
        <v>21</v>
      </c>
      <c r="D583" s="2" t="s">
        <v>12</v>
      </c>
      <c r="E583" s="14" t="str">
        <f t="shared" si="61"/>
        <v>L/W</v>
      </c>
      <c r="F583" s="22">
        <v>115</v>
      </c>
      <c r="H583" s="5" t="e">
        <f ca="1">_xlfn.FORMULATEXT(표1[[#This Row],[Q''ty]])</f>
        <v>#N/A</v>
      </c>
    </row>
    <row r="584" spans="1:8" ht="15" hidden="1" customHeight="1" thickBot="1" x14ac:dyDescent="0.45">
      <c r="A584" s="15">
        <v>2026</v>
      </c>
      <c r="B584" s="15">
        <f t="shared" si="63"/>
        <v>6</v>
      </c>
      <c r="C584" s="16" t="s">
        <v>21</v>
      </c>
      <c r="D584" s="17" t="s">
        <v>12</v>
      </c>
      <c r="E584" s="18" t="str">
        <f t="shared" si="61"/>
        <v>C/W</v>
      </c>
      <c r="F584" s="23">
        <v>137</v>
      </c>
      <c r="H584" s="5" t="e">
        <f ca="1">_xlfn.FORMULATEXT(표1[[#This Row],[Q''ty]])</f>
        <v>#N/A</v>
      </c>
    </row>
    <row r="585" spans="1:8" ht="15" hidden="1" customHeight="1" thickTop="1" x14ac:dyDescent="0.4">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hidden="1" customHeight="1" x14ac:dyDescent="0.4">
      <c r="A586" s="6">
        <v>2026</v>
      </c>
      <c r="B586" s="6">
        <f t="shared" si="63"/>
        <v>6</v>
      </c>
      <c r="C586" s="13" t="s">
        <v>22</v>
      </c>
      <c r="D586" s="2" t="s">
        <v>6</v>
      </c>
      <c r="E586" s="14" t="str">
        <f t="shared" si="61"/>
        <v>Paint Booth</v>
      </c>
      <c r="F586" s="22">
        <f t="shared" si="66"/>
        <v>6</v>
      </c>
      <c r="H586" s="5" t="str">
        <f ca="1">_xlfn.FORMULATEXT(표1[[#This Row],[Q''ty]])</f>
        <v>=F487</v>
      </c>
    </row>
    <row r="587" spans="1:8" ht="15" hidden="1" customHeight="1" x14ac:dyDescent="0.4">
      <c r="A587" s="6">
        <v>2026</v>
      </c>
      <c r="B587" s="6">
        <f t="shared" si="63"/>
        <v>6</v>
      </c>
      <c r="C587" s="13" t="s">
        <v>22</v>
      </c>
      <c r="D587" s="2" t="s">
        <v>6</v>
      </c>
      <c r="E587" s="14" t="str">
        <f t="shared" si="61"/>
        <v>Paint Line</v>
      </c>
      <c r="F587" s="22">
        <f t="shared" si="66"/>
        <v>4</v>
      </c>
      <c r="H587" s="5" t="str">
        <f ca="1">_xlfn.FORMULATEXT(표1[[#This Row],[Q''ty]])</f>
        <v>=F488</v>
      </c>
    </row>
    <row r="588" spans="1:8" ht="15" hidden="1" customHeight="1" x14ac:dyDescent="0.4">
      <c r="A588" s="6">
        <v>2026</v>
      </c>
      <c r="B588" s="6">
        <f t="shared" si="63"/>
        <v>6</v>
      </c>
      <c r="C588" s="13" t="s">
        <v>22</v>
      </c>
      <c r="D588" s="2" t="s">
        <v>6</v>
      </c>
      <c r="E588" s="14" t="str">
        <f t="shared" si="61"/>
        <v>Roll Bending Machine</v>
      </c>
      <c r="F588" s="22">
        <f t="shared" si="66"/>
        <v>4</v>
      </c>
      <c r="H588" s="5" t="str">
        <f ca="1">_xlfn.FORMULATEXT(표1[[#This Row],[Q''ty]])</f>
        <v>=F489</v>
      </c>
    </row>
    <row r="589" spans="1:8" ht="15" hidden="1" customHeight="1" x14ac:dyDescent="0.4">
      <c r="A589" s="6">
        <v>2026</v>
      </c>
      <c r="B589" s="6">
        <f t="shared" si="63"/>
        <v>6</v>
      </c>
      <c r="C589" s="13" t="s">
        <v>22</v>
      </c>
      <c r="D589" s="2" t="s">
        <v>6</v>
      </c>
      <c r="E589" s="14" t="str">
        <f t="shared" si="61"/>
        <v>L/W Machine</v>
      </c>
      <c r="F589" s="22">
        <f t="shared" si="66"/>
        <v>7</v>
      </c>
      <c r="H589" s="5" t="str">
        <f ca="1">_xlfn.FORMULATEXT(표1[[#This Row],[Q''ty]])</f>
        <v>=F490</v>
      </c>
    </row>
    <row r="590" spans="1:8" ht="15" hidden="1" customHeight="1" x14ac:dyDescent="0.4">
      <c r="A590" s="6">
        <v>2026</v>
      </c>
      <c r="B590" s="6">
        <f t="shared" si="63"/>
        <v>6</v>
      </c>
      <c r="C590" s="13" t="s">
        <v>22</v>
      </c>
      <c r="D590" s="2" t="s">
        <v>6</v>
      </c>
      <c r="E590" s="14" t="str">
        <f t="shared" si="61"/>
        <v>C/W Machine</v>
      </c>
      <c r="F590" s="22">
        <f t="shared" si="66"/>
        <v>12.5</v>
      </c>
      <c r="H590" s="5" t="str">
        <f ca="1">_xlfn.FORMULATEXT(표1[[#This Row],[Q''ty]])</f>
        <v>=F491</v>
      </c>
    </row>
    <row r="591" spans="1:8" ht="15" hidden="1" customHeight="1" x14ac:dyDescent="0.4">
      <c r="A591" s="6">
        <v>2026</v>
      </c>
      <c r="B591" s="6">
        <f t="shared" si="63"/>
        <v>6</v>
      </c>
      <c r="C591" s="13" t="s">
        <v>22</v>
      </c>
      <c r="D591" s="2" t="s">
        <v>12</v>
      </c>
      <c r="E591" s="14" t="str">
        <f t="shared" si="61"/>
        <v>BT GT</v>
      </c>
      <c r="F591" s="22">
        <v>13</v>
      </c>
      <c r="H591" s="5" t="e">
        <f ca="1">_xlfn.FORMULATEXT(표1[[#This Row],[Q''ty]])</f>
        <v>#N/A</v>
      </c>
    </row>
    <row r="592" spans="1:8" ht="15" hidden="1" customHeight="1" x14ac:dyDescent="0.4">
      <c r="A592" s="6">
        <v>2026</v>
      </c>
      <c r="B592" s="6">
        <f t="shared" si="63"/>
        <v>6</v>
      </c>
      <c r="C592" s="13" t="s">
        <v>22</v>
      </c>
      <c r="D592" s="2" t="s">
        <v>12</v>
      </c>
      <c r="E592" s="14" t="str">
        <f t="shared" si="61"/>
        <v>WT GT</v>
      </c>
      <c r="F592" s="22">
        <v>10</v>
      </c>
      <c r="H592" s="5" t="e">
        <f ca="1">_xlfn.FORMULATEXT(표1[[#This Row],[Q''ty]])</f>
        <v>#N/A</v>
      </c>
    </row>
    <row r="593" spans="1:10" ht="15" hidden="1" customHeight="1" x14ac:dyDescent="0.4">
      <c r="A593" s="6">
        <v>2026</v>
      </c>
      <c r="B593" s="6">
        <f t="shared" si="63"/>
        <v>6</v>
      </c>
      <c r="C593" s="13" t="s">
        <v>22</v>
      </c>
      <c r="D593" s="2" t="s">
        <v>12</v>
      </c>
      <c r="E593" s="14" t="str">
        <f t="shared" si="61"/>
        <v>Bending</v>
      </c>
      <c r="F593" s="22">
        <f>101+18</f>
        <v>119</v>
      </c>
      <c r="H593" s="5" t="str">
        <f ca="1">_xlfn.FORMULATEXT(표1[[#This Row],[Q''ty]])</f>
        <v>=101+18</v>
      </c>
    </row>
    <row r="594" spans="1:10" ht="15" hidden="1" customHeight="1" x14ac:dyDescent="0.4">
      <c r="A594" s="6">
        <v>2026</v>
      </c>
      <c r="B594" s="6">
        <f t="shared" si="63"/>
        <v>6</v>
      </c>
      <c r="C594" s="13" t="s">
        <v>22</v>
      </c>
      <c r="D594" s="2" t="s">
        <v>12</v>
      </c>
      <c r="E594" s="14" t="str">
        <f t="shared" si="61"/>
        <v>L/W</v>
      </c>
      <c r="F594" s="22">
        <f>104+20</f>
        <v>124</v>
      </c>
      <c r="H594" s="5" t="str">
        <f ca="1">_xlfn.FORMULATEXT(표1[[#This Row],[Q''ty]])</f>
        <v>=104+20</v>
      </c>
    </row>
    <row r="595" spans="1:10" ht="15" hidden="1" customHeight="1" thickBot="1" x14ac:dyDescent="0.45">
      <c r="A595" s="6">
        <v>2026</v>
      </c>
      <c r="B595" s="6">
        <f t="shared" si="63"/>
        <v>6</v>
      </c>
      <c r="C595" s="13" t="s">
        <v>22</v>
      </c>
      <c r="D595" s="2" t="s">
        <v>12</v>
      </c>
      <c r="E595" s="14" t="str">
        <f t="shared" si="61"/>
        <v>C/W</v>
      </c>
      <c r="F595" s="22">
        <f>79+60</f>
        <v>139</v>
      </c>
      <c r="H595" s="5" t="str">
        <f ca="1">_xlfn.FORMULATEXT(표1[[#This Row],[Q''ty]])</f>
        <v>=79+60</v>
      </c>
    </row>
    <row r="596" spans="1:10" ht="15" hidden="1" customHeight="1" thickTop="1" x14ac:dyDescent="0.4">
      <c r="A596" s="9">
        <v>2026</v>
      </c>
      <c r="B596" s="9">
        <f>B497+1</f>
        <v>7</v>
      </c>
      <c r="C596" s="10" t="s">
        <v>28</v>
      </c>
      <c r="D596" s="11" t="s">
        <v>6</v>
      </c>
      <c r="E596" s="12" t="s">
        <v>7</v>
      </c>
      <c r="F596" s="21">
        <f t="shared" ref="F596:F601" si="67">F497</f>
        <v>15</v>
      </c>
      <c r="H596" s="5" t="str">
        <f ca="1">_xlfn.FORMULATEXT(표1[[#This Row],[Q''ty]])</f>
        <v>=F497</v>
      </c>
    </row>
    <row r="597" spans="1:10" s="2" customFormat="1" ht="15" hidden="1" customHeight="1" x14ac:dyDescent="0.4">
      <c r="A597" s="6">
        <v>2026</v>
      </c>
      <c r="B597" s="6">
        <f t="shared" ref="B597:B660" si="68">B498+1</f>
        <v>7</v>
      </c>
      <c r="C597" s="13" t="s">
        <v>23</v>
      </c>
      <c r="D597" s="2" t="s">
        <v>6</v>
      </c>
      <c r="E597" s="14" t="s">
        <v>8</v>
      </c>
      <c r="F597" s="22">
        <f t="shared" si="67"/>
        <v>10</v>
      </c>
      <c r="H597" s="5" t="str">
        <f ca="1">_xlfn.FORMULATEXT(표1[[#This Row],[Q''ty]])</f>
        <v>=F498</v>
      </c>
      <c r="I597" s="26"/>
      <c r="J597" s="26"/>
    </row>
    <row r="598" spans="1:10" s="2" customFormat="1" ht="15" hidden="1" customHeight="1" x14ac:dyDescent="0.4">
      <c r="A598" s="6">
        <v>2026</v>
      </c>
      <c r="B598" s="6">
        <f t="shared" si="68"/>
        <v>7</v>
      </c>
      <c r="C598" s="13" t="s">
        <v>23</v>
      </c>
      <c r="D598" s="2" t="s">
        <v>6</v>
      </c>
      <c r="E598" s="14" t="s">
        <v>9</v>
      </c>
      <c r="F598" s="22">
        <f t="shared" si="67"/>
        <v>5</v>
      </c>
      <c r="H598" s="5" t="str">
        <f ca="1">_xlfn.FORMULATEXT(표1[[#This Row],[Q''ty]])</f>
        <v>=F499</v>
      </c>
      <c r="I598" s="26"/>
      <c r="J598" s="26"/>
    </row>
    <row r="599" spans="1:10" ht="15" hidden="1" customHeight="1" x14ac:dyDescent="0.4">
      <c r="A599" s="6">
        <v>2026</v>
      </c>
      <c r="B599" s="6">
        <f t="shared" si="68"/>
        <v>7</v>
      </c>
      <c r="C599" s="13" t="s">
        <v>23</v>
      </c>
      <c r="D599" s="2" t="s">
        <v>6</v>
      </c>
      <c r="E599" s="14" t="s">
        <v>27</v>
      </c>
      <c r="F599" s="22">
        <f t="shared" si="67"/>
        <v>6</v>
      </c>
      <c r="H599" s="5" t="str">
        <f ca="1">_xlfn.FORMULATEXT(표1[[#This Row],[Q''ty]])</f>
        <v>=F500</v>
      </c>
    </row>
    <row r="600" spans="1:10" ht="15" hidden="1" customHeight="1" x14ac:dyDescent="0.4">
      <c r="A600" s="6">
        <v>2026</v>
      </c>
      <c r="B600" s="6">
        <f t="shared" si="68"/>
        <v>7</v>
      </c>
      <c r="C600" s="13" t="s">
        <v>23</v>
      </c>
      <c r="D600" s="2" t="s">
        <v>6</v>
      </c>
      <c r="E600" s="14" t="s">
        <v>10</v>
      </c>
      <c r="F600" s="22">
        <f t="shared" si="67"/>
        <v>10</v>
      </c>
      <c r="H600" s="5" t="str">
        <f ca="1">_xlfn.FORMULATEXT(표1[[#This Row],[Q''ty]])</f>
        <v>=F501</v>
      </c>
    </row>
    <row r="601" spans="1:10" ht="15" hidden="1" customHeight="1" x14ac:dyDescent="0.4">
      <c r="A601" s="6">
        <v>2026</v>
      </c>
      <c r="B601" s="6">
        <f t="shared" si="68"/>
        <v>7</v>
      </c>
      <c r="C601" s="13" t="s">
        <v>23</v>
      </c>
      <c r="D601" s="2" t="s">
        <v>6</v>
      </c>
      <c r="E601" s="14" t="s">
        <v>11</v>
      </c>
      <c r="F601" s="22">
        <f t="shared" si="67"/>
        <v>10</v>
      </c>
      <c r="H601" s="5" t="str">
        <f ca="1">_xlfn.FORMULATEXT(표1[[#This Row],[Q''ty]])</f>
        <v>=F502</v>
      </c>
    </row>
    <row r="602" spans="1:10" ht="15" hidden="1" customHeight="1" x14ac:dyDescent="0.4">
      <c r="A602" s="6">
        <v>2026</v>
      </c>
      <c r="B602" s="6">
        <f t="shared" si="68"/>
        <v>7</v>
      </c>
      <c r="C602" s="13" t="s">
        <v>23</v>
      </c>
      <c r="D602" s="2" t="s">
        <v>12</v>
      </c>
      <c r="E602" s="14" t="s">
        <v>13</v>
      </c>
      <c r="F602" s="22">
        <v>7</v>
      </c>
      <c r="H602" s="5" t="e">
        <f ca="1">_xlfn.FORMULATEXT(표1[[#This Row],[Q''ty]])</f>
        <v>#N/A</v>
      </c>
    </row>
    <row r="603" spans="1:10" s="2" customFormat="1" ht="15" hidden="1" customHeight="1" x14ac:dyDescent="0.4">
      <c r="A603" s="6">
        <v>2026</v>
      </c>
      <c r="B603" s="6">
        <f t="shared" si="68"/>
        <v>7</v>
      </c>
      <c r="C603" s="13" t="s">
        <v>23</v>
      </c>
      <c r="D603" s="2" t="s">
        <v>12</v>
      </c>
      <c r="E603" s="14" t="s">
        <v>14</v>
      </c>
      <c r="F603" s="22">
        <v>5</v>
      </c>
      <c r="H603" s="5" t="e">
        <f ca="1">_xlfn.FORMULATEXT(표1[[#This Row],[Q''ty]])</f>
        <v>#N/A</v>
      </c>
      <c r="I603" s="26"/>
      <c r="J603" s="26"/>
    </row>
    <row r="604" spans="1:10" ht="15" hidden="1" customHeight="1" x14ac:dyDescent="0.4">
      <c r="A604" s="6">
        <v>2026</v>
      </c>
      <c r="B604" s="6">
        <f t="shared" si="68"/>
        <v>7</v>
      </c>
      <c r="C604" s="13" t="s">
        <v>23</v>
      </c>
      <c r="D604" s="2" t="s">
        <v>12</v>
      </c>
      <c r="E604" s="14" t="s">
        <v>15</v>
      </c>
      <c r="F604" s="22">
        <v>77</v>
      </c>
      <c r="H604" s="5" t="e">
        <f ca="1">_xlfn.FORMULATEXT(표1[[#This Row],[Q''ty]])</f>
        <v>#N/A</v>
      </c>
    </row>
    <row r="605" spans="1:10" ht="15" hidden="1" customHeight="1" x14ac:dyDescent="0.4">
      <c r="A605" s="6">
        <v>2026</v>
      </c>
      <c r="B605" s="6">
        <f t="shared" si="68"/>
        <v>7</v>
      </c>
      <c r="C605" s="13" t="s">
        <v>23</v>
      </c>
      <c r="D605" s="2" t="s">
        <v>12</v>
      </c>
      <c r="E605" s="14" t="s">
        <v>16</v>
      </c>
      <c r="F605" s="22">
        <v>75</v>
      </c>
      <c r="H605" s="5" t="e">
        <f ca="1">_xlfn.FORMULATEXT(표1[[#This Row],[Q''ty]])</f>
        <v>#N/A</v>
      </c>
    </row>
    <row r="606" spans="1:10" ht="15" hidden="1" customHeight="1" thickBot="1" x14ac:dyDescent="0.45">
      <c r="A606" s="15">
        <v>2026</v>
      </c>
      <c r="B606" s="15">
        <f t="shared" si="68"/>
        <v>7</v>
      </c>
      <c r="C606" s="16" t="s">
        <v>23</v>
      </c>
      <c r="D606" s="17" t="s">
        <v>12</v>
      </c>
      <c r="E606" s="18" t="s">
        <v>17</v>
      </c>
      <c r="F606" s="22">
        <v>31</v>
      </c>
      <c r="H606" s="5" t="e">
        <f ca="1">_xlfn.FORMULATEXT(표1[[#This Row],[Q''ty]])</f>
        <v>#N/A</v>
      </c>
    </row>
    <row r="607" spans="1:10" ht="15" hidden="1" customHeight="1" thickTop="1" x14ac:dyDescent="0.4">
      <c r="A607" s="9">
        <v>2026</v>
      </c>
      <c r="B607" s="9">
        <f t="shared" si="68"/>
        <v>7</v>
      </c>
      <c r="C607" s="10" t="s">
        <v>29</v>
      </c>
      <c r="D607" s="11" t="s">
        <v>6</v>
      </c>
      <c r="E607" s="12" t="s">
        <v>7</v>
      </c>
      <c r="F607" s="21">
        <f t="shared" ref="F607:F612" si="69">F508</f>
        <v>14</v>
      </c>
      <c r="H607" s="5" t="str">
        <f ca="1">_xlfn.FORMULATEXT(표1[[#This Row],[Q''ty]])</f>
        <v>=F508</v>
      </c>
    </row>
    <row r="608" spans="1:10" s="2" customFormat="1" ht="15" hidden="1" customHeight="1" x14ac:dyDescent="0.4">
      <c r="A608" s="6">
        <v>2026</v>
      </c>
      <c r="B608" s="6">
        <f t="shared" si="68"/>
        <v>7</v>
      </c>
      <c r="C608" s="13" t="s">
        <v>24</v>
      </c>
      <c r="D608" s="2" t="s">
        <v>6</v>
      </c>
      <c r="E608" s="14" t="s">
        <v>8</v>
      </c>
      <c r="F608" s="22">
        <f t="shared" si="69"/>
        <v>8</v>
      </c>
      <c r="H608" s="5" t="str">
        <f ca="1">_xlfn.FORMULATEXT(표1[[#This Row],[Q''ty]])</f>
        <v>=F509</v>
      </c>
      <c r="I608" s="26"/>
      <c r="J608" s="26"/>
    </row>
    <row r="609" spans="1:10" s="2" customFormat="1" ht="15" hidden="1" customHeight="1" x14ac:dyDescent="0.4">
      <c r="A609" s="6">
        <v>2026</v>
      </c>
      <c r="B609" s="6">
        <f t="shared" si="68"/>
        <v>7</v>
      </c>
      <c r="C609" s="13" t="s">
        <v>24</v>
      </c>
      <c r="D609" s="2" t="s">
        <v>6</v>
      </c>
      <c r="E609" s="14" t="s">
        <v>9</v>
      </c>
      <c r="F609" s="22">
        <f t="shared" si="69"/>
        <v>4</v>
      </c>
      <c r="H609" s="5" t="str">
        <f ca="1">_xlfn.FORMULATEXT(표1[[#This Row],[Q''ty]])</f>
        <v>=F510</v>
      </c>
      <c r="I609" s="26"/>
      <c r="J609" s="26"/>
    </row>
    <row r="610" spans="1:10" ht="15" hidden="1" customHeight="1" x14ac:dyDescent="0.4">
      <c r="A610" s="6">
        <v>2026</v>
      </c>
      <c r="B610" s="6">
        <f t="shared" si="68"/>
        <v>7</v>
      </c>
      <c r="C610" s="13" t="s">
        <v>24</v>
      </c>
      <c r="D610" s="2" t="s">
        <v>6</v>
      </c>
      <c r="E610" s="14" t="s">
        <v>27</v>
      </c>
      <c r="F610" s="22">
        <f t="shared" si="69"/>
        <v>3</v>
      </c>
      <c r="H610" s="5" t="str">
        <f ca="1">_xlfn.FORMULATEXT(표1[[#This Row],[Q''ty]])</f>
        <v>=F511</v>
      </c>
    </row>
    <row r="611" spans="1:10" ht="15" hidden="1" customHeight="1" x14ac:dyDescent="0.4">
      <c r="A611" s="6">
        <v>2026</v>
      </c>
      <c r="B611" s="6">
        <f t="shared" si="68"/>
        <v>7</v>
      </c>
      <c r="C611" s="13" t="s">
        <v>24</v>
      </c>
      <c r="D611" s="2" t="s">
        <v>6</v>
      </c>
      <c r="E611" s="14" t="s">
        <v>10</v>
      </c>
      <c r="F611" s="22">
        <f t="shared" si="69"/>
        <v>6</v>
      </c>
      <c r="H611" s="5" t="str">
        <f ca="1">_xlfn.FORMULATEXT(표1[[#This Row],[Q''ty]])</f>
        <v>=F512</v>
      </c>
    </row>
    <row r="612" spans="1:10" ht="15" hidden="1" customHeight="1" x14ac:dyDescent="0.4">
      <c r="A612" s="6">
        <v>2026</v>
      </c>
      <c r="B612" s="6">
        <f t="shared" si="68"/>
        <v>7</v>
      </c>
      <c r="C612" s="13" t="s">
        <v>24</v>
      </c>
      <c r="D612" s="2" t="s">
        <v>6</v>
      </c>
      <c r="E612" s="14" t="s">
        <v>11</v>
      </c>
      <c r="F612" s="22">
        <f t="shared" si="69"/>
        <v>8.8000000000000007</v>
      </c>
      <c r="H612" s="5" t="str">
        <f ca="1">_xlfn.FORMULATEXT(표1[[#This Row],[Q''ty]])</f>
        <v>=F513</v>
      </c>
    </row>
    <row r="613" spans="1:10" ht="15" hidden="1" customHeight="1" x14ac:dyDescent="0.4">
      <c r="A613" s="6">
        <v>2026</v>
      </c>
      <c r="B613" s="6">
        <f t="shared" si="68"/>
        <v>7</v>
      </c>
      <c r="C613" s="13" t="s">
        <v>24</v>
      </c>
      <c r="D613" s="2" t="s">
        <v>12</v>
      </c>
      <c r="E613" s="14" t="s">
        <v>13</v>
      </c>
      <c r="F613" s="22">
        <v>7</v>
      </c>
      <c r="H613" s="5" t="e">
        <f ca="1">_xlfn.FORMULATEXT(표1[[#This Row],[Q''ty]])</f>
        <v>#N/A</v>
      </c>
    </row>
    <row r="614" spans="1:10" s="2" customFormat="1" ht="15" hidden="1" customHeight="1" x14ac:dyDescent="0.4">
      <c r="A614" s="6">
        <v>2026</v>
      </c>
      <c r="B614" s="6">
        <f t="shared" si="68"/>
        <v>7</v>
      </c>
      <c r="C614" s="13" t="s">
        <v>24</v>
      </c>
      <c r="D614" s="2" t="s">
        <v>12</v>
      </c>
      <c r="E614" s="14" t="s">
        <v>14</v>
      </c>
      <c r="F614" s="22">
        <v>10</v>
      </c>
      <c r="H614" s="5" t="e">
        <f ca="1">_xlfn.FORMULATEXT(표1[[#This Row],[Q''ty]])</f>
        <v>#N/A</v>
      </c>
      <c r="I614" s="26"/>
      <c r="J614" s="26"/>
    </row>
    <row r="615" spans="1:10" ht="15" hidden="1" customHeight="1" x14ac:dyDescent="0.4">
      <c r="A615" s="6">
        <v>2026</v>
      </c>
      <c r="B615" s="6">
        <f t="shared" si="68"/>
        <v>7</v>
      </c>
      <c r="C615" s="13" t="s">
        <v>24</v>
      </c>
      <c r="D615" s="2" t="s">
        <v>12</v>
      </c>
      <c r="E615" s="14" t="s">
        <v>15</v>
      </c>
      <c r="F615" s="22">
        <v>20</v>
      </c>
      <c r="H615" s="5" t="e">
        <f ca="1">_xlfn.FORMULATEXT(표1[[#This Row],[Q''ty]])</f>
        <v>#N/A</v>
      </c>
    </row>
    <row r="616" spans="1:10" ht="15" hidden="1" customHeight="1" x14ac:dyDescent="0.4">
      <c r="A616" s="6">
        <v>2026</v>
      </c>
      <c r="B616" s="6">
        <f t="shared" si="68"/>
        <v>7</v>
      </c>
      <c r="C616" s="13" t="s">
        <v>24</v>
      </c>
      <c r="D616" s="2" t="s">
        <v>12</v>
      </c>
      <c r="E616" s="14" t="s">
        <v>16</v>
      </c>
      <c r="F616" s="22">
        <v>21</v>
      </c>
      <c r="H616" s="5" t="e">
        <f ca="1">_xlfn.FORMULATEXT(표1[[#This Row],[Q''ty]])</f>
        <v>#N/A</v>
      </c>
    </row>
    <row r="617" spans="1:10" ht="15" hidden="1" customHeight="1" thickBot="1" x14ac:dyDescent="0.45">
      <c r="A617" s="15">
        <v>2026</v>
      </c>
      <c r="B617" s="15">
        <f t="shared" si="68"/>
        <v>7</v>
      </c>
      <c r="C617" s="16" t="s">
        <v>24</v>
      </c>
      <c r="D617" s="17" t="s">
        <v>12</v>
      </c>
      <c r="E617" s="18" t="s">
        <v>17</v>
      </c>
      <c r="F617" s="23">
        <v>40</v>
      </c>
      <c r="H617" s="5" t="e">
        <f ca="1">_xlfn.FORMULATEXT(표1[[#This Row],[Q''ty]])</f>
        <v>#N/A</v>
      </c>
    </row>
    <row r="618" spans="1:10" ht="15" hidden="1" customHeight="1" thickTop="1" x14ac:dyDescent="0.4">
      <c r="A618" s="6">
        <v>2026</v>
      </c>
      <c r="B618" s="6">
        <f t="shared" si="68"/>
        <v>7</v>
      </c>
      <c r="C618" s="13" t="s">
        <v>18</v>
      </c>
      <c r="D618" s="2" t="s">
        <v>6</v>
      </c>
      <c r="E618" s="14" t="str">
        <f t="shared" ref="E618:F623" si="70">E519</f>
        <v>Growing Line</v>
      </c>
      <c r="F618" s="22">
        <f t="shared" si="70"/>
        <v>5</v>
      </c>
      <c r="H618" s="5" t="str">
        <f ca="1">_xlfn.FORMULATEXT(표1[[#This Row],[Q''ty]])</f>
        <v>=F519</v>
      </c>
    </row>
    <row r="619" spans="1:10" ht="15" hidden="1" customHeight="1" x14ac:dyDescent="0.4">
      <c r="A619" s="6">
        <v>2026</v>
      </c>
      <c r="B619" s="6">
        <f t="shared" si="68"/>
        <v>7</v>
      </c>
      <c r="C619" s="13" t="s">
        <v>18</v>
      </c>
      <c r="D619" s="2" t="s">
        <v>6</v>
      </c>
      <c r="E619" s="14" t="str">
        <f t="shared" si="70"/>
        <v>Paint Booth</v>
      </c>
      <c r="F619" s="22">
        <f t="shared" si="70"/>
        <v>3</v>
      </c>
      <c r="H619" s="5" t="str">
        <f ca="1">_xlfn.FORMULATEXT(표1[[#This Row],[Q''ty]])</f>
        <v>=F520</v>
      </c>
    </row>
    <row r="620" spans="1:10" ht="15" hidden="1" customHeight="1" x14ac:dyDescent="0.4">
      <c r="A620" s="6">
        <v>2026</v>
      </c>
      <c r="B620" s="6">
        <f t="shared" si="68"/>
        <v>7</v>
      </c>
      <c r="C620" s="13" t="s">
        <v>18</v>
      </c>
      <c r="D620" s="2" t="s">
        <v>6</v>
      </c>
      <c r="E620" s="14" t="str">
        <f t="shared" si="70"/>
        <v>Paint Line</v>
      </c>
      <c r="F620" s="22">
        <f t="shared" si="70"/>
        <v>2</v>
      </c>
      <c r="H620" s="5" t="str">
        <f ca="1">_xlfn.FORMULATEXT(표1[[#This Row],[Q''ty]])</f>
        <v>=F521</v>
      </c>
    </row>
    <row r="621" spans="1:10" ht="15" hidden="1" customHeight="1" x14ac:dyDescent="0.4">
      <c r="A621" s="6">
        <v>2026</v>
      </c>
      <c r="B621" s="6">
        <f t="shared" si="68"/>
        <v>7</v>
      </c>
      <c r="C621" s="13" t="s">
        <v>18</v>
      </c>
      <c r="D621" s="2" t="s">
        <v>6</v>
      </c>
      <c r="E621" s="14" t="str">
        <f t="shared" si="70"/>
        <v>Roll Bending Machine</v>
      </c>
      <c r="F621" s="22">
        <f t="shared" si="70"/>
        <v>2</v>
      </c>
      <c r="H621" s="5" t="str">
        <f ca="1">_xlfn.FORMULATEXT(표1[[#This Row],[Q''ty]])</f>
        <v>=F522</v>
      </c>
    </row>
    <row r="622" spans="1:10" ht="15" hidden="1" customHeight="1" x14ac:dyDescent="0.4">
      <c r="A622" s="6">
        <v>2026</v>
      </c>
      <c r="B622" s="6">
        <f t="shared" si="68"/>
        <v>7</v>
      </c>
      <c r="C622" s="13" t="s">
        <v>18</v>
      </c>
      <c r="D622" s="2" t="s">
        <v>6</v>
      </c>
      <c r="E622" s="14" t="str">
        <f t="shared" si="70"/>
        <v>L/W Machine</v>
      </c>
      <c r="F622" s="22">
        <f t="shared" si="70"/>
        <v>2</v>
      </c>
      <c r="H622" s="5" t="str">
        <f ca="1">_xlfn.FORMULATEXT(표1[[#This Row],[Q''ty]])</f>
        <v>=F523</v>
      </c>
    </row>
    <row r="623" spans="1:10" ht="15" hidden="1" customHeight="1" x14ac:dyDescent="0.4">
      <c r="A623" s="6">
        <v>2026</v>
      </c>
      <c r="B623" s="6">
        <f t="shared" si="68"/>
        <v>7</v>
      </c>
      <c r="C623" s="13" t="s">
        <v>18</v>
      </c>
      <c r="D623" s="2" t="s">
        <v>6</v>
      </c>
      <c r="E623" s="14" t="str">
        <f t="shared" si="70"/>
        <v>C/W Machine</v>
      </c>
      <c r="F623" s="22">
        <f t="shared" si="70"/>
        <v>3</v>
      </c>
      <c r="H623" s="5" t="str">
        <f ca="1">_xlfn.FORMULATEXT(표1[[#This Row],[Q''ty]])</f>
        <v>=F524</v>
      </c>
    </row>
    <row r="624" spans="1:10" ht="15" hidden="1" customHeight="1" x14ac:dyDescent="0.4">
      <c r="A624" s="6">
        <v>2026</v>
      </c>
      <c r="B624" s="6">
        <f t="shared" si="68"/>
        <v>7</v>
      </c>
      <c r="C624" s="13" t="s">
        <v>18</v>
      </c>
      <c r="D624" s="2" t="s">
        <v>12</v>
      </c>
      <c r="E624" s="14" t="str">
        <f t="shared" ref="E624:E639" si="71">E525</f>
        <v>BT GT</v>
      </c>
      <c r="F624" s="22">
        <v>0</v>
      </c>
      <c r="H624" s="5" t="e">
        <f ca="1">_xlfn.FORMULATEXT(표1[[#This Row],[Q''ty]])</f>
        <v>#N/A</v>
      </c>
    </row>
    <row r="625" spans="1:8" ht="15" hidden="1" customHeight="1" x14ac:dyDescent="0.4">
      <c r="A625" s="6">
        <v>2026</v>
      </c>
      <c r="B625" s="6">
        <f t="shared" si="68"/>
        <v>7</v>
      </c>
      <c r="C625" s="13" t="s">
        <v>18</v>
      </c>
      <c r="D625" s="2" t="s">
        <v>12</v>
      </c>
      <c r="E625" s="14" t="str">
        <f t="shared" si="71"/>
        <v>WT GT</v>
      </c>
      <c r="F625" s="22">
        <v>0</v>
      </c>
      <c r="H625" s="5" t="e">
        <f ca="1">_xlfn.FORMULATEXT(표1[[#This Row],[Q''ty]])</f>
        <v>#N/A</v>
      </c>
    </row>
    <row r="626" spans="1:8" ht="15" hidden="1" customHeight="1" x14ac:dyDescent="0.4">
      <c r="A626" s="6">
        <v>2026</v>
      </c>
      <c r="B626" s="6">
        <f t="shared" si="68"/>
        <v>7</v>
      </c>
      <c r="C626" s="13" t="s">
        <v>18</v>
      </c>
      <c r="D626" s="2" t="s">
        <v>12</v>
      </c>
      <c r="E626" s="14" t="str">
        <f t="shared" si="71"/>
        <v>Bending</v>
      </c>
      <c r="F626" s="22">
        <v>18</v>
      </c>
      <c r="H626" s="5" t="e">
        <f ca="1">_xlfn.FORMULATEXT(표1[[#This Row],[Q''ty]])</f>
        <v>#N/A</v>
      </c>
    </row>
    <row r="627" spans="1:8" ht="15" hidden="1" customHeight="1" x14ac:dyDescent="0.4">
      <c r="A627" s="6">
        <v>2026</v>
      </c>
      <c r="B627" s="6">
        <f t="shared" si="68"/>
        <v>7</v>
      </c>
      <c r="C627" s="13" t="s">
        <v>18</v>
      </c>
      <c r="D627" s="2" t="s">
        <v>12</v>
      </c>
      <c r="E627" s="14" t="str">
        <f t="shared" si="71"/>
        <v>L/W</v>
      </c>
      <c r="F627" s="22">
        <v>13.5</v>
      </c>
      <c r="H627" s="5" t="e">
        <f ca="1">_xlfn.FORMULATEXT(표1[[#This Row],[Q''ty]])</f>
        <v>#N/A</v>
      </c>
    </row>
    <row r="628" spans="1:8" ht="15" hidden="1" customHeight="1" thickBot="1" x14ac:dyDescent="0.45">
      <c r="A628" s="15">
        <v>2026</v>
      </c>
      <c r="B628" s="15">
        <f t="shared" si="68"/>
        <v>7</v>
      </c>
      <c r="C628" s="16" t="s">
        <v>18</v>
      </c>
      <c r="D628" s="17" t="s">
        <v>12</v>
      </c>
      <c r="E628" s="18" t="str">
        <f t="shared" si="71"/>
        <v>C/W</v>
      </c>
      <c r="F628" s="23">
        <v>0.5</v>
      </c>
      <c r="H628" s="5" t="e">
        <f ca="1">_xlfn.FORMULATEXT(표1[[#This Row],[Q''ty]])</f>
        <v>#N/A</v>
      </c>
    </row>
    <row r="629" spans="1:8" ht="15" hidden="1" customHeight="1" thickTop="1" x14ac:dyDescent="0.4">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hidden="1" customHeight="1" x14ac:dyDescent="0.4">
      <c r="A630" s="6">
        <v>2026</v>
      </c>
      <c r="B630" s="6">
        <f t="shared" si="68"/>
        <v>7</v>
      </c>
      <c r="C630" s="13" t="s">
        <v>19</v>
      </c>
      <c r="D630" s="2" t="s">
        <v>6</v>
      </c>
      <c r="E630" s="14" t="str">
        <f t="shared" si="71"/>
        <v>Paint Booth</v>
      </c>
      <c r="F630" s="22">
        <f t="shared" si="72"/>
        <v>22</v>
      </c>
      <c r="H630" s="5" t="str">
        <f ca="1">_xlfn.FORMULATEXT(표1[[#This Row],[Q''ty]])</f>
        <v>=F531</v>
      </c>
    </row>
    <row r="631" spans="1:8" ht="15" hidden="1" customHeight="1" x14ac:dyDescent="0.4">
      <c r="A631" s="6">
        <v>2026</v>
      </c>
      <c r="B631" s="6">
        <f t="shared" si="68"/>
        <v>7</v>
      </c>
      <c r="C631" s="13" t="s">
        <v>19</v>
      </c>
      <c r="D631" s="2" t="s">
        <v>6</v>
      </c>
      <c r="E631" s="14" t="str">
        <f t="shared" si="71"/>
        <v>Paint Line</v>
      </c>
      <c r="F631" s="22">
        <f t="shared" si="72"/>
        <v>6</v>
      </c>
      <c r="H631" s="5" t="str">
        <f ca="1">_xlfn.FORMULATEXT(표1[[#This Row],[Q''ty]])</f>
        <v>=F532</v>
      </c>
    </row>
    <row r="632" spans="1:8" ht="15" hidden="1" customHeight="1" x14ac:dyDescent="0.4">
      <c r="A632" s="6">
        <v>2026</v>
      </c>
      <c r="B632" s="6">
        <f t="shared" si="68"/>
        <v>7</v>
      </c>
      <c r="C632" s="13" t="s">
        <v>19</v>
      </c>
      <c r="D632" s="2" t="s">
        <v>6</v>
      </c>
      <c r="E632" s="14" t="str">
        <f t="shared" si="71"/>
        <v>Roll Bending Machine</v>
      </c>
      <c r="F632" s="22">
        <f t="shared" si="72"/>
        <v>4</v>
      </c>
      <c r="H632" s="5" t="str">
        <f ca="1">_xlfn.FORMULATEXT(표1[[#This Row],[Q''ty]])</f>
        <v>=F533</v>
      </c>
    </row>
    <row r="633" spans="1:8" ht="15" hidden="1" customHeight="1" x14ac:dyDescent="0.4">
      <c r="A633" s="6">
        <v>2026</v>
      </c>
      <c r="B633" s="6">
        <f t="shared" si="68"/>
        <v>7</v>
      </c>
      <c r="C633" s="13" t="s">
        <v>19</v>
      </c>
      <c r="D633" s="2" t="s">
        <v>6</v>
      </c>
      <c r="E633" s="14" t="str">
        <f t="shared" si="71"/>
        <v>L/W Machine</v>
      </c>
      <c r="F633" s="22">
        <f t="shared" si="72"/>
        <v>10</v>
      </c>
      <c r="H633" s="5" t="str">
        <f ca="1">_xlfn.FORMULATEXT(표1[[#This Row],[Q''ty]])</f>
        <v>=F534</v>
      </c>
    </row>
    <row r="634" spans="1:8" ht="15" hidden="1" customHeight="1" x14ac:dyDescent="0.4">
      <c r="A634" s="6">
        <v>2026</v>
      </c>
      <c r="B634" s="6">
        <f t="shared" si="68"/>
        <v>7</v>
      </c>
      <c r="C634" s="13" t="s">
        <v>19</v>
      </c>
      <c r="D634" s="2" t="s">
        <v>6</v>
      </c>
      <c r="E634" s="14" t="str">
        <f t="shared" si="71"/>
        <v>C/W Machine</v>
      </c>
      <c r="F634" s="22">
        <f t="shared" si="72"/>
        <v>12</v>
      </c>
      <c r="H634" s="5" t="str">
        <f ca="1">_xlfn.FORMULATEXT(표1[[#This Row],[Q''ty]])</f>
        <v>=F535</v>
      </c>
    </row>
    <row r="635" spans="1:8" ht="15" hidden="1" customHeight="1" x14ac:dyDescent="0.4">
      <c r="A635" s="6">
        <v>2026</v>
      </c>
      <c r="B635" s="6">
        <f t="shared" si="68"/>
        <v>7</v>
      </c>
      <c r="C635" s="13" t="s">
        <v>19</v>
      </c>
      <c r="D635" s="2" t="s">
        <v>12</v>
      </c>
      <c r="E635" s="14" t="str">
        <f t="shared" si="71"/>
        <v>BT GT</v>
      </c>
      <c r="F635" s="22">
        <v>30</v>
      </c>
      <c r="H635" s="5" t="e">
        <f ca="1">_xlfn.FORMULATEXT(표1[[#This Row],[Q''ty]])</f>
        <v>#N/A</v>
      </c>
    </row>
    <row r="636" spans="1:8" ht="15" hidden="1" customHeight="1" x14ac:dyDescent="0.4">
      <c r="A636" s="6">
        <v>2026</v>
      </c>
      <c r="B636" s="6">
        <f t="shared" si="68"/>
        <v>7</v>
      </c>
      <c r="C636" s="13" t="s">
        <v>19</v>
      </c>
      <c r="D636" s="2" t="s">
        <v>12</v>
      </c>
      <c r="E636" s="14" t="str">
        <f t="shared" si="71"/>
        <v>WT GT</v>
      </c>
      <c r="F636" s="22">
        <v>28</v>
      </c>
      <c r="H636" s="5" t="e">
        <f ca="1">_xlfn.FORMULATEXT(표1[[#This Row],[Q''ty]])</f>
        <v>#N/A</v>
      </c>
    </row>
    <row r="637" spans="1:8" ht="15" hidden="1" customHeight="1" x14ac:dyDescent="0.4">
      <c r="A637" s="6">
        <v>2026</v>
      </c>
      <c r="B637" s="6">
        <f t="shared" si="68"/>
        <v>7</v>
      </c>
      <c r="C637" s="13" t="s">
        <v>19</v>
      </c>
      <c r="D637" s="2" t="s">
        <v>12</v>
      </c>
      <c r="E637" s="14" t="str">
        <f t="shared" si="71"/>
        <v>Bending</v>
      </c>
      <c r="F637" s="22">
        <v>191</v>
      </c>
      <c r="H637" s="5" t="e">
        <f ca="1">_xlfn.FORMULATEXT(표1[[#This Row],[Q''ty]])</f>
        <v>#N/A</v>
      </c>
    </row>
    <row r="638" spans="1:8" ht="15" hidden="1" customHeight="1" x14ac:dyDescent="0.4">
      <c r="A638" s="6">
        <v>2026</v>
      </c>
      <c r="B638" s="6">
        <f t="shared" si="68"/>
        <v>7</v>
      </c>
      <c r="C638" s="13" t="s">
        <v>19</v>
      </c>
      <c r="D638" s="2" t="s">
        <v>12</v>
      </c>
      <c r="E638" s="14" t="str">
        <f t="shared" si="71"/>
        <v>L/W</v>
      </c>
      <c r="F638" s="22">
        <v>191</v>
      </c>
      <c r="H638" s="5" t="e">
        <f ca="1">_xlfn.FORMULATEXT(표1[[#This Row],[Q''ty]])</f>
        <v>#N/A</v>
      </c>
    </row>
    <row r="639" spans="1:8" ht="15" hidden="1" customHeight="1" thickBot="1" x14ac:dyDescent="0.45">
      <c r="A639" s="15">
        <v>2026</v>
      </c>
      <c r="B639" s="15">
        <f t="shared" si="68"/>
        <v>7</v>
      </c>
      <c r="C639" s="16" t="s">
        <v>19</v>
      </c>
      <c r="D639" s="17" t="s">
        <v>12</v>
      </c>
      <c r="E639" s="18" t="str">
        <f t="shared" si="71"/>
        <v>C/W</v>
      </c>
      <c r="F639" s="23">
        <v>187</v>
      </c>
      <c r="H639" s="5" t="e">
        <f ca="1">_xlfn.FORMULATEXT(표1[[#This Row],[Q''ty]])</f>
        <v>#N/A</v>
      </c>
    </row>
    <row r="640" spans="1:8" ht="15" hidden="1" customHeight="1" thickTop="1" x14ac:dyDescent="0.4">
      <c r="A640" s="6">
        <v>2026</v>
      </c>
      <c r="B640" s="6">
        <f t="shared" si="68"/>
        <v>7</v>
      </c>
      <c r="C640" s="13" t="s">
        <v>25</v>
      </c>
      <c r="D640" s="2" t="s">
        <v>6</v>
      </c>
      <c r="E640" s="14" t="s">
        <v>7</v>
      </c>
      <c r="F640" s="22">
        <f t="shared" ref="F640:F645" si="73">F541</f>
        <v>3</v>
      </c>
      <c r="H640" s="5" t="str">
        <f ca="1">_xlfn.FORMULATEXT(표1[[#This Row],[Q''ty]])</f>
        <v>=F541</v>
      </c>
    </row>
    <row r="641" spans="1:8" ht="15" hidden="1" customHeight="1" x14ac:dyDescent="0.4">
      <c r="A641" s="6">
        <v>2026</v>
      </c>
      <c r="B641" s="6">
        <f t="shared" si="68"/>
        <v>7</v>
      </c>
      <c r="C641" s="13" t="s">
        <v>25</v>
      </c>
      <c r="D641" s="2" t="s">
        <v>6</v>
      </c>
      <c r="E641" s="14" t="s">
        <v>8</v>
      </c>
      <c r="F641" s="22">
        <f t="shared" si="73"/>
        <v>3</v>
      </c>
      <c r="H641" s="5" t="str">
        <f ca="1">_xlfn.FORMULATEXT(표1[[#This Row],[Q''ty]])</f>
        <v>=F542</v>
      </c>
    </row>
    <row r="642" spans="1:8" ht="15" hidden="1" customHeight="1" x14ac:dyDescent="0.4">
      <c r="A642" s="6">
        <v>2026</v>
      </c>
      <c r="B642" s="6">
        <f t="shared" si="68"/>
        <v>7</v>
      </c>
      <c r="C642" s="13" t="s">
        <v>25</v>
      </c>
      <c r="D642" s="2" t="s">
        <v>6</v>
      </c>
      <c r="E642" s="14" t="s">
        <v>9</v>
      </c>
      <c r="F642" s="22">
        <f t="shared" si="73"/>
        <v>2</v>
      </c>
      <c r="H642" s="5" t="str">
        <f ca="1">_xlfn.FORMULATEXT(표1[[#This Row],[Q''ty]])</f>
        <v>=F543</v>
      </c>
    </row>
    <row r="643" spans="1:8" ht="15" hidden="1" customHeight="1" x14ac:dyDescent="0.4">
      <c r="A643" s="6">
        <v>2026</v>
      </c>
      <c r="B643" s="6">
        <f t="shared" si="68"/>
        <v>7</v>
      </c>
      <c r="C643" s="13" t="s">
        <v>25</v>
      </c>
      <c r="D643" s="2" t="s">
        <v>6</v>
      </c>
      <c r="E643" s="14" t="s">
        <v>27</v>
      </c>
      <c r="F643" s="22">
        <f t="shared" si="73"/>
        <v>2</v>
      </c>
      <c r="H643" s="5" t="str">
        <f ca="1">_xlfn.FORMULATEXT(표1[[#This Row],[Q''ty]])</f>
        <v>=F544</v>
      </c>
    </row>
    <row r="644" spans="1:8" ht="15" hidden="1" customHeight="1" x14ac:dyDescent="0.4">
      <c r="A644" s="6">
        <v>2026</v>
      </c>
      <c r="B644" s="6">
        <f t="shared" si="68"/>
        <v>7</v>
      </c>
      <c r="C644" s="13" t="s">
        <v>25</v>
      </c>
      <c r="D644" s="2" t="s">
        <v>6</v>
      </c>
      <c r="E644" s="14" t="s">
        <v>10</v>
      </c>
      <c r="F644" s="22">
        <f t="shared" si="73"/>
        <v>3</v>
      </c>
      <c r="H644" s="5" t="str">
        <f ca="1">_xlfn.FORMULATEXT(표1[[#This Row],[Q''ty]])</f>
        <v>=F545</v>
      </c>
    </row>
    <row r="645" spans="1:8" ht="15" hidden="1" customHeight="1" x14ac:dyDescent="0.4">
      <c r="A645" s="6">
        <v>2026</v>
      </c>
      <c r="B645" s="6">
        <f t="shared" si="68"/>
        <v>7</v>
      </c>
      <c r="C645" s="13" t="s">
        <v>25</v>
      </c>
      <c r="D645" s="2" t="s">
        <v>6</v>
      </c>
      <c r="E645" s="14" t="s">
        <v>11</v>
      </c>
      <c r="F645" s="22">
        <f t="shared" si="73"/>
        <v>4</v>
      </c>
      <c r="H645" s="5" t="str">
        <f ca="1">_xlfn.FORMULATEXT(표1[[#This Row],[Q''ty]])</f>
        <v>=F546</v>
      </c>
    </row>
    <row r="646" spans="1:8" ht="15" hidden="1" customHeight="1" x14ac:dyDescent="0.4">
      <c r="A646" s="6">
        <v>2026</v>
      </c>
      <c r="B646" s="6">
        <f t="shared" si="68"/>
        <v>7</v>
      </c>
      <c r="C646" s="13" t="s">
        <v>25</v>
      </c>
      <c r="D646" s="2" t="s">
        <v>12</v>
      </c>
      <c r="E646" s="14" t="s">
        <v>13</v>
      </c>
      <c r="F646" s="22">
        <v>0</v>
      </c>
      <c r="H646" s="5" t="e">
        <f ca="1">_xlfn.FORMULATEXT(표1[[#This Row],[Q''ty]])</f>
        <v>#N/A</v>
      </c>
    </row>
    <row r="647" spans="1:8" ht="15" hidden="1" customHeight="1" x14ac:dyDescent="0.4">
      <c r="A647" s="6">
        <v>2026</v>
      </c>
      <c r="B647" s="6">
        <f t="shared" si="68"/>
        <v>7</v>
      </c>
      <c r="C647" s="13" t="s">
        <v>25</v>
      </c>
      <c r="D647" s="2" t="s">
        <v>12</v>
      </c>
      <c r="E647" s="14" t="s">
        <v>14</v>
      </c>
      <c r="F647" s="22">
        <v>0</v>
      </c>
      <c r="H647" s="5" t="e">
        <f ca="1">_xlfn.FORMULATEXT(표1[[#This Row],[Q''ty]])</f>
        <v>#N/A</v>
      </c>
    </row>
    <row r="648" spans="1:8" ht="15" hidden="1" customHeight="1" x14ac:dyDescent="0.4">
      <c r="A648" s="6">
        <v>2026</v>
      </c>
      <c r="B648" s="6">
        <f t="shared" si="68"/>
        <v>7</v>
      </c>
      <c r="C648" s="13" t="s">
        <v>25</v>
      </c>
      <c r="D648" s="2" t="s">
        <v>12</v>
      </c>
      <c r="E648" s="14" t="s">
        <v>15</v>
      </c>
      <c r="F648" s="22">
        <v>0</v>
      </c>
      <c r="H648" s="5" t="e">
        <f ca="1">_xlfn.FORMULATEXT(표1[[#This Row],[Q''ty]])</f>
        <v>#N/A</v>
      </c>
    </row>
    <row r="649" spans="1:8" ht="15" hidden="1" customHeight="1" x14ac:dyDescent="0.4">
      <c r="A649" s="6">
        <v>2026</v>
      </c>
      <c r="B649" s="6">
        <f t="shared" si="68"/>
        <v>7</v>
      </c>
      <c r="C649" s="13" t="s">
        <v>25</v>
      </c>
      <c r="D649" s="2" t="s">
        <v>12</v>
      </c>
      <c r="E649" s="14" t="s">
        <v>16</v>
      </c>
      <c r="F649" s="22">
        <v>0</v>
      </c>
      <c r="H649" s="5" t="e">
        <f ca="1">_xlfn.FORMULATEXT(표1[[#This Row],[Q''ty]])</f>
        <v>#N/A</v>
      </c>
    </row>
    <row r="650" spans="1:8" ht="15" hidden="1" customHeight="1" thickBot="1" x14ac:dyDescent="0.45">
      <c r="A650" s="15">
        <v>2026</v>
      </c>
      <c r="B650" s="15">
        <f t="shared" si="68"/>
        <v>7</v>
      </c>
      <c r="C650" s="16" t="s">
        <v>25</v>
      </c>
      <c r="D650" s="17" t="s">
        <v>12</v>
      </c>
      <c r="E650" s="18" t="s">
        <v>17</v>
      </c>
      <c r="F650" s="23">
        <v>0</v>
      </c>
      <c r="H650" s="5" t="e">
        <f ca="1">_xlfn.FORMULATEXT(표1[[#This Row],[Q''ty]])</f>
        <v>#N/A</v>
      </c>
    </row>
    <row r="651" spans="1:8" ht="15" hidden="1" customHeight="1" thickTop="1" x14ac:dyDescent="0.4">
      <c r="A651" s="6">
        <v>2026</v>
      </c>
      <c r="B651" s="6">
        <f t="shared" si="68"/>
        <v>7</v>
      </c>
      <c r="C651" s="13" t="s">
        <v>26</v>
      </c>
      <c r="D651" s="2" t="s">
        <v>6</v>
      </c>
      <c r="E651" s="14" t="s">
        <v>7</v>
      </c>
      <c r="F651" s="22">
        <f t="shared" ref="F651:F656" si="74">F552</f>
        <v>6</v>
      </c>
      <c r="H651" s="5" t="str">
        <f ca="1">_xlfn.FORMULATEXT(표1[[#This Row],[Q''ty]])</f>
        <v>=F552</v>
      </c>
    </row>
    <row r="652" spans="1:8" ht="15" hidden="1" customHeight="1" x14ac:dyDescent="0.4">
      <c r="A652" s="6">
        <v>2026</v>
      </c>
      <c r="B652" s="6">
        <f t="shared" si="68"/>
        <v>7</v>
      </c>
      <c r="C652" s="13" t="s">
        <v>26</v>
      </c>
      <c r="D652" s="2" t="s">
        <v>6</v>
      </c>
      <c r="E652" s="14" t="s">
        <v>8</v>
      </c>
      <c r="F652" s="22">
        <f t="shared" si="74"/>
        <v>4</v>
      </c>
      <c r="H652" s="5" t="str">
        <f ca="1">_xlfn.FORMULATEXT(표1[[#This Row],[Q''ty]])</f>
        <v>=F553</v>
      </c>
    </row>
    <row r="653" spans="1:8" ht="15" hidden="1" customHeight="1" x14ac:dyDescent="0.4">
      <c r="A653" s="6">
        <v>2026</v>
      </c>
      <c r="B653" s="6">
        <f t="shared" si="68"/>
        <v>7</v>
      </c>
      <c r="C653" s="13" t="s">
        <v>26</v>
      </c>
      <c r="D653" s="2" t="s">
        <v>6</v>
      </c>
      <c r="E653" s="14" t="s">
        <v>9</v>
      </c>
      <c r="F653" s="22">
        <f t="shared" si="74"/>
        <v>2</v>
      </c>
      <c r="H653" s="5" t="str">
        <f ca="1">_xlfn.FORMULATEXT(표1[[#This Row],[Q''ty]])</f>
        <v>=F554</v>
      </c>
    </row>
    <row r="654" spans="1:8" ht="15" hidden="1" customHeight="1" x14ac:dyDescent="0.4">
      <c r="A654" s="6">
        <v>2026</v>
      </c>
      <c r="B654" s="6">
        <f t="shared" si="68"/>
        <v>7</v>
      </c>
      <c r="C654" s="13" t="s">
        <v>26</v>
      </c>
      <c r="D654" s="2" t="s">
        <v>6</v>
      </c>
      <c r="E654" s="14" t="s">
        <v>27</v>
      </c>
      <c r="F654" s="22">
        <f t="shared" si="74"/>
        <v>3</v>
      </c>
      <c r="H654" s="5" t="str">
        <f ca="1">_xlfn.FORMULATEXT(표1[[#This Row],[Q''ty]])</f>
        <v>=F555</v>
      </c>
    </row>
    <row r="655" spans="1:8" ht="15" hidden="1" customHeight="1" x14ac:dyDescent="0.4">
      <c r="A655" s="6">
        <v>2026</v>
      </c>
      <c r="B655" s="6">
        <f t="shared" si="68"/>
        <v>7</v>
      </c>
      <c r="C655" s="13" t="s">
        <v>26</v>
      </c>
      <c r="D655" s="2" t="s">
        <v>6</v>
      </c>
      <c r="E655" s="14" t="s">
        <v>10</v>
      </c>
      <c r="F655" s="22">
        <f t="shared" si="74"/>
        <v>4</v>
      </c>
      <c r="H655" s="5" t="str">
        <f ca="1">_xlfn.FORMULATEXT(표1[[#This Row],[Q''ty]])</f>
        <v>=F556</v>
      </c>
    </row>
    <row r="656" spans="1:8" ht="15" hidden="1" customHeight="1" x14ac:dyDescent="0.4">
      <c r="A656" s="6">
        <v>2026</v>
      </c>
      <c r="B656" s="6">
        <f t="shared" si="68"/>
        <v>7</v>
      </c>
      <c r="C656" s="13" t="s">
        <v>26</v>
      </c>
      <c r="D656" s="2" t="s">
        <v>6</v>
      </c>
      <c r="E656" s="14" t="s">
        <v>11</v>
      </c>
      <c r="F656" s="22">
        <f t="shared" si="74"/>
        <v>6</v>
      </c>
      <c r="H656" s="5" t="str">
        <f ca="1">_xlfn.FORMULATEXT(표1[[#This Row],[Q''ty]])</f>
        <v>=F557</v>
      </c>
    </row>
    <row r="657" spans="1:8" ht="15" hidden="1" customHeight="1" x14ac:dyDescent="0.4">
      <c r="A657" s="6">
        <v>2026</v>
      </c>
      <c r="B657" s="6">
        <f t="shared" si="68"/>
        <v>7</v>
      </c>
      <c r="C657" s="13" t="s">
        <v>26</v>
      </c>
      <c r="D657" s="2" t="s">
        <v>12</v>
      </c>
      <c r="E657" s="14" t="str">
        <f t="shared" ref="E657:E694" si="75">E558</f>
        <v>BT GT</v>
      </c>
      <c r="F657" s="22">
        <v>17</v>
      </c>
      <c r="H657" s="5" t="e">
        <f ca="1">_xlfn.FORMULATEXT(표1[[#This Row],[Q''ty]])</f>
        <v>#N/A</v>
      </c>
    </row>
    <row r="658" spans="1:8" ht="15" hidden="1" customHeight="1" x14ac:dyDescent="0.4">
      <c r="A658" s="6">
        <v>2026</v>
      </c>
      <c r="B658" s="6">
        <f t="shared" si="68"/>
        <v>7</v>
      </c>
      <c r="C658" s="13" t="s">
        <v>26</v>
      </c>
      <c r="D658" s="2" t="s">
        <v>12</v>
      </c>
      <c r="E658" s="14" t="str">
        <f t="shared" si="75"/>
        <v>WT GT</v>
      </c>
      <c r="F658" s="22">
        <v>17</v>
      </c>
      <c r="H658" s="5" t="e">
        <f ca="1">_xlfn.FORMULATEXT(표1[[#This Row],[Q''ty]])</f>
        <v>#N/A</v>
      </c>
    </row>
    <row r="659" spans="1:8" ht="15" hidden="1" customHeight="1" x14ac:dyDescent="0.4">
      <c r="A659" s="6">
        <v>2026</v>
      </c>
      <c r="B659" s="6">
        <f t="shared" si="68"/>
        <v>7</v>
      </c>
      <c r="C659" s="13" t="s">
        <v>26</v>
      </c>
      <c r="D659" s="2" t="s">
        <v>12</v>
      </c>
      <c r="E659" s="14" t="str">
        <f t="shared" si="75"/>
        <v>Bending</v>
      </c>
      <c r="F659" s="22">
        <v>105</v>
      </c>
      <c r="H659" s="5" t="e">
        <f ca="1">_xlfn.FORMULATEXT(표1[[#This Row],[Q''ty]])</f>
        <v>#N/A</v>
      </c>
    </row>
    <row r="660" spans="1:8" ht="15" hidden="1" customHeight="1" x14ac:dyDescent="0.4">
      <c r="A660" s="6">
        <v>2026</v>
      </c>
      <c r="B660" s="6">
        <f t="shared" si="68"/>
        <v>7</v>
      </c>
      <c r="C660" s="13" t="s">
        <v>26</v>
      </c>
      <c r="D660" s="2" t="s">
        <v>12</v>
      </c>
      <c r="E660" s="14" t="str">
        <f t="shared" si="75"/>
        <v>L/W</v>
      </c>
      <c r="F660" s="22">
        <v>93</v>
      </c>
      <c r="H660" s="5" t="e">
        <f ca="1">_xlfn.FORMULATEXT(표1[[#This Row],[Q''ty]])</f>
        <v>#N/A</v>
      </c>
    </row>
    <row r="661" spans="1:8" ht="15" hidden="1" customHeight="1" thickBot="1" x14ac:dyDescent="0.45">
      <c r="A661" s="15">
        <v>2026</v>
      </c>
      <c r="B661" s="15">
        <f t="shared" ref="B661:B694" si="76">B562+1</f>
        <v>7</v>
      </c>
      <c r="C661" s="16" t="s">
        <v>26</v>
      </c>
      <c r="D661" s="17" t="s">
        <v>12</v>
      </c>
      <c r="E661" s="18" t="str">
        <f t="shared" si="75"/>
        <v>C/W</v>
      </c>
      <c r="F661" s="23">
        <v>155.5</v>
      </c>
      <c r="H661" s="5" t="e">
        <f ca="1">_xlfn.FORMULATEXT(표1[[#This Row],[Q''ty]])</f>
        <v>#N/A</v>
      </c>
    </row>
    <row r="662" spans="1:8" ht="15" hidden="1" customHeight="1" thickTop="1" x14ac:dyDescent="0.4">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hidden="1" customHeight="1" x14ac:dyDescent="0.4">
      <c r="A663" s="6">
        <v>2026</v>
      </c>
      <c r="B663" s="6">
        <f t="shared" si="76"/>
        <v>7</v>
      </c>
      <c r="C663" s="13" t="s">
        <v>20</v>
      </c>
      <c r="D663" s="2" t="s">
        <v>6</v>
      </c>
      <c r="E663" s="14" t="str">
        <f t="shared" si="75"/>
        <v>Paint Booth</v>
      </c>
      <c r="F663" s="22">
        <f t="shared" si="77"/>
        <v>16</v>
      </c>
      <c r="H663" s="5" t="str">
        <f ca="1">_xlfn.FORMULATEXT(표1[[#This Row],[Q''ty]])</f>
        <v>=F564</v>
      </c>
    </row>
    <row r="664" spans="1:8" ht="15" hidden="1" customHeight="1" x14ac:dyDescent="0.4">
      <c r="A664" s="6">
        <v>2026</v>
      </c>
      <c r="B664" s="6">
        <f t="shared" si="76"/>
        <v>7</v>
      </c>
      <c r="C664" s="13" t="s">
        <v>20</v>
      </c>
      <c r="D664" s="2" t="s">
        <v>6</v>
      </c>
      <c r="E664" s="14" t="str">
        <f t="shared" si="75"/>
        <v>Paint Line</v>
      </c>
      <c r="F664" s="22">
        <f t="shared" si="77"/>
        <v>8</v>
      </c>
      <c r="H664" s="5" t="str">
        <f ca="1">_xlfn.FORMULATEXT(표1[[#This Row],[Q''ty]])</f>
        <v>=F565</v>
      </c>
    </row>
    <row r="665" spans="1:8" ht="15" hidden="1" customHeight="1" x14ac:dyDescent="0.4">
      <c r="A665" s="6">
        <v>2026</v>
      </c>
      <c r="B665" s="6">
        <f t="shared" si="76"/>
        <v>7</v>
      </c>
      <c r="C665" s="13" t="s">
        <v>20</v>
      </c>
      <c r="D665" s="2" t="s">
        <v>6</v>
      </c>
      <c r="E665" s="14" t="str">
        <f t="shared" si="75"/>
        <v>Roll Bending Machine</v>
      </c>
      <c r="F665" s="22">
        <f t="shared" si="77"/>
        <v>6</v>
      </c>
      <c r="H665" s="5" t="str">
        <f ca="1">_xlfn.FORMULATEXT(표1[[#This Row],[Q''ty]])</f>
        <v>=F566</v>
      </c>
    </row>
    <row r="666" spans="1:8" ht="15" hidden="1" customHeight="1" x14ac:dyDescent="0.4">
      <c r="A666" s="6">
        <v>2026</v>
      </c>
      <c r="B666" s="6">
        <f t="shared" si="76"/>
        <v>7</v>
      </c>
      <c r="C666" s="13" t="s">
        <v>20</v>
      </c>
      <c r="D666" s="2" t="s">
        <v>6</v>
      </c>
      <c r="E666" s="14" t="str">
        <f t="shared" si="75"/>
        <v>L/W Machine</v>
      </c>
      <c r="F666" s="22">
        <f t="shared" si="77"/>
        <v>11</v>
      </c>
      <c r="H666" s="5" t="str">
        <f ca="1">_xlfn.FORMULATEXT(표1[[#This Row],[Q''ty]])</f>
        <v>=F567</v>
      </c>
    </row>
    <row r="667" spans="1:8" ht="15" hidden="1" customHeight="1" x14ac:dyDescent="0.4">
      <c r="A667" s="6">
        <v>2026</v>
      </c>
      <c r="B667" s="6">
        <f t="shared" si="76"/>
        <v>7</v>
      </c>
      <c r="C667" s="13" t="s">
        <v>20</v>
      </c>
      <c r="D667" s="2" t="s">
        <v>6</v>
      </c>
      <c r="E667" s="14" t="str">
        <f t="shared" si="75"/>
        <v>C/W Machine</v>
      </c>
      <c r="F667" s="22">
        <f t="shared" si="77"/>
        <v>15</v>
      </c>
      <c r="H667" s="5" t="str">
        <f ca="1">_xlfn.FORMULATEXT(표1[[#This Row],[Q''ty]])</f>
        <v>=F568</v>
      </c>
    </row>
    <row r="668" spans="1:8" ht="15" hidden="1" customHeight="1" x14ac:dyDescent="0.4">
      <c r="A668" s="6">
        <v>2026</v>
      </c>
      <c r="B668" s="6">
        <f t="shared" si="76"/>
        <v>7</v>
      </c>
      <c r="C668" s="13" t="s">
        <v>20</v>
      </c>
      <c r="D668" s="2" t="s">
        <v>12</v>
      </c>
      <c r="E668" s="14" t="str">
        <f t="shared" si="75"/>
        <v>BT GT</v>
      </c>
      <c r="F668" s="22">
        <v>77</v>
      </c>
      <c r="H668" s="5" t="e">
        <f ca="1">_xlfn.FORMULATEXT(표1[[#This Row],[Q''ty]])</f>
        <v>#N/A</v>
      </c>
    </row>
    <row r="669" spans="1:8" ht="15" hidden="1" customHeight="1" x14ac:dyDescent="0.4">
      <c r="A669" s="6">
        <v>2026</v>
      </c>
      <c r="B669" s="6">
        <f t="shared" si="76"/>
        <v>7</v>
      </c>
      <c r="C669" s="13" t="s">
        <v>20</v>
      </c>
      <c r="D669" s="2" t="s">
        <v>12</v>
      </c>
      <c r="E669" s="14" t="str">
        <f t="shared" si="75"/>
        <v>WT GT</v>
      </c>
      <c r="F669" s="22">
        <v>70</v>
      </c>
      <c r="H669" s="5" t="e">
        <f ca="1">_xlfn.FORMULATEXT(표1[[#This Row],[Q''ty]])</f>
        <v>#N/A</v>
      </c>
    </row>
    <row r="670" spans="1:8" ht="15" hidden="1" customHeight="1" x14ac:dyDescent="0.4">
      <c r="A670" s="6">
        <v>2026</v>
      </c>
      <c r="B670" s="6">
        <f t="shared" si="76"/>
        <v>7</v>
      </c>
      <c r="C670" s="13" t="s">
        <v>20</v>
      </c>
      <c r="D670" s="2" t="s">
        <v>12</v>
      </c>
      <c r="E670" s="14" t="str">
        <f t="shared" si="75"/>
        <v>Bending</v>
      </c>
      <c r="F670" s="22">
        <v>591</v>
      </c>
      <c r="H670" s="5" t="e">
        <f ca="1">_xlfn.FORMULATEXT(표1[[#This Row],[Q''ty]])</f>
        <v>#N/A</v>
      </c>
    </row>
    <row r="671" spans="1:8" ht="15" hidden="1" customHeight="1" x14ac:dyDescent="0.4">
      <c r="A671" s="6">
        <v>2026</v>
      </c>
      <c r="B671" s="6">
        <f t="shared" si="76"/>
        <v>7</v>
      </c>
      <c r="C671" s="13" t="s">
        <v>20</v>
      </c>
      <c r="D671" s="2" t="s">
        <v>12</v>
      </c>
      <c r="E671" s="14" t="str">
        <f t="shared" si="75"/>
        <v>L/W</v>
      </c>
      <c r="F671" s="22">
        <v>608</v>
      </c>
      <c r="H671" s="5" t="e">
        <f ca="1">_xlfn.FORMULATEXT(표1[[#This Row],[Q''ty]])</f>
        <v>#N/A</v>
      </c>
    </row>
    <row r="672" spans="1:8" ht="15" hidden="1" customHeight="1" thickBot="1" x14ac:dyDescent="0.45">
      <c r="A672" s="15">
        <v>2026</v>
      </c>
      <c r="B672" s="15">
        <f t="shared" si="76"/>
        <v>7</v>
      </c>
      <c r="C672" s="16" t="s">
        <v>20</v>
      </c>
      <c r="D672" s="17" t="s">
        <v>12</v>
      </c>
      <c r="E672" s="18" t="str">
        <f t="shared" si="75"/>
        <v>C/W</v>
      </c>
      <c r="F672" s="23">
        <v>558</v>
      </c>
      <c r="H672" s="5" t="e">
        <f ca="1">_xlfn.FORMULATEXT(표1[[#This Row],[Q''ty]])</f>
        <v>#N/A</v>
      </c>
    </row>
    <row r="673" spans="1:8" ht="15" hidden="1" customHeight="1" thickTop="1" x14ac:dyDescent="0.4">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hidden="1" customHeight="1" x14ac:dyDescent="0.4">
      <c r="A674" s="6">
        <v>2026</v>
      </c>
      <c r="B674" s="6">
        <f t="shared" si="76"/>
        <v>7</v>
      </c>
      <c r="C674" s="13" t="s">
        <v>21</v>
      </c>
      <c r="D674" s="2" t="s">
        <v>6</v>
      </c>
      <c r="E674" s="14" t="str">
        <f t="shared" si="75"/>
        <v>Paint Booth</v>
      </c>
      <c r="F674" s="22">
        <f t="shared" si="78"/>
        <v>4</v>
      </c>
      <c r="H674" s="5" t="str">
        <f ca="1">_xlfn.FORMULATEXT(표1[[#This Row],[Q''ty]])</f>
        <v>=F575</v>
      </c>
    </row>
    <row r="675" spans="1:8" ht="15" hidden="1" customHeight="1" x14ac:dyDescent="0.4">
      <c r="A675" s="6">
        <v>2026</v>
      </c>
      <c r="B675" s="6">
        <f t="shared" si="76"/>
        <v>7</v>
      </c>
      <c r="C675" s="13" t="s">
        <v>21</v>
      </c>
      <c r="D675" s="2" t="s">
        <v>6</v>
      </c>
      <c r="E675" s="14" t="str">
        <f t="shared" si="75"/>
        <v>Paint Line</v>
      </c>
      <c r="F675" s="22">
        <f t="shared" si="78"/>
        <v>4</v>
      </c>
      <c r="H675" s="5" t="str">
        <f ca="1">_xlfn.FORMULATEXT(표1[[#This Row],[Q''ty]])</f>
        <v>=F576</v>
      </c>
    </row>
    <row r="676" spans="1:8" ht="15" hidden="1" customHeight="1" x14ac:dyDescent="0.4">
      <c r="A676" s="6">
        <v>2026</v>
      </c>
      <c r="B676" s="6">
        <f t="shared" si="76"/>
        <v>7</v>
      </c>
      <c r="C676" s="13" t="s">
        <v>21</v>
      </c>
      <c r="D676" s="2" t="s">
        <v>6</v>
      </c>
      <c r="E676" s="14" t="str">
        <f t="shared" si="75"/>
        <v>Roll Bending Machine</v>
      </c>
      <c r="F676" s="22">
        <f t="shared" si="78"/>
        <v>3</v>
      </c>
      <c r="H676" s="5" t="str">
        <f ca="1">_xlfn.FORMULATEXT(표1[[#This Row],[Q''ty]])</f>
        <v>=F577</v>
      </c>
    </row>
    <row r="677" spans="1:8" ht="15" hidden="1" customHeight="1" x14ac:dyDescent="0.4">
      <c r="A677" s="6">
        <v>2026</v>
      </c>
      <c r="B677" s="6">
        <f t="shared" si="76"/>
        <v>7</v>
      </c>
      <c r="C677" s="13" t="s">
        <v>21</v>
      </c>
      <c r="D677" s="2" t="s">
        <v>6</v>
      </c>
      <c r="E677" s="14" t="str">
        <f t="shared" si="75"/>
        <v>L/W Machine</v>
      </c>
      <c r="F677" s="22">
        <f t="shared" si="78"/>
        <v>4</v>
      </c>
      <c r="H677" s="5" t="str">
        <f ca="1">_xlfn.FORMULATEXT(표1[[#This Row],[Q''ty]])</f>
        <v>=F578</v>
      </c>
    </row>
    <row r="678" spans="1:8" ht="15" hidden="1" customHeight="1" x14ac:dyDescent="0.4">
      <c r="A678" s="6">
        <v>2026</v>
      </c>
      <c r="B678" s="6">
        <f t="shared" si="76"/>
        <v>7</v>
      </c>
      <c r="C678" s="13" t="s">
        <v>21</v>
      </c>
      <c r="D678" s="2" t="s">
        <v>6</v>
      </c>
      <c r="E678" s="14" t="str">
        <f t="shared" si="75"/>
        <v>C/W Machine</v>
      </c>
      <c r="F678" s="22">
        <f t="shared" si="78"/>
        <v>6.5</v>
      </c>
      <c r="H678" s="5" t="str">
        <f ca="1">_xlfn.FORMULATEXT(표1[[#This Row],[Q''ty]])</f>
        <v>=F579</v>
      </c>
    </row>
    <row r="679" spans="1:8" ht="15" hidden="1" customHeight="1" x14ac:dyDescent="0.4">
      <c r="A679" s="6">
        <v>2026</v>
      </c>
      <c r="B679" s="6">
        <f t="shared" si="76"/>
        <v>7</v>
      </c>
      <c r="C679" s="13" t="s">
        <v>21</v>
      </c>
      <c r="D679" s="2" t="s">
        <v>12</v>
      </c>
      <c r="E679" s="14" t="str">
        <f t="shared" si="75"/>
        <v>BT GT</v>
      </c>
      <c r="F679" s="22">
        <v>16</v>
      </c>
      <c r="H679" s="5" t="e">
        <f ca="1">_xlfn.FORMULATEXT(표1[[#This Row],[Q''ty]])</f>
        <v>#N/A</v>
      </c>
    </row>
    <row r="680" spans="1:8" ht="15" hidden="1" customHeight="1" x14ac:dyDescent="0.4">
      <c r="A680" s="6">
        <v>2026</v>
      </c>
      <c r="B680" s="6">
        <f t="shared" si="76"/>
        <v>7</v>
      </c>
      <c r="C680" s="13" t="s">
        <v>21</v>
      </c>
      <c r="D680" s="2" t="s">
        <v>12</v>
      </c>
      <c r="E680" s="14" t="str">
        <f t="shared" si="75"/>
        <v>WT GT</v>
      </c>
      <c r="F680" s="22">
        <v>18</v>
      </c>
      <c r="H680" s="5" t="e">
        <f ca="1">_xlfn.FORMULATEXT(표1[[#This Row],[Q''ty]])</f>
        <v>#N/A</v>
      </c>
    </row>
    <row r="681" spans="1:8" ht="15" hidden="1" customHeight="1" x14ac:dyDescent="0.4">
      <c r="A681" s="6">
        <v>2026</v>
      </c>
      <c r="B681" s="6">
        <f t="shared" si="76"/>
        <v>7</v>
      </c>
      <c r="C681" s="13" t="s">
        <v>21</v>
      </c>
      <c r="D681" s="2" t="s">
        <v>12</v>
      </c>
      <c r="E681" s="14" t="str">
        <f t="shared" si="75"/>
        <v>Bending</v>
      </c>
      <c r="F681" s="22">
        <v>101</v>
      </c>
      <c r="H681" s="5" t="e">
        <f ca="1">_xlfn.FORMULATEXT(표1[[#This Row],[Q''ty]])</f>
        <v>#N/A</v>
      </c>
    </row>
    <row r="682" spans="1:8" ht="15" hidden="1" customHeight="1" x14ac:dyDescent="0.4">
      <c r="A682" s="6">
        <v>2026</v>
      </c>
      <c r="B682" s="6">
        <f t="shared" si="76"/>
        <v>7</v>
      </c>
      <c r="C682" s="13" t="s">
        <v>21</v>
      </c>
      <c r="D682" s="2" t="s">
        <v>12</v>
      </c>
      <c r="E682" s="14" t="str">
        <f t="shared" si="75"/>
        <v>L/W</v>
      </c>
      <c r="F682" s="22">
        <v>110</v>
      </c>
      <c r="H682" s="5" t="e">
        <f ca="1">_xlfn.FORMULATEXT(표1[[#This Row],[Q''ty]])</f>
        <v>#N/A</v>
      </c>
    </row>
    <row r="683" spans="1:8" ht="15" hidden="1" customHeight="1" thickBot="1" x14ac:dyDescent="0.45">
      <c r="A683" s="15">
        <v>2026</v>
      </c>
      <c r="B683" s="15">
        <f t="shared" si="76"/>
        <v>7</v>
      </c>
      <c r="C683" s="16" t="s">
        <v>21</v>
      </c>
      <c r="D683" s="17" t="s">
        <v>12</v>
      </c>
      <c r="E683" s="18" t="str">
        <f t="shared" si="75"/>
        <v>C/W</v>
      </c>
      <c r="F683" s="23">
        <v>127</v>
      </c>
      <c r="H683" s="5" t="e">
        <f ca="1">_xlfn.FORMULATEXT(표1[[#This Row],[Q''ty]])</f>
        <v>#N/A</v>
      </c>
    </row>
    <row r="684" spans="1:8" ht="15" hidden="1" customHeight="1" thickTop="1" x14ac:dyDescent="0.4">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hidden="1" customHeight="1" x14ac:dyDescent="0.4">
      <c r="A685" s="6">
        <v>2026</v>
      </c>
      <c r="B685" s="6">
        <f t="shared" si="76"/>
        <v>7</v>
      </c>
      <c r="C685" s="13" t="s">
        <v>22</v>
      </c>
      <c r="D685" s="2" t="s">
        <v>6</v>
      </c>
      <c r="E685" s="14" t="str">
        <f t="shared" si="75"/>
        <v>Paint Booth</v>
      </c>
      <c r="F685" s="22">
        <f t="shared" si="79"/>
        <v>6</v>
      </c>
      <c r="H685" s="5" t="str">
        <f ca="1">_xlfn.FORMULATEXT(표1[[#This Row],[Q''ty]])</f>
        <v>=F586</v>
      </c>
    </row>
    <row r="686" spans="1:8" ht="15" hidden="1" customHeight="1" x14ac:dyDescent="0.4">
      <c r="A686" s="6">
        <v>2026</v>
      </c>
      <c r="B686" s="6">
        <f t="shared" si="76"/>
        <v>7</v>
      </c>
      <c r="C686" s="13" t="s">
        <v>22</v>
      </c>
      <c r="D686" s="2" t="s">
        <v>6</v>
      </c>
      <c r="E686" s="14" t="str">
        <f t="shared" si="75"/>
        <v>Paint Line</v>
      </c>
      <c r="F686" s="22">
        <f t="shared" si="79"/>
        <v>4</v>
      </c>
      <c r="H686" s="5" t="str">
        <f ca="1">_xlfn.FORMULATEXT(표1[[#This Row],[Q''ty]])</f>
        <v>=F587</v>
      </c>
    </row>
    <row r="687" spans="1:8" ht="15" hidden="1" customHeight="1" x14ac:dyDescent="0.4">
      <c r="A687" s="6">
        <v>2026</v>
      </c>
      <c r="B687" s="6">
        <f t="shared" si="76"/>
        <v>7</v>
      </c>
      <c r="C687" s="13" t="s">
        <v>22</v>
      </c>
      <c r="D687" s="2" t="s">
        <v>6</v>
      </c>
      <c r="E687" s="14" t="str">
        <f t="shared" si="75"/>
        <v>Roll Bending Machine</v>
      </c>
      <c r="F687" s="22">
        <f t="shared" si="79"/>
        <v>4</v>
      </c>
      <c r="H687" s="5" t="str">
        <f ca="1">_xlfn.FORMULATEXT(표1[[#This Row],[Q''ty]])</f>
        <v>=F588</v>
      </c>
    </row>
    <row r="688" spans="1:8" ht="15" hidden="1" customHeight="1" x14ac:dyDescent="0.4">
      <c r="A688" s="6">
        <v>2026</v>
      </c>
      <c r="B688" s="6">
        <f t="shared" si="76"/>
        <v>7</v>
      </c>
      <c r="C688" s="13" t="s">
        <v>22</v>
      </c>
      <c r="D688" s="2" t="s">
        <v>6</v>
      </c>
      <c r="E688" s="14" t="str">
        <f t="shared" si="75"/>
        <v>L/W Machine</v>
      </c>
      <c r="F688" s="22">
        <f t="shared" si="79"/>
        <v>7</v>
      </c>
      <c r="H688" s="5" t="str">
        <f ca="1">_xlfn.FORMULATEXT(표1[[#This Row],[Q''ty]])</f>
        <v>=F589</v>
      </c>
    </row>
    <row r="689" spans="1:10" ht="15" hidden="1" customHeight="1" x14ac:dyDescent="0.4">
      <c r="A689" s="6">
        <v>2026</v>
      </c>
      <c r="B689" s="6">
        <f t="shared" si="76"/>
        <v>7</v>
      </c>
      <c r="C689" s="13" t="s">
        <v>22</v>
      </c>
      <c r="D689" s="2" t="s">
        <v>6</v>
      </c>
      <c r="E689" s="14" t="str">
        <f t="shared" si="75"/>
        <v>C/W Machine</v>
      </c>
      <c r="F689" s="22">
        <f t="shared" si="79"/>
        <v>12.5</v>
      </c>
      <c r="H689" s="5" t="str">
        <f ca="1">_xlfn.FORMULATEXT(표1[[#This Row],[Q''ty]])</f>
        <v>=F590</v>
      </c>
    </row>
    <row r="690" spans="1:10" ht="15" hidden="1" customHeight="1" x14ac:dyDescent="0.4">
      <c r="A690" s="6">
        <v>2026</v>
      </c>
      <c r="B690" s="6">
        <f t="shared" si="76"/>
        <v>7</v>
      </c>
      <c r="C690" s="13" t="s">
        <v>22</v>
      </c>
      <c r="D690" s="2" t="s">
        <v>12</v>
      </c>
      <c r="E690" s="14" t="str">
        <f t="shared" si="75"/>
        <v>BT GT</v>
      </c>
      <c r="F690" s="22">
        <v>7</v>
      </c>
      <c r="H690" s="5" t="e">
        <f ca="1">_xlfn.FORMULATEXT(표1[[#This Row],[Q''ty]])</f>
        <v>#N/A</v>
      </c>
    </row>
    <row r="691" spans="1:10" ht="15" hidden="1" customHeight="1" x14ac:dyDescent="0.4">
      <c r="A691" s="6">
        <v>2026</v>
      </c>
      <c r="B691" s="6">
        <f t="shared" si="76"/>
        <v>7</v>
      </c>
      <c r="C691" s="13" t="s">
        <v>22</v>
      </c>
      <c r="D691" s="2" t="s">
        <v>12</v>
      </c>
      <c r="E691" s="14" t="str">
        <f t="shared" si="75"/>
        <v>WT GT</v>
      </c>
      <c r="F691" s="22">
        <v>10</v>
      </c>
      <c r="H691" s="5" t="e">
        <f ca="1">_xlfn.FORMULATEXT(표1[[#This Row],[Q''ty]])</f>
        <v>#N/A</v>
      </c>
    </row>
    <row r="692" spans="1:10" ht="15" hidden="1" customHeight="1" x14ac:dyDescent="0.4">
      <c r="A692" s="6">
        <v>2026</v>
      </c>
      <c r="B692" s="6">
        <f t="shared" si="76"/>
        <v>7</v>
      </c>
      <c r="C692" s="13" t="s">
        <v>22</v>
      </c>
      <c r="D692" s="2" t="s">
        <v>12</v>
      </c>
      <c r="E692" s="14" t="str">
        <f t="shared" si="75"/>
        <v>Bending</v>
      </c>
      <c r="F692" s="22">
        <v>102</v>
      </c>
      <c r="H692" s="5" t="e">
        <f ca="1">_xlfn.FORMULATEXT(표1[[#This Row],[Q''ty]])</f>
        <v>#N/A</v>
      </c>
    </row>
    <row r="693" spans="1:10" ht="15" hidden="1" customHeight="1" x14ac:dyDescent="0.4">
      <c r="A693" s="6">
        <v>2026</v>
      </c>
      <c r="B693" s="6">
        <f t="shared" si="76"/>
        <v>7</v>
      </c>
      <c r="C693" s="13" t="s">
        <v>22</v>
      </c>
      <c r="D693" s="2" t="s">
        <v>12</v>
      </c>
      <c r="E693" s="14" t="str">
        <f t="shared" si="75"/>
        <v>L/W</v>
      </c>
      <c r="F693" s="22">
        <v>106</v>
      </c>
      <c r="H693" s="5" t="e">
        <f ca="1">_xlfn.FORMULATEXT(표1[[#This Row],[Q''ty]])</f>
        <v>#N/A</v>
      </c>
    </row>
    <row r="694" spans="1:10" ht="15" hidden="1" customHeight="1" thickBot="1" x14ac:dyDescent="0.45">
      <c r="A694" s="6">
        <v>2026</v>
      </c>
      <c r="B694" s="6">
        <f t="shared" si="76"/>
        <v>7</v>
      </c>
      <c r="C694" s="13" t="s">
        <v>22</v>
      </c>
      <c r="D694" s="2" t="s">
        <v>12</v>
      </c>
      <c r="E694" s="14" t="str">
        <f t="shared" si="75"/>
        <v>C/W</v>
      </c>
      <c r="F694" s="22">
        <v>137</v>
      </c>
      <c r="H694" s="5" t="e">
        <f ca="1">_xlfn.FORMULATEXT(표1[[#This Row],[Q''ty]])</f>
        <v>#N/A</v>
      </c>
    </row>
    <row r="695" spans="1:10" ht="15" hidden="1" customHeight="1" thickTop="1" x14ac:dyDescent="0.4">
      <c r="A695" s="9">
        <v>2026</v>
      </c>
      <c r="B695" s="9">
        <f>B596+1</f>
        <v>8</v>
      </c>
      <c r="C695" s="10" t="s">
        <v>28</v>
      </c>
      <c r="D695" s="11" t="s">
        <v>6</v>
      </c>
      <c r="E695" s="12" t="s">
        <v>7</v>
      </c>
      <c r="F695" s="21">
        <f t="shared" ref="F695:F700" si="80">F596</f>
        <v>15</v>
      </c>
      <c r="H695" s="5" t="str">
        <f ca="1">_xlfn.FORMULATEXT(표1[[#This Row],[Q''ty]])</f>
        <v>=F596</v>
      </c>
    </row>
    <row r="696" spans="1:10" s="2" customFormat="1" ht="15" hidden="1" customHeight="1" x14ac:dyDescent="0.4">
      <c r="A696" s="6">
        <v>2026</v>
      </c>
      <c r="B696" s="6">
        <f t="shared" ref="B696:B759" si="81">B597+1</f>
        <v>8</v>
      </c>
      <c r="C696" s="13" t="s">
        <v>23</v>
      </c>
      <c r="D696" s="2" t="s">
        <v>6</v>
      </c>
      <c r="E696" s="14" t="s">
        <v>8</v>
      </c>
      <c r="F696" s="22">
        <f t="shared" si="80"/>
        <v>10</v>
      </c>
      <c r="H696" s="5" t="str">
        <f ca="1">_xlfn.FORMULATEXT(표1[[#This Row],[Q''ty]])</f>
        <v>=F597</v>
      </c>
      <c r="I696" s="26"/>
      <c r="J696" s="26"/>
    </row>
    <row r="697" spans="1:10" s="2" customFormat="1" ht="15" hidden="1" customHeight="1" x14ac:dyDescent="0.4">
      <c r="A697" s="6">
        <v>2026</v>
      </c>
      <c r="B697" s="6">
        <f t="shared" si="81"/>
        <v>8</v>
      </c>
      <c r="C697" s="13" t="s">
        <v>23</v>
      </c>
      <c r="D697" s="2" t="s">
        <v>6</v>
      </c>
      <c r="E697" s="14" t="s">
        <v>9</v>
      </c>
      <c r="F697" s="22">
        <f t="shared" si="80"/>
        <v>5</v>
      </c>
      <c r="H697" s="5" t="str">
        <f ca="1">_xlfn.FORMULATEXT(표1[[#This Row],[Q''ty]])</f>
        <v>=F598</v>
      </c>
      <c r="I697" s="26"/>
      <c r="J697" s="26"/>
    </row>
    <row r="698" spans="1:10" ht="15" hidden="1" customHeight="1" x14ac:dyDescent="0.4">
      <c r="A698" s="6">
        <v>2026</v>
      </c>
      <c r="B698" s="6">
        <f t="shared" si="81"/>
        <v>8</v>
      </c>
      <c r="C698" s="13" t="s">
        <v>23</v>
      </c>
      <c r="D698" s="2" t="s">
        <v>6</v>
      </c>
      <c r="E698" s="14" t="s">
        <v>27</v>
      </c>
      <c r="F698" s="22">
        <f t="shared" si="80"/>
        <v>6</v>
      </c>
      <c r="H698" s="5" t="str">
        <f ca="1">_xlfn.FORMULATEXT(표1[[#This Row],[Q''ty]])</f>
        <v>=F599</v>
      </c>
    </row>
    <row r="699" spans="1:10" ht="15" hidden="1" customHeight="1" x14ac:dyDescent="0.4">
      <c r="A699" s="6">
        <v>2026</v>
      </c>
      <c r="B699" s="6">
        <f t="shared" si="81"/>
        <v>8</v>
      </c>
      <c r="C699" s="13" t="s">
        <v>23</v>
      </c>
      <c r="D699" s="2" t="s">
        <v>6</v>
      </c>
      <c r="E699" s="14" t="s">
        <v>10</v>
      </c>
      <c r="F699" s="22">
        <f t="shared" si="80"/>
        <v>10</v>
      </c>
      <c r="H699" s="5" t="str">
        <f ca="1">_xlfn.FORMULATEXT(표1[[#This Row],[Q''ty]])</f>
        <v>=F600</v>
      </c>
    </row>
    <row r="700" spans="1:10" ht="15" hidden="1" customHeight="1" x14ac:dyDescent="0.4">
      <c r="A700" s="6">
        <v>2026</v>
      </c>
      <c r="B700" s="6">
        <f t="shared" si="81"/>
        <v>8</v>
      </c>
      <c r="C700" s="13" t="s">
        <v>23</v>
      </c>
      <c r="D700" s="2" t="s">
        <v>6</v>
      </c>
      <c r="E700" s="14" t="s">
        <v>11</v>
      </c>
      <c r="F700" s="22">
        <f t="shared" si="80"/>
        <v>10</v>
      </c>
      <c r="H700" s="5" t="str">
        <f ca="1">_xlfn.FORMULATEXT(표1[[#This Row],[Q''ty]])</f>
        <v>=F601</v>
      </c>
    </row>
    <row r="701" spans="1:10" ht="15" hidden="1" customHeight="1" x14ac:dyDescent="0.4">
      <c r="A701" s="6">
        <v>2026</v>
      </c>
      <c r="B701" s="6">
        <f t="shared" si="81"/>
        <v>8</v>
      </c>
      <c r="C701" s="13" t="s">
        <v>23</v>
      </c>
      <c r="D701" s="2" t="s">
        <v>12</v>
      </c>
      <c r="E701" s="14" t="s">
        <v>13</v>
      </c>
      <c r="F701" s="22">
        <v>0</v>
      </c>
      <c r="H701" s="5" t="e">
        <f ca="1">_xlfn.FORMULATEXT(표1[[#This Row],[Q''ty]])</f>
        <v>#N/A</v>
      </c>
    </row>
    <row r="702" spans="1:10" s="2" customFormat="1" ht="15" hidden="1" customHeight="1" x14ac:dyDescent="0.4">
      <c r="A702" s="6">
        <v>2026</v>
      </c>
      <c r="B702" s="6">
        <f t="shared" si="81"/>
        <v>8</v>
      </c>
      <c r="C702" s="13" t="s">
        <v>23</v>
      </c>
      <c r="D702" s="2" t="s">
        <v>12</v>
      </c>
      <c r="E702" s="14" t="s">
        <v>14</v>
      </c>
      <c r="F702" s="22">
        <v>0</v>
      </c>
      <c r="H702" s="5" t="e">
        <f ca="1">_xlfn.FORMULATEXT(표1[[#This Row],[Q''ty]])</f>
        <v>#N/A</v>
      </c>
      <c r="I702" s="26"/>
      <c r="J702" s="26"/>
    </row>
    <row r="703" spans="1:10" ht="15" hidden="1" customHeight="1" x14ac:dyDescent="0.4">
      <c r="A703" s="6">
        <v>2026</v>
      </c>
      <c r="B703" s="6">
        <f t="shared" si="81"/>
        <v>8</v>
      </c>
      <c r="C703" s="13" t="s">
        <v>23</v>
      </c>
      <c r="D703" s="2" t="s">
        <v>12</v>
      </c>
      <c r="E703" s="14" t="s">
        <v>15</v>
      </c>
      <c r="F703" s="22">
        <v>0</v>
      </c>
      <c r="H703" s="5" t="e">
        <f ca="1">_xlfn.FORMULATEXT(표1[[#This Row],[Q''ty]])</f>
        <v>#N/A</v>
      </c>
    </row>
    <row r="704" spans="1:10" ht="15" hidden="1" customHeight="1" x14ac:dyDescent="0.4">
      <c r="A704" s="6">
        <v>2026</v>
      </c>
      <c r="B704" s="6">
        <f t="shared" si="81"/>
        <v>8</v>
      </c>
      <c r="C704" s="13" t="s">
        <v>23</v>
      </c>
      <c r="D704" s="2" t="s">
        <v>12</v>
      </c>
      <c r="E704" s="14" t="s">
        <v>16</v>
      </c>
      <c r="F704" s="22">
        <v>0</v>
      </c>
      <c r="H704" s="5" t="e">
        <f ca="1">_xlfn.FORMULATEXT(표1[[#This Row],[Q''ty]])</f>
        <v>#N/A</v>
      </c>
    </row>
    <row r="705" spans="1:10" ht="15" hidden="1" customHeight="1" thickBot="1" x14ac:dyDescent="0.45">
      <c r="A705" s="15">
        <v>2026</v>
      </c>
      <c r="B705" s="15">
        <f t="shared" si="81"/>
        <v>8</v>
      </c>
      <c r="C705" s="16" t="s">
        <v>23</v>
      </c>
      <c r="D705" s="17" t="s">
        <v>12</v>
      </c>
      <c r="E705" s="18" t="s">
        <v>17</v>
      </c>
      <c r="F705" s="23">
        <v>0</v>
      </c>
      <c r="H705" s="5" t="e">
        <f ca="1">_xlfn.FORMULATEXT(표1[[#This Row],[Q''ty]])</f>
        <v>#N/A</v>
      </c>
    </row>
    <row r="706" spans="1:10" ht="15" hidden="1" customHeight="1" thickTop="1" x14ac:dyDescent="0.4">
      <c r="A706" s="9">
        <v>2026</v>
      </c>
      <c r="B706" s="9">
        <f t="shared" si="81"/>
        <v>8</v>
      </c>
      <c r="C706" s="10" t="s">
        <v>29</v>
      </c>
      <c r="D706" s="11" t="s">
        <v>6</v>
      </c>
      <c r="E706" s="12" t="s">
        <v>7</v>
      </c>
      <c r="F706" s="21">
        <f t="shared" ref="F706:F711" si="82">F607</f>
        <v>14</v>
      </c>
      <c r="H706" s="5" t="str">
        <f ca="1">_xlfn.FORMULATEXT(표1[[#This Row],[Q''ty]])</f>
        <v>=F607</v>
      </c>
    </row>
    <row r="707" spans="1:10" s="2" customFormat="1" ht="15" hidden="1" customHeight="1" x14ac:dyDescent="0.4">
      <c r="A707" s="6">
        <v>2026</v>
      </c>
      <c r="B707" s="6">
        <f t="shared" si="81"/>
        <v>8</v>
      </c>
      <c r="C707" s="13" t="s">
        <v>24</v>
      </c>
      <c r="D707" s="2" t="s">
        <v>6</v>
      </c>
      <c r="E707" s="14" t="s">
        <v>8</v>
      </c>
      <c r="F707" s="22">
        <f t="shared" si="82"/>
        <v>8</v>
      </c>
      <c r="H707" s="5" t="str">
        <f ca="1">_xlfn.FORMULATEXT(표1[[#This Row],[Q''ty]])</f>
        <v>=F608</v>
      </c>
      <c r="I707" s="26"/>
      <c r="J707" s="26"/>
    </row>
    <row r="708" spans="1:10" s="2" customFormat="1" ht="15" hidden="1" customHeight="1" x14ac:dyDescent="0.4">
      <c r="A708" s="6">
        <v>2026</v>
      </c>
      <c r="B708" s="6">
        <f t="shared" si="81"/>
        <v>8</v>
      </c>
      <c r="C708" s="13" t="s">
        <v>24</v>
      </c>
      <c r="D708" s="2" t="s">
        <v>6</v>
      </c>
      <c r="E708" s="14" t="s">
        <v>9</v>
      </c>
      <c r="F708" s="22">
        <f t="shared" si="82"/>
        <v>4</v>
      </c>
      <c r="H708" s="5" t="str">
        <f ca="1">_xlfn.FORMULATEXT(표1[[#This Row],[Q''ty]])</f>
        <v>=F609</v>
      </c>
      <c r="I708" s="26"/>
      <c r="J708" s="26"/>
    </row>
    <row r="709" spans="1:10" ht="15" hidden="1" customHeight="1" x14ac:dyDescent="0.4">
      <c r="A709" s="6">
        <v>2026</v>
      </c>
      <c r="B709" s="6">
        <f t="shared" si="81"/>
        <v>8</v>
      </c>
      <c r="C709" s="13" t="s">
        <v>24</v>
      </c>
      <c r="D709" s="2" t="s">
        <v>6</v>
      </c>
      <c r="E709" s="14" t="s">
        <v>27</v>
      </c>
      <c r="F709" s="22">
        <f t="shared" si="82"/>
        <v>3</v>
      </c>
      <c r="H709" s="5" t="str">
        <f ca="1">_xlfn.FORMULATEXT(표1[[#This Row],[Q''ty]])</f>
        <v>=F610</v>
      </c>
    </row>
    <row r="710" spans="1:10" ht="15" hidden="1" customHeight="1" x14ac:dyDescent="0.4">
      <c r="A710" s="6">
        <v>2026</v>
      </c>
      <c r="B710" s="6">
        <f t="shared" si="81"/>
        <v>8</v>
      </c>
      <c r="C710" s="13" t="s">
        <v>24</v>
      </c>
      <c r="D710" s="2" t="s">
        <v>6</v>
      </c>
      <c r="E710" s="14" t="s">
        <v>10</v>
      </c>
      <c r="F710" s="22">
        <f t="shared" si="82"/>
        <v>6</v>
      </c>
      <c r="H710" s="5" t="str">
        <f ca="1">_xlfn.FORMULATEXT(표1[[#This Row],[Q''ty]])</f>
        <v>=F611</v>
      </c>
    </row>
    <row r="711" spans="1:10" ht="15" hidden="1" customHeight="1" x14ac:dyDescent="0.4">
      <c r="A711" s="6">
        <v>2026</v>
      </c>
      <c r="B711" s="6">
        <f t="shared" si="81"/>
        <v>8</v>
      </c>
      <c r="C711" s="13" t="s">
        <v>24</v>
      </c>
      <c r="D711" s="2" t="s">
        <v>6</v>
      </c>
      <c r="E711" s="14" t="s">
        <v>11</v>
      </c>
      <c r="F711" s="22">
        <f t="shared" si="82"/>
        <v>8.8000000000000007</v>
      </c>
      <c r="H711" s="5" t="str">
        <f ca="1">_xlfn.FORMULATEXT(표1[[#This Row],[Q''ty]])</f>
        <v>=F612</v>
      </c>
    </row>
    <row r="712" spans="1:10" ht="15" hidden="1" customHeight="1" x14ac:dyDescent="0.4">
      <c r="A712" s="6">
        <v>2026</v>
      </c>
      <c r="B712" s="6">
        <f t="shared" si="81"/>
        <v>8</v>
      </c>
      <c r="C712" s="13" t="s">
        <v>24</v>
      </c>
      <c r="D712" s="2" t="s">
        <v>12</v>
      </c>
      <c r="E712" s="14" t="s">
        <v>13</v>
      </c>
      <c r="F712" s="22">
        <v>0</v>
      </c>
      <c r="H712" s="5" t="e">
        <f ca="1">_xlfn.FORMULATEXT(표1[[#This Row],[Q''ty]])</f>
        <v>#N/A</v>
      </c>
    </row>
    <row r="713" spans="1:10" s="2" customFormat="1" ht="15" hidden="1" customHeight="1" x14ac:dyDescent="0.4">
      <c r="A713" s="6">
        <v>2026</v>
      </c>
      <c r="B713" s="6">
        <f t="shared" si="81"/>
        <v>8</v>
      </c>
      <c r="C713" s="13" t="s">
        <v>24</v>
      </c>
      <c r="D713" s="2" t="s">
        <v>12</v>
      </c>
      <c r="E713" s="14" t="s">
        <v>14</v>
      </c>
      <c r="F713" s="22">
        <v>0</v>
      </c>
      <c r="H713" s="5" t="e">
        <f ca="1">_xlfn.FORMULATEXT(표1[[#This Row],[Q''ty]])</f>
        <v>#N/A</v>
      </c>
      <c r="I713" s="26"/>
      <c r="J713" s="26"/>
    </row>
    <row r="714" spans="1:10" ht="15" hidden="1" customHeight="1" x14ac:dyDescent="0.4">
      <c r="A714" s="6">
        <v>2026</v>
      </c>
      <c r="B714" s="6">
        <f t="shared" si="81"/>
        <v>8</v>
      </c>
      <c r="C714" s="13" t="s">
        <v>24</v>
      </c>
      <c r="D714" s="2" t="s">
        <v>12</v>
      </c>
      <c r="E714" s="14" t="s">
        <v>15</v>
      </c>
      <c r="F714" s="22">
        <v>0</v>
      </c>
      <c r="H714" s="5" t="e">
        <f ca="1">_xlfn.FORMULATEXT(표1[[#This Row],[Q''ty]])</f>
        <v>#N/A</v>
      </c>
    </row>
    <row r="715" spans="1:10" ht="15" hidden="1" customHeight="1" x14ac:dyDescent="0.4">
      <c r="A715" s="6">
        <v>2026</v>
      </c>
      <c r="B715" s="6">
        <f t="shared" si="81"/>
        <v>8</v>
      </c>
      <c r="C715" s="13" t="s">
        <v>24</v>
      </c>
      <c r="D715" s="2" t="s">
        <v>12</v>
      </c>
      <c r="E715" s="14" t="s">
        <v>16</v>
      </c>
      <c r="F715" s="22">
        <v>0</v>
      </c>
      <c r="H715" s="5" t="e">
        <f ca="1">_xlfn.FORMULATEXT(표1[[#This Row],[Q''ty]])</f>
        <v>#N/A</v>
      </c>
    </row>
    <row r="716" spans="1:10" ht="15" hidden="1" customHeight="1" thickBot="1" x14ac:dyDescent="0.45">
      <c r="A716" s="15">
        <v>2026</v>
      </c>
      <c r="B716" s="15">
        <f t="shared" si="81"/>
        <v>8</v>
      </c>
      <c r="C716" s="16" t="s">
        <v>24</v>
      </c>
      <c r="D716" s="17" t="s">
        <v>12</v>
      </c>
      <c r="E716" s="18" t="s">
        <v>17</v>
      </c>
      <c r="F716" s="23">
        <v>0</v>
      </c>
      <c r="H716" s="5" t="e">
        <f ca="1">_xlfn.FORMULATEXT(표1[[#This Row],[Q''ty]])</f>
        <v>#N/A</v>
      </c>
    </row>
    <row r="717" spans="1:10" ht="15" hidden="1" customHeight="1" thickTop="1" x14ac:dyDescent="0.4">
      <c r="A717" s="6">
        <v>2026</v>
      </c>
      <c r="B717" s="6">
        <f t="shared" si="81"/>
        <v>8</v>
      </c>
      <c r="C717" s="13" t="s">
        <v>18</v>
      </c>
      <c r="D717" s="2" t="s">
        <v>6</v>
      </c>
      <c r="E717" s="14" t="str">
        <f t="shared" ref="E717:F722" si="83">E618</f>
        <v>Growing Line</v>
      </c>
      <c r="F717" s="22">
        <f t="shared" si="83"/>
        <v>5</v>
      </c>
      <c r="H717" s="5" t="str">
        <f ca="1">_xlfn.FORMULATEXT(표1[[#This Row],[Q''ty]])</f>
        <v>=F618</v>
      </c>
    </row>
    <row r="718" spans="1:10" ht="15" hidden="1" customHeight="1" x14ac:dyDescent="0.4">
      <c r="A718" s="6">
        <v>2026</v>
      </c>
      <c r="B718" s="6">
        <f t="shared" si="81"/>
        <v>8</v>
      </c>
      <c r="C718" s="13" t="s">
        <v>18</v>
      </c>
      <c r="D718" s="2" t="s">
        <v>6</v>
      </c>
      <c r="E718" s="14" t="str">
        <f t="shared" si="83"/>
        <v>Paint Booth</v>
      </c>
      <c r="F718" s="22">
        <f t="shared" si="83"/>
        <v>3</v>
      </c>
      <c r="H718" s="5" t="str">
        <f ca="1">_xlfn.FORMULATEXT(표1[[#This Row],[Q''ty]])</f>
        <v>=F619</v>
      </c>
    </row>
    <row r="719" spans="1:10" ht="15" hidden="1" customHeight="1" x14ac:dyDescent="0.4">
      <c r="A719" s="6">
        <v>2026</v>
      </c>
      <c r="B719" s="6">
        <f t="shared" si="81"/>
        <v>8</v>
      </c>
      <c r="C719" s="13" t="s">
        <v>18</v>
      </c>
      <c r="D719" s="2" t="s">
        <v>6</v>
      </c>
      <c r="E719" s="14" t="str">
        <f t="shared" si="83"/>
        <v>Paint Line</v>
      </c>
      <c r="F719" s="22">
        <f t="shared" si="83"/>
        <v>2</v>
      </c>
      <c r="H719" s="5" t="str">
        <f ca="1">_xlfn.FORMULATEXT(표1[[#This Row],[Q''ty]])</f>
        <v>=F620</v>
      </c>
    </row>
    <row r="720" spans="1:10" ht="15" hidden="1" customHeight="1" x14ac:dyDescent="0.4">
      <c r="A720" s="6">
        <v>2026</v>
      </c>
      <c r="B720" s="6">
        <f t="shared" si="81"/>
        <v>8</v>
      </c>
      <c r="C720" s="13" t="s">
        <v>18</v>
      </c>
      <c r="D720" s="2" t="s">
        <v>6</v>
      </c>
      <c r="E720" s="14" t="str">
        <f t="shared" si="83"/>
        <v>Roll Bending Machine</v>
      </c>
      <c r="F720" s="22">
        <f t="shared" si="83"/>
        <v>2</v>
      </c>
      <c r="H720" s="5" t="str">
        <f ca="1">_xlfn.FORMULATEXT(표1[[#This Row],[Q''ty]])</f>
        <v>=F621</v>
      </c>
    </row>
    <row r="721" spans="1:8" ht="15" hidden="1" customHeight="1" x14ac:dyDescent="0.4">
      <c r="A721" s="6">
        <v>2026</v>
      </c>
      <c r="B721" s="6">
        <f t="shared" si="81"/>
        <v>8</v>
      </c>
      <c r="C721" s="13" t="s">
        <v>18</v>
      </c>
      <c r="D721" s="2" t="s">
        <v>6</v>
      </c>
      <c r="E721" s="14" t="str">
        <f t="shared" si="83"/>
        <v>L/W Machine</v>
      </c>
      <c r="F721" s="22">
        <f t="shared" si="83"/>
        <v>2</v>
      </c>
      <c r="H721" s="5" t="str">
        <f ca="1">_xlfn.FORMULATEXT(표1[[#This Row],[Q''ty]])</f>
        <v>=F622</v>
      </c>
    </row>
    <row r="722" spans="1:8" ht="15" hidden="1" customHeight="1" x14ac:dyDescent="0.4">
      <c r="A722" s="6">
        <v>2026</v>
      </c>
      <c r="B722" s="6">
        <f t="shared" si="81"/>
        <v>8</v>
      </c>
      <c r="C722" s="13" t="s">
        <v>18</v>
      </c>
      <c r="D722" s="2" t="s">
        <v>6</v>
      </c>
      <c r="E722" s="14" t="str">
        <f t="shared" si="83"/>
        <v>C/W Machine</v>
      </c>
      <c r="F722" s="22">
        <f t="shared" si="83"/>
        <v>3</v>
      </c>
      <c r="H722" s="5" t="str">
        <f ca="1">_xlfn.FORMULATEXT(표1[[#This Row],[Q''ty]])</f>
        <v>=F623</v>
      </c>
    </row>
    <row r="723" spans="1:8" ht="15" hidden="1" customHeight="1" x14ac:dyDescent="0.4">
      <c r="A723" s="6">
        <v>2026</v>
      </c>
      <c r="B723" s="6">
        <f t="shared" si="81"/>
        <v>8</v>
      </c>
      <c r="C723" s="13" t="s">
        <v>18</v>
      </c>
      <c r="D723" s="2" t="s">
        <v>12</v>
      </c>
      <c r="E723" s="14" t="str">
        <f t="shared" ref="E723:E738" si="84">E624</f>
        <v>BT GT</v>
      </c>
      <c r="F723" s="22">
        <v>0</v>
      </c>
      <c r="H723" s="5" t="e">
        <f ca="1">_xlfn.FORMULATEXT(표1[[#This Row],[Q''ty]])</f>
        <v>#N/A</v>
      </c>
    </row>
    <row r="724" spans="1:8" ht="15" hidden="1" customHeight="1" x14ac:dyDescent="0.4">
      <c r="A724" s="6">
        <v>2026</v>
      </c>
      <c r="B724" s="6">
        <f t="shared" si="81"/>
        <v>8</v>
      </c>
      <c r="C724" s="13" t="s">
        <v>18</v>
      </c>
      <c r="D724" s="2" t="s">
        <v>12</v>
      </c>
      <c r="E724" s="14" t="str">
        <f t="shared" si="84"/>
        <v>WT GT</v>
      </c>
      <c r="F724" s="22">
        <v>0</v>
      </c>
      <c r="H724" s="5" t="e">
        <f ca="1">_xlfn.FORMULATEXT(표1[[#This Row],[Q''ty]])</f>
        <v>#N/A</v>
      </c>
    </row>
    <row r="725" spans="1:8" ht="15" hidden="1" customHeight="1" x14ac:dyDescent="0.4">
      <c r="A725" s="6">
        <v>2026</v>
      </c>
      <c r="B725" s="6">
        <f t="shared" si="81"/>
        <v>8</v>
      </c>
      <c r="C725" s="13" t="s">
        <v>18</v>
      </c>
      <c r="D725" s="2" t="s">
        <v>12</v>
      </c>
      <c r="E725" s="14" t="str">
        <f t="shared" si="84"/>
        <v>Bending</v>
      </c>
      <c r="F725" s="22">
        <v>0</v>
      </c>
      <c r="H725" s="5" t="e">
        <f ca="1">_xlfn.FORMULATEXT(표1[[#This Row],[Q''ty]])</f>
        <v>#N/A</v>
      </c>
    </row>
    <row r="726" spans="1:8" ht="15" hidden="1" customHeight="1" x14ac:dyDescent="0.4">
      <c r="A726" s="6">
        <v>2026</v>
      </c>
      <c r="B726" s="6">
        <f t="shared" si="81"/>
        <v>8</v>
      </c>
      <c r="C726" s="13" t="s">
        <v>18</v>
      </c>
      <c r="D726" s="2" t="s">
        <v>12</v>
      </c>
      <c r="E726" s="14" t="str">
        <f t="shared" si="84"/>
        <v>L/W</v>
      </c>
      <c r="F726" s="22">
        <v>0</v>
      </c>
      <c r="H726" s="5" t="e">
        <f ca="1">_xlfn.FORMULATEXT(표1[[#This Row],[Q''ty]])</f>
        <v>#N/A</v>
      </c>
    </row>
    <row r="727" spans="1:8" ht="15" hidden="1" customHeight="1" thickBot="1" x14ac:dyDescent="0.45">
      <c r="A727" s="15">
        <v>2026</v>
      </c>
      <c r="B727" s="15">
        <f t="shared" si="81"/>
        <v>8</v>
      </c>
      <c r="C727" s="16" t="s">
        <v>18</v>
      </c>
      <c r="D727" s="17" t="s">
        <v>12</v>
      </c>
      <c r="E727" s="18" t="str">
        <f t="shared" si="84"/>
        <v>C/W</v>
      </c>
      <c r="F727" s="23">
        <v>0</v>
      </c>
      <c r="H727" s="5" t="e">
        <f ca="1">_xlfn.FORMULATEXT(표1[[#This Row],[Q''ty]])</f>
        <v>#N/A</v>
      </c>
    </row>
    <row r="728" spans="1:8" ht="15" hidden="1" customHeight="1" thickTop="1" x14ac:dyDescent="0.4">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hidden="1" customHeight="1" x14ac:dyDescent="0.4">
      <c r="A729" s="6">
        <v>2026</v>
      </c>
      <c r="B729" s="6">
        <f t="shared" si="81"/>
        <v>8</v>
      </c>
      <c r="C729" s="13" t="s">
        <v>19</v>
      </c>
      <c r="D729" s="2" t="s">
        <v>6</v>
      </c>
      <c r="E729" s="14" t="str">
        <f t="shared" si="84"/>
        <v>Paint Booth</v>
      </c>
      <c r="F729" s="22">
        <f t="shared" si="85"/>
        <v>22</v>
      </c>
      <c r="H729" s="5" t="str">
        <f ca="1">_xlfn.FORMULATEXT(표1[[#This Row],[Q''ty]])</f>
        <v>=F630</v>
      </c>
    </row>
    <row r="730" spans="1:8" ht="15" hidden="1" customHeight="1" x14ac:dyDescent="0.4">
      <c r="A730" s="6">
        <v>2026</v>
      </c>
      <c r="B730" s="6">
        <f t="shared" si="81"/>
        <v>8</v>
      </c>
      <c r="C730" s="13" t="s">
        <v>19</v>
      </c>
      <c r="D730" s="2" t="s">
        <v>6</v>
      </c>
      <c r="E730" s="14" t="str">
        <f t="shared" si="84"/>
        <v>Paint Line</v>
      </c>
      <c r="F730" s="22">
        <f t="shared" si="85"/>
        <v>6</v>
      </c>
      <c r="H730" s="5" t="str">
        <f ca="1">_xlfn.FORMULATEXT(표1[[#This Row],[Q''ty]])</f>
        <v>=F631</v>
      </c>
    </row>
    <row r="731" spans="1:8" ht="15" hidden="1" customHeight="1" x14ac:dyDescent="0.4">
      <c r="A731" s="6">
        <v>2026</v>
      </c>
      <c r="B731" s="6">
        <f t="shared" si="81"/>
        <v>8</v>
      </c>
      <c r="C731" s="13" t="s">
        <v>19</v>
      </c>
      <c r="D731" s="2" t="s">
        <v>6</v>
      </c>
      <c r="E731" s="14" t="str">
        <f t="shared" si="84"/>
        <v>Roll Bending Machine</v>
      </c>
      <c r="F731" s="22">
        <f t="shared" si="85"/>
        <v>4</v>
      </c>
      <c r="H731" s="5" t="str">
        <f ca="1">_xlfn.FORMULATEXT(표1[[#This Row],[Q''ty]])</f>
        <v>=F632</v>
      </c>
    </row>
    <row r="732" spans="1:8" ht="15" hidden="1" customHeight="1" x14ac:dyDescent="0.4">
      <c r="A732" s="6">
        <v>2026</v>
      </c>
      <c r="B732" s="6">
        <f t="shared" si="81"/>
        <v>8</v>
      </c>
      <c r="C732" s="13" t="s">
        <v>19</v>
      </c>
      <c r="D732" s="2" t="s">
        <v>6</v>
      </c>
      <c r="E732" s="14" t="str">
        <f t="shared" si="84"/>
        <v>L/W Machine</v>
      </c>
      <c r="F732" s="22">
        <f t="shared" si="85"/>
        <v>10</v>
      </c>
      <c r="H732" s="5" t="str">
        <f ca="1">_xlfn.FORMULATEXT(표1[[#This Row],[Q''ty]])</f>
        <v>=F633</v>
      </c>
    </row>
    <row r="733" spans="1:8" ht="15" hidden="1" customHeight="1" x14ac:dyDescent="0.4">
      <c r="A733" s="6">
        <v>2026</v>
      </c>
      <c r="B733" s="6">
        <f t="shared" si="81"/>
        <v>8</v>
      </c>
      <c r="C733" s="13" t="s">
        <v>19</v>
      </c>
      <c r="D733" s="2" t="s">
        <v>6</v>
      </c>
      <c r="E733" s="14" t="str">
        <f t="shared" si="84"/>
        <v>C/W Machine</v>
      </c>
      <c r="F733" s="22">
        <f t="shared" si="85"/>
        <v>12</v>
      </c>
      <c r="H733" s="5" t="str">
        <f ca="1">_xlfn.FORMULATEXT(표1[[#This Row],[Q''ty]])</f>
        <v>=F634</v>
      </c>
    </row>
    <row r="734" spans="1:8" ht="15" hidden="1" customHeight="1" x14ac:dyDescent="0.4">
      <c r="A734" s="6">
        <v>2026</v>
      </c>
      <c r="B734" s="6">
        <f t="shared" si="81"/>
        <v>8</v>
      </c>
      <c r="C734" s="13" t="s">
        <v>19</v>
      </c>
      <c r="D734" s="2" t="s">
        <v>12</v>
      </c>
      <c r="E734" s="14" t="str">
        <f t="shared" si="84"/>
        <v>BT GT</v>
      </c>
      <c r="F734" s="22">
        <v>0</v>
      </c>
      <c r="H734" s="5" t="e">
        <f ca="1">_xlfn.FORMULATEXT(표1[[#This Row],[Q''ty]])</f>
        <v>#N/A</v>
      </c>
    </row>
    <row r="735" spans="1:8" ht="15" hidden="1" customHeight="1" x14ac:dyDescent="0.4">
      <c r="A735" s="6">
        <v>2026</v>
      </c>
      <c r="B735" s="6">
        <f t="shared" si="81"/>
        <v>8</v>
      </c>
      <c r="C735" s="13" t="s">
        <v>19</v>
      </c>
      <c r="D735" s="2" t="s">
        <v>12</v>
      </c>
      <c r="E735" s="14" t="str">
        <f t="shared" si="84"/>
        <v>WT GT</v>
      </c>
      <c r="F735" s="22">
        <v>0</v>
      </c>
      <c r="H735" s="5" t="e">
        <f ca="1">_xlfn.FORMULATEXT(표1[[#This Row],[Q''ty]])</f>
        <v>#N/A</v>
      </c>
    </row>
    <row r="736" spans="1:8" ht="15" hidden="1" customHeight="1" x14ac:dyDescent="0.4">
      <c r="A736" s="6">
        <v>2026</v>
      </c>
      <c r="B736" s="6">
        <f t="shared" si="81"/>
        <v>8</v>
      </c>
      <c r="C736" s="13" t="s">
        <v>19</v>
      </c>
      <c r="D736" s="2" t="s">
        <v>12</v>
      </c>
      <c r="E736" s="14" t="str">
        <f t="shared" si="84"/>
        <v>Bending</v>
      </c>
      <c r="F736" s="22">
        <v>0</v>
      </c>
      <c r="H736" s="5" t="e">
        <f ca="1">_xlfn.FORMULATEXT(표1[[#This Row],[Q''ty]])</f>
        <v>#N/A</v>
      </c>
    </row>
    <row r="737" spans="1:8" ht="15" hidden="1" customHeight="1" x14ac:dyDescent="0.4">
      <c r="A737" s="6">
        <v>2026</v>
      </c>
      <c r="B737" s="6">
        <f t="shared" si="81"/>
        <v>8</v>
      </c>
      <c r="C737" s="13" t="s">
        <v>19</v>
      </c>
      <c r="D737" s="2" t="s">
        <v>12</v>
      </c>
      <c r="E737" s="14" t="str">
        <f t="shared" si="84"/>
        <v>L/W</v>
      </c>
      <c r="F737" s="22">
        <v>0</v>
      </c>
      <c r="H737" s="5" t="e">
        <f ca="1">_xlfn.FORMULATEXT(표1[[#This Row],[Q''ty]])</f>
        <v>#N/A</v>
      </c>
    </row>
    <row r="738" spans="1:8" ht="15" hidden="1" customHeight="1" thickBot="1" x14ac:dyDescent="0.45">
      <c r="A738" s="15">
        <v>2026</v>
      </c>
      <c r="B738" s="15">
        <f t="shared" si="81"/>
        <v>8</v>
      </c>
      <c r="C738" s="16" t="s">
        <v>19</v>
      </c>
      <c r="D738" s="17" t="s">
        <v>12</v>
      </c>
      <c r="E738" s="18" t="str">
        <f t="shared" si="84"/>
        <v>C/W</v>
      </c>
      <c r="F738" s="23">
        <v>0</v>
      </c>
      <c r="H738" s="5" t="e">
        <f ca="1">_xlfn.FORMULATEXT(표1[[#This Row],[Q''ty]])</f>
        <v>#N/A</v>
      </c>
    </row>
    <row r="739" spans="1:8" ht="15" hidden="1" customHeight="1" thickTop="1" x14ac:dyDescent="0.4">
      <c r="A739" s="6">
        <v>2026</v>
      </c>
      <c r="B739" s="6">
        <f t="shared" si="81"/>
        <v>8</v>
      </c>
      <c r="C739" s="13" t="s">
        <v>25</v>
      </c>
      <c r="D739" s="2" t="s">
        <v>6</v>
      </c>
      <c r="E739" s="14" t="s">
        <v>7</v>
      </c>
      <c r="F739" s="22">
        <f t="shared" ref="F739:F744" si="86">F640</f>
        <v>3</v>
      </c>
      <c r="H739" s="5" t="str">
        <f ca="1">_xlfn.FORMULATEXT(표1[[#This Row],[Q''ty]])</f>
        <v>=F640</v>
      </c>
    </row>
    <row r="740" spans="1:8" ht="15" hidden="1" customHeight="1" x14ac:dyDescent="0.4">
      <c r="A740" s="6">
        <v>2026</v>
      </c>
      <c r="B740" s="6">
        <f t="shared" si="81"/>
        <v>8</v>
      </c>
      <c r="C740" s="13" t="s">
        <v>25</v>
      </c>
      <c r="D740" s="2" t="s">
        <v>6</v>
      </c>
      <c r="E740" s="14" t="s">
        <v>8</v>
      </c>
      <c r="F740" s="22">
        <f t="shared" si="86"/>
        <v>3</v>
      </c>
      <c r="H740" s="5" t="str">
        <f ca="1">_xlfn.FORMULATEXT(표1[[#This Row],[Q''ty]])</f>
        <v>=F641</v>
      </c>
    </row>
    <row r="741" spans="1:8" ht="15" hidden="1" customHeight="1" x14ac:dyDescent="0.4">
      <c r="A741" s="6">
        <v>2026</v>
      </c>
      <c r="B741" s="6">
        <f t="shared" si="81"/>
        <v>8</v>
      </c>
      <c r="C741" s="13" t="s">
        <v>25</v>
      </c>
      <c r="D741" s="2" t="s">
        <v>6</v>
      </c>
      <c r="E741" s="14" t="s">
        <v>9</v>
      </c>
      <c r="F741" s="22">
        <f t="shared" si="86"/>
        <v>2</v>
      </c>
      <c r="H741" s="5" t="str">
        <f ca="1">_xlfn.FORMULATEXT(표1[[#This Row],[Q''ty]])</f>
        <v>=F642</v>
      </c>
    </row>
    <row r="742" spans="1:8" ht="15" hidden="1" customHeight="1" x14ac:dyDescent="0.4">
      <c r="A742" s="6">
        <v>2026</v>
      </c>
      <c r="B742" s="6">
        <f t="shared" si="81"/>
        <v>8</v>
      </c>
      <c r="C742" s="13" t="s">
        <v>25</v>
      </c>
      <c r="D742" s="2" t="s">
        <v>6</v>
      </c>
      <c r="E742" s="14" t="s">
        <v>27</v>
      </c>
      <c r="F742" s="22">
        <f t="shared" si="86"/>
        <v>2</v>
      </c>
      <c r="H742" s="5" t="str">
        <f ca="1">_xlfn.FORMULATEXT(표1[[#This Row],[Q''ty]])</f>
        <v>=F643</v>
      </c>
    </row>
    <row r="743" spans="1:8" ht="15" hidden="1" customHeight="1" x14ac:dyDescent="0.4">
      <c r="A743" s="6">
        <v>2026</v>
      </c>
      <c r="B743" s="6">
        <f t="shared" si="81"/>
        <v>8</v>
      </c>
      <c r="C743" s="13" t="s">
        <v>25</v>
      </c>
      <c r="D743" s="2" t="s">
        <v>6</v>
      </c>
      <c r="E743" s="14" t="s">
        <v>10</v>
      </c>
      <c r="F743" s="22">
        <f t="shared" si="86"/>
        <v>3</v>
      </c>
      <c r="H743" s="5" t="str">
        <f ca="1">_xlfn.FORMULATEXT(표1[[#This Row],[Q''ty]])</f>
        <v>=F644</v>
      </c>
    </row>
    <row r="744" spans="1:8" ht="15" hidden="1" customHeight="1" x14ac:dyDescent="0.4">
      <c r="A744" s="6">
        <v>2026</v>
      </c>
      <c r="B744" s="6">
        <f t="shared" si="81"/>
        <v>8</v>
      </c>
      <c r="C744" s="13" t="s">
        <v>25</v>
      </c>
      <c r="D744" s="2" t="s">
        <v>6</v>
      </c>
      <c r="E744" s="14" t="s">
        <v>11</v>
      </c>
      <c r="F744" s="22">
        <f t="shared" si="86"/>
        <v>4</v>
      </c>
      <c r="H744" s="5" t="str">
        <f ca="1">_xlfn.FORMULATEXT(표1[[#This Row],[Q''ty]])</f>
        <v>=F645</v>
      </c>
    </row>
    <row r="745" spans="1:8" ht="15" hidden="1" customHeight="1" x14ac:dyDescent="0.4">
      <c r="A745" s="6">
        <v>2026</v>
      </c>
      <c r="B745" s="6">
        <f t="shared" si="81"/>
        <v>8</v>
      </c>
      <c r="C745" s="13" t="s">
        <v>25</v>
      </c>
      <c r="D745" s="2" t="s">
        <v>12</v>
      </c>
      <c r="E745" s="14" t="s">
        <v>13</v>
      </c>
      <c r="F745" s="22">
        <v>0</v>
      </c>
      <c r="H745" s="5" t="e">
        <f ca="1">_xlfn.FORMULATEXT(표1[[#This Row],[Q''ty]])</f>
        <v>#N/A</v>
      </c>
    </row>
    <row r="746" spans="1:8" ht="15" hidden="1" customHeight="1" x14ac:dyDescent="0.4">
      <c r="A746" s="6">
        <v>2026</v>
      </c>
      <c r="B746" s="6">
        <f t="shared" si="81"/>
        <v>8</v>
      </c>
      <c r="C746" s="13" t="s">
        <v>25</v>
      </c>
      <c r="D746" s="2" t="s">
        <v>12</v>
      </c>
      <c r="E746" s="14" t="s">
        <v>14</v>
      </c>
      <c r="F746" s="22">
        <v>0</v>
      </c>
      <c r="H746" s="5" t="e">
        <f ca="1">_xlfn.FORMULATEXT(표1[[#This Row],[Q''ty]])</f>
        <v>#N/A</v>
      </c>
    </row>
    <row r="747" spans="1:8" ht="15" hidden="1" customHeight="1" x14ac:dyDescent="0.4">
      <c r="A747" s="6">
        <v>2026</v>
      </c>
      <c r="B747" s="6">
        <f t="shared" si="81"/>
        <v>8</v>
      </c>
      <c r="C747" s="13" t="s">
        <v>25</v>
      </c>
      <c r="D747" s="2" t="s">
        <v>12</v>
      </c>
      <c r="E747" s="14" t="s">
        <v>15</v>
      </c>
      <c r="F747" s="22">
        <v>0</v>
      </c>
      <c r="H747" s="5" t="e">
        <f ca="1">_xlfn.FORMULATEXT(표1[[#This Row],[Q''ty]])</f>
        <v>#N/A</v>
      </c>
    </row>
    <row r="748" spans="1:8" ht="15" hidden="1" customHeight="1" x14ac:dyDescent="0.4">
      <c r="A748" s="6">
        <v>2026</v>
      </c>
      <c r="B748" s="6">
        <f t="shared" si="81"/>
        <v>8</v>
      </c>
      <c r="C748" s="13" t="s">
        <v>25</v>
      </c>
      <c r="D748" s="2" t="s">
        <v>12</v>
      </c>
      <c r="E748" s="14" t="s">
        <v>16</v>
      </c>
      <c r="F748" s="22">
        <v>0</v>
      </c>
      <c r="H748" s="5" t="e">
        <f ca="1">_xlfn.FORMULATEXT(표1[[#This Row],[Q''ty]])</f>
        <v>#N/A</v>
      </c>
    </row>
    <row r="749" spans="1:8" ht="15" hidden="1" customHeight="1" thickBot="1" x14ac:dyDescent="0.45">
      <c r="A749" s="15">
        <v>2026</v>
      </c>
      <c r="B749" s="15">
        <f t="shared" si="81"/>
        <v>8</v>
      </c>
      <c r="C749" s="16" t="s">
        <v>25</v>
      </c>
      <c r="D749" s="17" t="s">
        <v>12</v>
      </c>
      <c r="E749" s="18" t="s">
        <v>17</v>
      </c>
      <c r="F749" s="23">
        <v>0</v>
      </c>
      <c r="H749" s="5" t="e">
        <f ca="1">_xlfn.FORMULATEXT(표1[[#This Row],[Q''ty]])</f>
        <v>#N/A</v>
      </c>
    </row>
    <row r="750" spans="1:8" ht="15" hidden="1" customHeight="1" thickTop="1" x14ac:dyDescent="0.4">
      <c r="A750" s="6">
        <v>2026</v>
      </c>
      <c r="B750" s="6">
        <f t="shared" si="81"/>
        <v>8</v>
      </c>
      <c r="C750" s="13" t="s">
        <v>26</v>
      </c>
      <c r="D750" s="2" t="s">
        <v>6</v>
      </c>
      <c r="E750" s="14" t="s">
        <v>7</v>
      </c>
      <c r="F750" s="22">
        <f t="shared" ref="F750:F755" si="87">F651</f>
        <v>6</v>
      </c>
      <c r="H750" s="5" t="str">
        <f ca="1">_xlfn.FORMULATEXT(표1[[#This Row],[Q''ty]])</f>
        <v>=F651</v>
      </c>
    </row>
    <row r="751" spans="1:8" ht="15" hidden="1" customHeight="1" x14ac:dyDescent="0.4">
      <c r="A751" s="6">
        <v>2026</v>
      </c>
      <c r="B751" s="6">
        <f t="shared" si="81"/>
        <v>8</v>
      </c>
      <c r="C751" s="13" t="s">
        <v>26</v>
      </c>
      <c r="D751" s="2" t="s">
        <v>6</v>
      </c>
      <c r="E751" s="14" t="s">
        <v>8</v>
      </c>
      <c r="F751" s="22">
        <f t="shared" si="87"/>
        <v>4</v>
      </c>
      <c r="H751" s="5" t="str">
        <f ca="1">_xlfn.FORMULATEXT(표1[[#This Row],[Q''ty]])</f>
        <v>=F652</v>
      </c>
    </row>
    <row r="752" spans="1:8" ht="15" hidden="1" customHeight="1" x14ac:dyDescent="0.4">
      <c r="A752" s="6">
        <v>2026</v>
      </c>
      <c r="B752" s="6">
        <f t="shared" si="81"/>
        <v>8</v>
      </c>
      <c r="C752" s="13" t="s">
        <v>26</v>
      </c>
      <c r="D752" s="2" t="s">
        <v>6</v>
      </c>
      <c r="E752" s="14" t="s">
        <v>9</v>
      </c>
      <c r="F752" s="22">
        <f t="shared" si="87"/>
        <v>2</v>
      </c>
      <c r="H752" s="5" t="str">
        <f ca="1">_xlfn.FORMULATEXT(표1[[#This Row],[Q''ty]])</f>
        <v>=F653</v>
      </c>
    </row>
    <row r="753" spans="1:8" ht="15" hidden="1" customHeight="1" x14ac:dyDescent="0.4">
      <c r="A753" s="6">
        <v>2026</v>
      </c>
      <c r="B753" s="6">
        <f t="shared" si="81"/>
        <v>8</v>
      </c>
      <c r="C753" s="13" t="s">
        <v>26</v>
      </c>
      <c r="D753" s="2" t="s">
        <v>6</v>
      </c>
      <c r="E753" s="14" t="s">
        <v>27</v>
      </c>
      <c r="F753" s="22">
        <f t="shared" si="87"/>
        <v>3</v>
      </c>
      <c r="H753" s="5" t="str">
        <f ca="1">_xlfn.FORMULATEXT(표1[[#This Row],[Q''ty]])</f>
        <v>=F654</v>
      </c>
    </row>
    <row r="754" spans="1:8" ht="15" hidden="1" customHeight="1" x14ac:dyDescent="0.4">
      <c r="A754" s="6">
        <v>2026</v>
      </c>
      <c r="B754" s="6">
        <f t="shared" si="81"/>
        <v>8</v>
      </c>
      <c r="C754" s="13" t="s">
        <v>26</v>
      </c>
      <c r="D754" s="2" t="s">
        <v>6</v>
      </c>
      <c r="E754" s="14" t="s">
        <v>10</v>
      </c>
      <c r="F754" s="22">
        <f t="shared" si="87"/>
        <v>4</v>
      </c>
      <c r="H754" s="5" t="str">
        <f ca="1">_xlfn.FORMULATEXT(표1[[#This Row],[Q''ty]])</f>
        <v>=F655</v>
      </c>
    </row>
    <row r="755" spans="1:8" ht="15" hidden="1" customHeight="1" x14ac:dyDescent="0.4">
      <c r="A755" s="6">
        <v>2026</v>
      </c>
      <c r="B755" s="6">
        <f t="shared" si="81"/>
        <v>8</v>
      </c>
      <c r="C755" s="13" t="s">
        <v>26</v>
      </c>
      <c r="D755" s="2" t="s">
        <v>6</v>
      </c>
      <c r="E755" s="14" t="s">
        <v>11</v>
      </c>
      <c r="F755" s="22">
        <f t="shared" si="87"/>
        <v>6</v>
      </c>
      <c r="H755" s="5" t="str">
        <f ca="1">_xlfn.FORMULATEXT(표1[[#This Row],[Q''ty]])</f>
        <v>=F656</v>
      </c>
    </row>
    <row r="756" spans="1:8" ht="15" hidden="1" customHeight="1" x14ac:dyDescent="0.4">
      <c r="A756" s="6">
        <v>2026</v>
      </c>
      <c r="B756" s="6">
        <f t="shared" si="81"/>
        <v>8</v>
      </c>
      <c r="C756" s="13" t="s">
        <v>26</v>
      </c>
      <c r="D756" s="2" t="s">
        <v>12</v>
      </c>
      <c r="E756" s="14" t="str">
        <f t="shared" ref="E756:E793" si="88">E657</f>
        <v>BT GT</v>
      </c>
      <c r="F756" s="22">
        <v>16</v>
      </c>
      <c r="H756" s="5" t="e">
        <f ca="1">_xlfn.FORMULATEXT(표1[[#This Row],[Q''ty]])</f>
        <v>#N/A</v>
      </c>
    </row>
    <row r="757" spans="1:8" ht="15" hidden="1" customHeight="1" x14ac:dyDescent="0.4">
      <c r="A757" s="6">
        <v>2026</v>
      </c>
      <c r="B757" s="6">
        <f t="shared" si="81"/>
        <v>8</v>
      </c>
      <c r="C757" s="13" t="s">
        <v>26</v>
      </c>
      <c r="D757" s="2" t="s">
        <v>12</v>
      </c>
      <c r="E757" s="14" t="str">
        <f t="shared" si="88"/>
        <v>WT GT</v>
      </c>
      <c r="F757" s="22">
        <v>16</v>
      </c>
      <c r="H757" s="5" t="e">
        <f ca="1">_xlfn.FORMULATEXT(표1[[#This Row],[Q''ty]])</f>
        <v>#N/A</v>
      </c>
    </row>
    <row r="758" spans="1:8" ht="15" hidden="1" customHeight="1" x14ac:dyDescent="0.4">
      <c r="A758" s="6">
        <v>2026</v>
      </c>
      <c r="B758" s="6">
        <f t="shared" si="81"/>
        <v>8</v>
      </c>
      <c r="C758" s="13" t="s">
        <v>26</v>
      </c>
      <c r="D758" s="2" t="s">
        <v>12</v>
      </c>
      <c r="E758" s="14" t="str">
        <f t="shared" si="88"/>
        <v>Bending</v>
      </c>
      <c r="F758" s="22">
        <v>115</v>
      </c>
      <c r="H758" s="5" t="e">
        <f ca="1">_xlfn.FORMULATEXT(표1[[#This Row],[Q''ty]])</f>
        <v>#N/A</v>
      </c>
    </row>
    <row r="759" spans="1:8" ht="15" hidden="1" customHeight="1" x14ac:dyDescent="0.4">
      <c r="A759" s="6">
        <v>2026</v>
      </c>
      <c r="B759" s="6">
        <f t="shared" si="81"/>
        <v>8</v>
      </c>
      <c r="C759" s="13" t="s">
        <v>26</v>
      </c>
      <c r="D759" s="2" t="s">
        <v>12</v>
      </c>
      <c r="E759" s="14" t="str">
        <f t="shared" si="88"/>
        <v>L/W</v>
      </c>
      <c r="F759" s="22">
        <v>125</v>
      </c>
      <c r="H759" s="5" t="e">
        <f ca="1">_xlfn.FORMULATEXT(표1[[#This Row],[Q''ty]])</f>
        <v>#N/A</v>
      </c>
    </row>
    <row r="760" spans="1:8" ht="15" hidden="1" customHeight="1" thickBot="1" x14ac:dyDescent="0.45">
      <c r="A760" s="15">
        <v>2026</v>
      </c>
      <c r="B760" s="15">
        <f t="shared" ref="B760:B793" si="89">B661+1</f>
        <v>8</v>
      </c>
      <c r="C760" s="16" t="s">
        <v>26</v>
      </c>
      <c r="D760" s="17" t="s">
        <v>12</v>
      </c>
      <c r="E760" s="18" t="str">
        <f t="shared" si="88"/>
        <v>C/W</v>
      </c>
      <c r="F760" s="23">
        <v>178</v>
      </c>
      <c r="H760" s="5" t="e">
        <f ca="1">_xlfn.FORMULATEXT(표1[[#This Row],[Q''ty]])</f>
        <v>#N/A</v>
      </c>
    </row>
    <row r="761" spans="1:8" ht="15" hidden="1" customHeight="1" thickTop="1" x14ac:dyDescent="0.4">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hidden="1" customHeight="1" x14ac:dyDescent="0.4">
      <c r="A762" s="6">
        <v>2026</v>
      </c>
      <c r="B762" s="6">
        <f t="shared" si="89"/>
        <v>8</v>
      </c>
      <c r="C762" s="13" t="s">
        <v>20</v>
      </c>
      <c r="D762" s="2" t="s">
        <v>6</v>
      </c>
      <c r="E762" s="14" t="str">
        <f t="shared" si="88"/>
        <v>Paint Booth</v>
      </c>
      <c r="F762" s="22">
        <f t="shared" si="90"/>
        <v>16</v>
      </c>
      <c r="H762" s="5" t="str">
        <f ca="1">_xlfn.FORMULATEXT(표1[[#This Row],[Q''ty]])</f>
        <v>=F663</v>
      </c>
    </row>
    <row r="763" spans="1:8" ht="15" hidden="1" customHeight="1" x14ac:dyDescent="0.4">
      <c r="A763" s="6">
        <v>2026</v>
      </c>
      <c r="B763" s="6">
        <f t="shared" si="89"/>
        <v>8</v>
      </c>
      <c r="C763" s="13" t="s">
        <v>20</v>
      </c>
      <c r="D763" s="2" t="s">
        <v>6</v>
      </c>
      <c r="E763" s="14" t="str">
        <f t="shared" si="88"/>
        <v>Paint Line</v>
      </c>
      <c r="F763" s="22">
        <f t="shared" si="90"/>
        <v>8</v>
      </c>
      <c r="H763" s="5" t="str">
        <f ca="1">_xlfn.FORMULATEXT(표1[[#This Row],[Q''ty]])</f>
        <v>=F664</v>
      </c>
    </row>
    <row r="764" spans="1:8" ht="15" hidden="1" customHeight="1" x14ac:dyDescent="0.4">
      <c r="A764" s="6">
        <v>2026</v>
      </c>
      <c r="B764" s="6">
        <f t="shared" si="89"/>
        <v>8</v>
      </c>
      <c r="C764" s="13" t="s">
        <v>20</v>
      </c>
      <c r="D764" s="2" t="s">
        <v>6</v>
      </c>
      <c r="E764" s="14" t="str">
        <f t="shared" si="88"/>
        <v>Roll Bending Machine</v>
      </c>
      <c r="F764" s="22">
        <f t="shared" si="90"/>
        <v>6</v>
      </c>
      <c r="H764" s="5" t="str">
        <f ca="1">_xlfn.FORMULATEXT(표1[[#This Row],[Q''ty]])</f>
        <v>=F665</v>
      </c>
    </row>
    <row r="765" spans="1:8" ht="15" hidden="1" customHeight="1" x14ac:dyDescent="0.4">
      <c r="A765" s="6">
        <v>2026</v>
      </c>
      <c r="B765" s="6">
        <f t="shared" si="89"/>
        <v>8</v>
      </c>
      <c r="C765" s="13" t="s">
        <v>20</v>
      </c>
      <c r="D765" s="2" t="s">
        <v>6</v>
      </c>
      <c r="E765" s="14" t="str">
        <f t="shared" si="88"/>
        <v>L/W Machine</v>
      </c>
      <c r="F765" s="22">
        <f t="shared" si="90"/>
        <v>11</v>
      </c>
      <c r="H765" s="5" t="str">
        <f ca="1">_xlfn.FORMULATEXT(표1[[#This Row],[Q''ty]])</f>
        <v>=F666</v>
      </c>
    </row>
    <row r="766" spans="1:8" ht="15" hidden="1" customHeight="1" x14ac:dyDescent="0.4">
      <c r="A766" s="6">
        <v>2026</v>
      </c>
      <c r="B766" s="6">
        <f t="shared" si="89"/>
        <v>8</v>
      </c>
      <c r="C766" s="13" t="s">
        <v>20</v>
      </c>
      <c r="D766" s="2" t="s">
        <v>6</v>
      </c>
      <c r="E766" s="14" t="str">
        <f t="shared" si="88"/>
        <v>C/W Machine</v>
      </c>
      <c r="F766" s="22">
        <f t="shared" si="90"/>
        <v>15</v>
      </c>
      <c r="H766" s="5" t="str">
        <f ca="1">_xlfn.FORMULATEXT(표1[[#This Row],[Q''ty]])</f>
        <v>=F667</v>
      </c>
    </row>
    <row r="767" spans="1:8" ht="15" hidden="1" customHeight="1" x14ac:dyDescent="0.4">
      <c r="A767" s="6">
        <v>2026</v>
      </c>
      <c r="B767" s="6">
        <f t="shared" si="89"/>
        <v>8</v>
      </c>
      <c r="C767" s="13" t="s">
        <v>20</v>
      </c>
      <c r="D767" s="2" t="s">
        <v>12</v>
      </c>
      <c r="E767" s="14" t="str">
        <f t="shared" si="88"/>
        <v>BT GT</v>
      </c>
      <c r="F767" s="22">
        <v>71</v>
      </c>
      <c r="H767" s="5" t="e">
        <f ca="1">_xlfn.FORMULATEXT(표1[[#This Row],[Q''ty]])</f>
        <v>#N/A</v>
      </c>
    </row>
    <row r="768" spans="1:8" ht="15" hidden="1" customHeight="1" x14ac:dyDescent="0.4">
      <c r="A768" s="6">
        <v>2026</v>
      </c>
      <c r="B768" s="6">
        <f t="shared" si="89"/>
        <v>8</v>
      </c>
      <c r="C768" s="13" t="s">
        <v>20</v>
      </c>
      <c r="D768" s="2" t="s">
        <v>12</v>
      </c>
      <c r="E768" s="14" t="str">
        <f t="shared" si="88"/>
        <v>WT GT</v>
      </c>
      <c r="F768" s="22">
        <v>77</v>
      </c>
      <c r="H768" s="5" t="e">
        <f ca="1">_xlfn.FORMULATEXT(표1[[#This Row],[Q''ty]])</f>
        <v>#N/A</v>
      </c>
    </row>
    <row r="769" spans="1:8" ht="15" hidden="1" customHeight="1" x14ac:dyDescent="0.4">
      <c r="A769" s="6">
        <v>2026</v>
      </c>
      <c r="B769" s="6">
        <f t="shared" si="89"/>
        <v>8</v>
      </c>
      <c r="C769" s="13" t="s">
        <v>20</v>
      </c>
      <c r="D769" s="2" t="s">
        <v>12</v>
      </c>
      <c r="E769" s="14" t="str">
        <f t="shared" si="88"/>
        <v>Bending</v>
      </c>
      <c r="F769" s="22">
        <v>610</v>
      </c>
      <c r="H769" s="5" t="e">
        <f ca="1">_xlfn.FORMULATEXT(표1[[#This Row],[Q''ty]])</f>
        <v>#N/A</v>
      </c>
    </row>
    <row r="770" spans="1:8" ht="15" hidden="1" customHeight="1" x14ac:dyDescent="0.4">
      <c r="A770" s="6">
        <v>2026</v>
      </c>
      <c r="B770" s="6">
        <f t="shared" si="89"/>
        <v>8</v>
      </c>
      <c r="C770" s="13" t="s">
        <v>20</v>
      </c>
      <c r="D770" s="2" t="s">
        <v>12</v>
      </c>
      <c r="E770" s="14" t="str">
        <f t="shared" si="88"/>
        <v>L/W</v>
      </c>
      <c r="F770" s="22">
        <v>597</v>
      </c>
      <c r="H770" s="5" t="e">
        <f ca="1">_xlfn.FORMULATEXT(표1[[#This Row],[Q''ty]])</f>
        <v>#N/A</v>
      </c>
    </row>
    <row r="771" spans="1:8" ht="15" hidden="1" customHeight="1" thickBot="1" x14ac:dyDescent="0.45">
      <c r="A771" s="15">
        <v>2026</v>
      </c>
      <c r="B771" s="15">
        <f t="shared" si="89"/>
        <v>8</v>
      </c>
      <c r="C771" s="16" t="s">
        <v>20</v>
      </c>
      <c r="D771" s="17" t="s">
        <v>12</v>
      </c>
      <c r="E771" s="18" t="str">
        <f t="shared" si="88"/>
        <v>C/W</v>
      </c>
      <c r="F771" s="23">
        <v>545</v>
      </c>
      <c r="H771" s="5" t="e">
        <f ca="1">_xlfn.FORMULATEXT(표1[[#This Row],[Q''ty]])</f>
        <v>#N/A</v>
      </c>
    </row>
    <row r="772" spans="1:8" ht="15" hidden="1" customHeight="1" thickTop="1" x14ac:dyDescent="0.4">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hidden="1" customHeight="1" x14ac:dyDescent="0.4">
      <c r="A773" s="6">
        <v>2026</v>
      </c>
      <c r="B773" s="6">
        <f t="shared" si="89"/>
        <v>8</v>
      </c>
      <c r="C773" s="13" t="s">
        <v>21</v>
      </c>
      <c r="D773" s="2" t="s">
        <v>6</v>
      </c>
      <c r="E773" s="14" t="str">
        <f t="shared" si="88"/>
        <v>Paint Booth</v>
      </c>
      <c r="F773" s="22">
        <f t="shared" si="91"/>
        <v>4</v>
      </c>
      <c r="H773" s="5" t="str">
        <f ca="1">_xlfn.FORMULATEXT(표1[[#This Row],[Q''ty]])</f>
        <v>=F674</v>
      </c>
    </row>
    <row r="774" spans="1:8" ht="15" hidden="1" customHeight="1" x14ac:dyDescent="0.4">
      <c r="A774" s="6">
        <v>2026</v>
      </c>
      <c r="B774" s="6">
        <f t="shared" si="89"/>
        <v>8</v>
      </c>
      <c r="C774" s="13" t="s">
        <v>21</v>
      </c>
      <c r="D774" s="2" t="s">
        <v>6</v>
      </c>
      <c r="E774" s="14" t="str">
        <f t="shared" si="88"/>
        <v>Paint Line</v>
      </c>
      <c r="F774" s="22">
        <f t="shared" si="91"/>
        <v>4</v>
      </c>
      <c r="H774" s="5" t="str">
        <f ca="1">_xlfn.FORMULATEXT(표1[[#This Row],[Q''ty]])</f>
        <v>=F675</v>
      </c>
    </row>
    <row r="775" spans="1:8" ht="15" hidden="1" customHeight="1" x14ac:dyDescent="0.4">
      <c r="A775" s="6">
        <v>2026</v>
      </c>
      <c r="B775" s="6">
        <f t="shared" si="89"/>
        <v>8</v>
      </c>
      <c r="C775" s="13" t="s">
        <v>21</v>
      </c>
      <c r="D775" s="2" t="s">
        <v>6</v>
      </c>
      <c r="E775" s="14" t="str">
        <f t="shared" si="88"/>
        <v>Roll Bending Machine</v>
      </c>
      <c r="F775" s="22">
        <f t="shared" si="91"/>
        <v>3</v>
      </c>
      <c r="H775" s="5" t="str">
        <f ca="1">_xlfn.FORMULATEXT(표1[[#This Row],[Q''ty]])</f>
        <v>=F676</v>
      </c>
    </row>
    <row r="776" spans="1:8" ht="15" hidden="1" customHeight="1" x14ac:dyDescent="0.4">
      <c r="A776" s="6">
        <v>2026</v>
      </c>
      <c r="B776" s="6">
        <f t="shared" si="89"/>
        <v>8</v>
      </c>
      <c r="C776" s="13" t="s">
        <v>21</v>
      </c>
      <c r="D776" s="2" t="s">
        <v>6</v>
      </c>
      <c r="E776" s="14" t="str">
        <f t="shared" si="88"/>
        <v>L/W Machine</v>
      </c>
      <c r="F776" s="22">
        <f t="shared" si="91"/>
        <v>4</v>
      </c>
      <c r="H776" s="5" t="str">
        <f ca="1">_xlfn.FORMULATEXT(표1[[#This Row],[Q''ty]])</f>
        <v>=F677</v>
      </c>
    </row>
    <row r="777" spans="1:8" ht="15" hidden="1" customHeight="1" x14ac:dyDescent="0.4">
      <c r="A777" s="6">
        <v>2026</v>
      </c>
      <c r="B777" s="6">
        <f t="shared" si="89"/>
        <v>8</v>
      </c>
      <c r="C777" s="13" t="s">
        <v>21</v>
      </c>
      <c r="D777" s="2" t="s">
        <v>6</v>
      </c>
      <c r="E777" s="14" t="str">
        <f t="shared" si="88"/>
        <v>C/W Machine</v>
      </c>
      <c r="F777" s="22">
        <f t="shared" si="91"/>
        <v>6.5</v>
      </c>
      <c r="H777" s="5" t="str">
        <f ca="1">_xlfn.FORMULATEXT(표1[[#This Row],[Q''ty]])</f>
        <v>=F678</v>
      </c>
    </row>
    <row r="778" spans="1:8" ht="15" hidden="1" customHeight="1" x14ac:dyDescent="0.4">
      <c r="A778" s="6">
        <v>2026</v>
      </c>
      <c r="B778" s="6">
        <f t="shared" si="89"/>
        <v>8</v>
      </c>
      <c r="C778" s="13" t="s">
        <v>21</v>
      </c>
      <c r="D778" s="2" t="s">
        <v>12</v>
      </c>
      <c r="E778" s="14" t="str">
        <f t="shared" si="88"/>
        <v>BT GT</v>
      </c>
      <c r="F778" s="22">
        <v>10</v>
      </c>
      <c r="H778" s="5" t="e">
        <f ca="1">_xlfn.FORMULATEXT(표1[[#This Row],[Q''ty]])</f>
        <v>#N/A</v>
      </c>
    </row>
    <row r="779" spans="1:8" ht="15" hidden="1" customHeight="1" x14ac:dyDescent="0.4">
      <c r="A779" s="6">
        <v>2026</v>
      </c>
      <c r="B779" s="6">
        <f t="shared" si="89"/>
        <v>8</v>
      </c>
      <c r="C779" s="13" t="s">
        <v>21</v>
      </c>
      <c r="D779" s="2" t="s">
        <v>12</v>
      </c>
      <c r="E779" s="14" t="str">
        <f t="shared" si="88"/>
        <v>WT GT</v>
      </c>
      <c r="F779" s="22">
        <v>12</v>
      </c>
      <c r="H779" s="5" t="e">
        <f ca="1">_xlfn.FORMULATEXT(표1[[#This Row],[Q''ty]])</f>
        <v>#N/A</v>
      </c>
    </row>
    <row r="780" spans="1:8" ht="15" hidden="1" customHeight="1" x14ac:dyDescent="0.4">
      <c r="A780" s="6">
        <v>2026</v>
      </c>
      <c r="B780" s="6">
        <f t="shared" si="89"/>
        <v>8</v>
      </c>
      <c r="C780" s="13" t="s">
        <v>21</v>
      </c>
      <c r="D780" s="2" t="s">
        <v>12</v>
      </c>
      <c r="E780" s="14" t="str">
        <f t="shared" si="88"/>
        <v>Bending</v>
      </c>
      <c r="F780" s="22">
        <v>108</v>
      </c>
      <c r="H780" s="5" t="e">
        <f ca="1">_xlfn.FORMULATEXT(표1[[#This Row],[Q''ty]])</f>
        <v>#N/A</v>
      </c>
    </row>
    <row r="781" spans="1:8" ht="15" hidden="1" customHeight="1" x14ac:dyDescent="0.4">
      <c r="A781" s="6">
        <v>2026</v>
      </c>
      <c r="B781" s="6">
        <f t="shared" si="89"/>
        <v>8</v>
      </c>
      <c r="C781" s="13" t="s">
        <v>21</v>
      </c>
      <c r="D781" s="2" t="s">
        <v>12</v>
      </c>
      <c r="E781" s="14" t="str">
        <f t="shared" si="88"/>
        <v>L/W</v>
      </c>
      <c r="F781" s="22">
        <v>110</v>
      </c>
      <c r="H781" s="5" t="e">
        <f ca="1">_xlfn.FORMULATEXT(표1[[#This Row],[Q''ty]])</f>
        <v>#N/A</v>
      </c>
    </row>
    <row r="782" spans="1:8" ht="15" hidden="1" customHeight="1" thickBot="1" x14ac:dyDescent="0.45">
      <c r="A782" s="15">
        <v>2026</v>
      </c>
      <c r="B782" s="15">
        <f t="shared" si="89"/>
        <v>8</v>
      </c>
      <c r="C782" s="16" t="s">
        <v>21</v>
      </c>
      <c r="D782" s="17" t="s">
        <v>12</v>
      </c>
      <c r="E782" s="18" t="str">
        <f t="shared" si="88"/>
        <v>C/W</v>
      </c>
      <c r="F782" s="23">
        <v>103</v>
      </c>
      <c r="H782" s="5" t="e">
        <f ca="1">_xlfn.FORMULATEXT(표1[[#This Row],[Q''ty]])</f>
        <v>#N/A</v>
      </c>
    </row>
    <row r="783" spans="1:8" ht="15" hidden="1" customHeight="1" thickTop="1" x14ac:dyDescent="0.4">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hidden="1" customHeight="1" x14ac:dyDescent="0.4">
      <c r="A784" s="6">
        <v>2026</v>
      </c>
      <c r="B784" s="6">
        <f t="shared" si="89"/>
        <v>8</v>
      </c>
      <c r="C784" s="13" t="s">
        <v>22</v>
      </c>
      <c r="D784" s="2" t="s">
        <v>6</v>
      </c>
      <c r="E784" s="14" t="str">
        <f t="shared" si="88"/>
        <v>Paint Booth</v>
      </c>
      <c r="F784" s="22">
        <f t="shared" si="92"/>
        <v>6</v>
      </c>
      <c r="H784" s="5" t="str">
        <f ca="1">_xlfn.FORMULATEXT(표1[[#This Row],[Q''ty]])</f>
        <v>=F685</v>
      </c>
    </row>
    <row r="785" spans="1:10" ht="15" hidden="1" customHeight="1" x14ac:dyDescent="0.4">
      <c r="A785" s="6">
        <v>2026</v>
      </c>
      <c r="B785" s="6">
        <f t="shared" si="89"/>
        <v>8</v>
      </c>
      <c r="C785" s="13" t="s">
        <v>22</v>
      </c>
      <c r="D785" s="2" t="s">
        <v>6</v>
      </c>
      <c r="E785" s="14" t="str">
        <f t="shared" si="88"/>
        <v>Paint Line</v>
      </c>
      <c r="F785" s="22">
        <f t="shared" si="92"/>
        <v>4</v>
      </c>
      <c r="H785" s="5" t="str">
        <f ca="1">_xlfn.FORMULATEXT(표1[[#This Row],[Q''ty]])</f>
        <v>=F686</v>
      </c>
    </row>
    <row r="786" spans="1:10" ht="15" hidden="1" customHeight="1" x14ac:dyDescent="0.4">
      <c r="A786" s="6">
        <v>2026</v>
      </c>
      <c r="B786" s="6">
        <f t="shared" si="89"/>
        <v>8</v>
      </c>
      <c r="C786" s="13" t="s">
        <v>22</v>
      </c>
      <c r="D786" s="2" t="s">
        <v>6</v>
      </c>
      <c r="E786" s="14" t="str">
        <f t="shared" si="88"/>
        <v>Roll Bending Machine</v>
      </c>
      <c r="F786" s="22">
        <f t="shared" si="92"/>
        <v>4</v>
      </c>
      <c r="H786" s="5" t="str">
        <f ca="1">_xlfn.FORMULATEXT(표1[[#This Row],[Q''ty]])</f>
        <v>=F687</v>
      </c>
    </row>
    <row r="787" spans="1:10" ht="15" hidden="1" customHeight="1" x14ac:dyDescent="0.4">
      <c r="A787" s="6">
        <v>2026</v>
      </c>
      <c r="B787" s="6">
        <f t="shared" si="89"/>
        <v>8</v>
      </c>
      <c r="C787" s="13" t="s">
        <v>22</v>
      </c>
      <c r="D787" s="2" t="s">
        <v>6</v>
      </c>
      <c r="E787" s="14" t="str">
        <f t="shared" si="88"/>
        <v>L/W Machine</v>
      </c>
      <c r="F787" s="22">
        <f t="shared" si="92"/>
        <v>7</v>
      </c>
      <c r="H787" s="5" t="str">
        <f ca="1">_xlfn.FORMULATEXT(표1[[#This Row],[Q''ty]])</f>
        <v>=F688</v>
      </c>
    </row>
    <row r="788" spans="1:10" ht="15" hidden="1" customHeight="1" x14ac:dyDescent="0.4">
      <c r="A788" s="6">
        <v>2026</v>
      </c>
      <c r="B788" s="6">
        <f t="shared" si="89"/>
        <v>8</v>
      </c>
      <c r="C788" s="13" t="s">
        <v>22</v>
      </c>
      <c r="D788" s="2" t="s">
        <v>6</v>
      </c>
      <c r="E788" s="14" t="str">
        <f t="shared" si="88"/>
        <v>C/W Machine</v>
      </c>
      <c r="F788" s="22">
        <f t="shared" si="92"/>
        <v>12.5</v>
      </c>
      <c r="H788" s="5" t="str">
        <f ca="1">_xlfn.FORMULATEXT(표1[[#This Row],[Q''ty]])</f>
        <v>=F689</v>
      </c>
    </row>
    <row r="789" spans="1:10" ht="15" hidden="1" customHeight="1" x14ac:dyDescent="0.4">
      <c r="A789" s="6">
        <v>2026</v>
      </c>
      <c r="B789" s="6">
        <f t="shared" si="89"/>
        <v>8</v>
      </c>
      <c r="C789" s="13" t="s">
        <v>22</v>
      </c>
      <c r="D789" s="2" t="s">
        <v>12</v>
      </c>
      <c r="E789" s="14" t="str">
        <f t="shared" si="88"/>
        <v>BT GT</v>
      </c>
      <c r="F789" s="22">
        <v>10</v>
      </c>
      <c r="H789" s="5" t="e">
        <f ca="1">_xlfn.FORMULATEXT(표1[[#This Row],[Q''ty]])</f>
        <v>#N/A</v>
      </c>
    </row>
    <row r="790" spans="1:10" ht="15" hidden="1" customHeight="1" x14ac:dyDescent="0.4">
      <c r="A790" s="6">
        <v>2026</v>
      </c>
      <c r="B790" s="6">
        <f t="shared" si="89"/>
        <v>8</v>
      </c>
      <c r="C790" s="13" t="s">
        <v>22</v>
      </c>
      <c r="D790" s="2" t="s">
        <v>12</v>
      </c>
      <c r="E790" s="14" t="str">
        <f t="shared" si="88"/>
        <v>WT GT</v>
      </c>
      <c r="F790" s="22">
        <v>10</v>
      </c>
      <c r="H790" s="5" t="e">
        <f ca="1">_xlfn.FORMULATEXT(표1[[#This Row],[Q''ty]])</f>
        <v>#N/A</v>
      </c>
    </row>
    <row r="791" spans="1:10" ht="15" hidden="1" customHeight="1" x14ac:dyDescent="0.4">
      <c r="A791" s="6">
        <v>2026</v>
      </c>
      <c r="B791" s="6">
        <f t="shared" si="89"/>
        <v>8</v>
      </c>
      <c r="C791" s="13" t="s">
        <v>22</v>
      </c>
      <c r="D791" s="2" t="s">
        <v>12</v>
      </c>
      <c r="E791" s="14" t="str">
        <f t="shared" si="88"/>
        <v>Bending</v>
      </c>
      <c r="F791" s="22">
        <v>84</v>
      </c>
      <c r="H791" s="5" t="e">
        <f ca="1">_xlfn.FORMULATEXT(표1[[#This Row],[Q''ty]])</f>
        <v>#N/A</v>
      </c>
    </row>
    <row r="792" spans="1:10" ht="15" hidden="1" customHeight="1" x14ac:dyDescent="0.4">
      <c r="A792" s="6">
        <v>2026</v>
      </c>
      <c r="B792" s="6">
        <f t="shared" si="89"/>
        <v>8</v>
      </c>
      <c r="C792" s="13" t="s">
        <v>22</v>
      </c>
      <c r="D792" s="2" t="s">
        <v>12</v>
      </c>
      <c r="E792" s="14" t="str">
        <f t="shared" si="88"/>
        <v>L/W</v>
      </c>
      <c r="F792" s="22">
        <v>84</v>
      </c>
      <c r="H792" s="5" t="e">
        <f ca="1">_xlfn.FORMULATEXT(표1[[#This Row],[Q''ty]])</f>
        <v>#N/A</v>
      </c>
    </row>
    <row r="793" spans="1:10" ht="15" hidden="1" customHeight="1" thickBot="1" x14ac:dyDescent="0.45">
      <c r="A793" s="6">
        <v>2026</v>
      </c>
      <c r="B793" s="6">
        <f t="shared" si="89"/>
        <v>8</v>
      </c>
      <c r="C793" s="13" t="s">
        <v>22</v>
      </c>
      <c r="D793" s="2" t="s">
        <v>12</v>
      </c>
      <c r="E793" s="14" t="str">
        <f t="shared" si="88"/>
        <v>C/W</v>
      </c>
      <c r="F793" s="22">
        <v>95</v>
      </c>
      <c r="H793" s="5" t="e">
        <f ca="1">_xlfn.FORMULATEXT(표1[[#This Row],[Q''ty]])</f>
        <v>#N/A</v>
      </c>
    </row>
    <row r="794" spans="1:10" ht="15" hidden="1" customHeight="1" thickTop="1" x14ac:dyDescent="0.4">
      <c r="A794" s="9">
        <v>2026</v>
      </c>
      <c r="B794" s="9">
        <f>B695+1</f>
        <v>9</v>
      </c>
      <c r="C794" s="10" t="s">
        <v>28</v>
      </c>
      <c r="D794" s="11" t="s">
        <v>6</v>
      </c>
      <c r="E794" s="12" t="s">
        <v>7</v>
      </c>
      <c r="F794" s="21">
        <f t="shared" ref="F794:F799" si="93">F695</f>
        <v>15</v>
      </c>
      <c r="H794" s="5" t="str">
        <f ca="1">_xlfn.FORMULATEXT(표1[[#This Row],[Q''ty]])</f>
        <v>=F695</v>
      </c>
    </row>
    <row r="795" spans="1:10" s="2" customFormat="1" ht="15" hidden="1" customHeight="1" x14ac:dyDescent="0.4">
      <c r="A795" s="6">
        <v>2026</v>
      </c>
      <c r="B795" s="6">
        <f t="shared" ref="B795:B858" si="94">B696+1</f>
        <v>9</v>
      </c>
      <c r="C795" s="13" t="s">
        <v>23</v>
      </c>
      <c r="D795" s="2" t="s">
        <v>6</v>
      </c>
      <c r="E795" s="14" t="s">
        <v>8</v>
      </c>
      <c r="F795" s="22">
        <f t="shared" si="93"/>
        <v>10</v>
      </c>
      <c r="H795" s="5" t="str">
        <f ca="1">_xlfn.FORMULATEXT(표1[[#This Row],[Q''ty]])</f>
        <v>=F696</v>
      </c>
      <c r="I795" s="26"/>
      <c r="J795" s="26"/>
    </row>
    <row r="796" spans="1:10" s="2" customFormat="1" ht="15" hidden="1" customHeight="1" x14ac:dyDescent="0.4">
      <c r="A796" s="6">
        <v>2026</v>
      </c>
      <c r="B796" s="6">
        <f t="shared" si="94"/>
        <v>9</v>
      </c>
      <c r="C796" s="13" t="s">
        <v>23</v>
      </c>
      <c r="D796" s="2" t="s">
        <v>6</v>
      </c>
      <c r="E796" s="14" t="s">
        <v>9</v>
      </c>
      <c r="F796" s="22">
        <f t="shared" si="93"/>
        <v>5</v>
      </c>
      <c r="H796" s="5" t="str">
        <f ca="1">_xlfn.FORMULATEXT(표1[[#This Row],[Q''ty]])</f>
        <v>=F697</v>
      </c>
      <c r="I796" s="26"/>
      <c r="J796" s="26"/>
    </row>
    <row r="797" spans="1:10" ht="15" hidden="1" customHeight="1" x14ac:dyDescent="0.4">
      <c r="A797" s="6">
        <v>2026</v>
      </c>
      <c r="B797" s="6">
        <f t="shared" si="94"/>
        <v>9</v>
      </c>
      <c r="C797" s="13" t="s">
        <v>23</v>
      </c>
      <c r="D797" s="2" t="s">
        <v>6</v>
      </c>
      <c r="E797" s="14" t="s">
        <v>27</v>
      </c>
      <c r="F797" s="22">
        <f t="shared" si="93"/>
        <v>6</v>
      </c>
      <c r="H797" s="5" t="str">
        <f ca="1">_xlfn.FORMULATEXT(표1[[#This Row],[Q''ty]])</f>
        <v>=F698</v>
      </c>
    </row>
    <row r="798" spans="1:10" ht="15" hidden="1" customHeight="1" x14ac:dyDescent="0.4">
      <c r="A798" s="6">
        <v>2026</v>
      </c>
      <c r="B798" s="6">
        <f t="shared" si="94"/>
        <v>9</v>
      </c>
      <c r="C798" s="13" t="s">
        <v>23</v>
      </c>
      <c r="D798" s="2" t="s">
        <v>6</v>
      </c>
      <c r="E798" s="14" t="s">
        <v>10</v>
      </c>
      <c r="F798" s="22">
        <f t="shared" si="93"/>
        <v>10</v>
      </c>
      <c r="H798" s="5" t="str">
        <f ca="1">_xlfn.FORMULATEXT(표1[[#This Row],[Q''ty]])</f>
        <v>=F699</v>
      </c>
    </row>
    <row r="799" spans="1:10" ht="15" hidden="1" customHeight="1" x14ac:dyDescent="0.4">
      <c r="A799" s="6">
        <v>2026</v>
      </c>
      <c r="B799" s="6">
        <f t="shared" si="94"/>
        <v>9</v>
      </c>
      <c r="C799" s="13" t="s">
        <v>23</v>
      </c>
      <c r="D799" s="2" t="s">
        <v>6</v>
      </c>
      <c r="E799" s="14" t="s">
        <v>11</v>
      </c>
      <c r="F799" s="22">
        <f t="shared" si="93"/>
        <v>10</v>
      </c>
      <c r="H799" s="5" t="str">
        <f ca="1">_xlfn.FORMULATEXT(표1[[#This Row],[Q''ty]])</f>
        <v>=F700</v>
      </c>
    </row>
    <row r="800" spans="1:10" ht="15" hidden="1" customHeight="1" x14ac:dyDescent="0.4">
      <c r="A800" s="6">
        <v>2026</v>
      </c>
      <c r="B800" s="6">
        <f t="shared" si="94"/>
        <v>9</v>
      </c>
      <c r="C800" s="13" t="s">
        <v>23</v>
      </c>
      <c r="D800" s="2" t="s">
        <v>12</v>
      </c>
      <c r="E800" s="14" t="s">
        <v>13</v>
      </c>
      <c r="F800" s="22">
        <v>4</v>
      </c>
      <c r="H800" s="5" t="e">
        <f ca="1">_xlfn.FORMULATEXT(표1[[#This Row],[Q''ty]])</f>
        <v>#N/A</v>
      </c>
    </row>
    <row r="801" spans="1:10" s="2" customFormat="1" ht="15" hidden="1" customHeight="1" x14ac:dyDescent="0.4">
      <c r="A801" s="6">
        <v>2026</v>
      </c>
      <c r="B801" s="6">
        <f t="shared" si="94"/>
        <v>9</v>
      </c>
      <c r="C801" s="13" t="s">
        <v>23</v>
      </c>
      <c r="D801" s="2" t="s">
        <v>12</v>
      </c>
      <c r="E801" s="14" t="s">
        <v>14</v>
      </c>
      <c r="F801" s="22">
        <v>7</v>
      </c>
      <c r="H801" s="5" t="e">
        <f ca="1">_xlfn.FORMULATEXT(표1[[#This Row],[Q''ty]])</f>
        <v>#N/A</v>
      </c>
      <c r="I801" s="26"/>
      <c r="J801" s="26"/>
    </row>
    <row r="802" spans="1:10" ht="15" hidden="1" customHeight="1" x14ac:dyDescent="0.4">
      <c r="A802" s="6">
        <v>2026</v>
      </c>
      <c r="B802" s="6">
        <f t="shared" si="94"/>
        <v>9</v>
      </c>
      <c r="C802" s="13" t="s">
        <v>23</v>
      </c>
      <c r="D802" s="2" t="s">
        <v>12</v>
      </c>
      <c r="E802" s="14" t="s">
        <v>15</v>
      </c>
      <c r="F802" s="22">
        <v>100</v>
      </c>
      <c r="H802" s="5" t="e">
        <f ca="1">_xlfn.FORMULATEXT(표1[[#This Row],[Q''ty]])</f>
        <v>#N/A</v>
      </c>
    </row>
    <row r="803" spans="1:10" ht="15" hidden="1" customHeight="1" x14ac:dyDescent="0.4">
      <c r="A803" s="6">
        <v>2026</v>
      </c>
      <c r="B803" s="6">
        <f t="shared" si="94"/>
        <v>9</v>
      </c>
      <c r="C803" s="13" t="s">
        <v>23</v>
      </c>
      <c r="D803" s="2" t="s">
        <v>12</v>
      </c>
      <c r="E803" s="14" t="s">
        <v>16</v>
      </c>
      <c r="F803" s="22">
        <v>97</v>
      </c>
      <c r="H803" s="5" t="e">
        <f ca="1">_xlfn.FORMULATEXT(표1[[#This Row],[Q''ty]])</f>
        <v>#N/A</v>
      </c>
    </row>
    <row r="804" spans="1:10" ht="15" hidden="1" customHeight="1" thickBot="1" x14ac:dyDescent="0.45">
      <c r="A804" s="15">
        <v>2026</v>
      </c>
      <c r="B804" s="15">
        <f t="shared" si="94"/>
        <v>9</v>
      </c>
      <c r="C804" s="16" t="s">
        <v>23</v>
      </c>
      <c r="D804" s="17" t="s">
        <v>12</v>
      </c>
      <c r="E804" s="18" t="s">
        <v>17</v>
      </c>
      <c r="F804" s="23">
        <v>79</v>
      </c>
      <c r="H804" s="5" t="e">
        <f ca="1">_xlfn.FORMULATEXT(표1[[#This Row],[Q''ty]])</f>
        <v>#N/A</v>
      </c>
    </row>
    <row r="805" spans="1:10" ht="15" hidden="1" customHeight="1" thickTop="1" x14ac:dyDescent="0.4">
      <c r="A805" s="9">
        <v>2026</v>
      </c>
      <c r="B805" s="9">
        <f t="shared" si="94"/>
        <v>9</v>
      </c>
      <c r="C805" s="10" t="s">
        <v>29</v>
      </c>
      <c r="D805" s="11" t="s">
        <v>6</v>
      </c>
      <c r="E805" s="12" t="s">
        <v>7</v>
      </c>
      <c r="F805" s="21">
        <f t="shared" ref="F805:F810" si="95">F706</f>
        <v>14</v>
      </c>
      <c r="H805" s="5" t="str">
        <f ca="1">_xlfn.FORMULATEXT(표1[[#This Row],[Q''ty]])</f>
        <v>=F706</v>
      </c>
    </row>
    <row r="806" spans="1:10" s="2" customFormat="1" ht="15" hidden="1" customHeight="1" x14ac:dyDescent="0.4">
      <c r="A806" s="6">
        <v>2026</v>
      </c>
      <c r="B806" s="6">
        <f t="shared" si="94"/>
        <v>9</v>
      </c>
      <c r="C806" s="13" t="s">
        <v>24</v>
      </c>
      <c r="D806" s="2" t="s">
        <v>6</v>
      </c>
      <c r="E806" s="14" t="s">
        <v>8</v>
      </c>
      <c r="F806" s="22">
        <f t="shared" si="95"/>
        <v>8</v>
      </c>
      <c r="H806" s="5" t="str">
        <f ca="1">_xlfn.FORMULATEXT(표1[[#This Row],[Q''ty]])</f>
        <v>=F707</v>
      </c>
      <c r="I806" s="26"/>
      <c r="J806" s="26"/>
    </row>
    <row r="807" spans="1:10" s="2" customFormat="1" ht="15" hidden="1" customHeight="1" x14ac:dyDescent="0.4">
      <c r="A807" s="6">
        <v>2026</v>
      </c>
      <c r="B807" s="6">
        <f t="shared" si="94"/>
        <v>9</v>
      </c>
      <c r="C807" s="13" t="s">
        <v>24</v>
      </c>
      <c r="D807" s="2" t="s">
        <v>6</v>
      </c>
      <c r="E807" s="14" t="s">
        <v>9</v>
      </c>
      <c r="F807" s="22">
        <f t="shared" si="95"/>
        <v>4</v>
      </c>
      <c r="H807" s="5" t="str">
        <f ca="1">_xlfn.FORMULATEXT(표1[[#This Row],[Q''ty]])</f>
        <v>=F708</v>
      </c>
      <c r="I807" s="26"/>
      <c r="J807" s="26"/>
    </row>
    <row r="808" spans="1:10" ht="15" hidden="1" customHeight="1" x14ac:dyDescent="0.4">
      <c r="A808" s="6">
        <v>2026</v>
      </c>
      <c r="B808" s="6">
        <f t="shared" si="94"/>
        <v>9</v>
      </c>
      <c r="C808" s="13" t="s">
        <v>24</v>
      </c>
      <c r="D808" s="2" t="s">
        <v>6</v>
      </c>
      <c r="E808" s="14" t="s">
        <v>27</v>
      </c>
      <c r="F808" s="22">
        <f t="shared" si="95"/>
        <v>3</v>
      </c>
      <c r="H808" s="5" t="str">
        <f ca="1">_xlfn.FORMULATEXT(표1[[#This Row],[Q''ty]])</f>
        <v>=F709</v>
      </c>
    </row>
    <row r="809" spans="1:10" ht="15" hidden="1" customHeight="1" x14ac:dyDescent="0.4">
      <c r="A809" s="6">
        <v>2026</v>
      </c>
      <c r="B809" s="6">
        <f t="shared" si="94"/>
        <v>9</v>
      </c>
      <c r="C809" s="13" t="s">
        <v>24</v>
      </c>
      <c r="D809" s="2" t="s">
        <v>6</v>
      </c>
      <c r="E809" s="14" t="s">
        <v>10</v>
      </c>
      <c r="F809" s="22">
        <f t="shared" si="95"/>
        <v>6</v>
      </c>
      <c r="H809" s="5" t="str">
        <f ca="1">_xlfn.FORMULATEXT(표1[[#This Row],[Q''ty]])</f>
        <v>=F710</v>
      </c>
    </row>
    <row r="810" spans="1:10" ht="15" hidden="1" customHeight="1" x14ac:dyDescent="0.4">
      <c r="A810" s="6">
        <v>2026</v>
      </c>
      <c r="B810" s="6">
        <f t="shared" si="94"/>
        <v>9</v>
      </c>
      <c r="C810" s="13" t="s">
        <v>24</v>
      </c>
      <c r="D810" s="2" t="s">
        <v>6</v>
      </c>
      <c r="E810" s="14" t="s">
        <v>11</v>
      </c>
      <c r="F810" s="22">
        <f t="shared" si="95"/>
        <v>8.8000000000000007</v>
      </c>
      <c r="H810" s="5" t="str">
        <f ca="1">_xlfn.FORMULATEXT(표1[[#This Row],[Q''ty]])</f>
        <v>=F711</v>
      </c>
    </row>
    <row r="811" spans="1:10" ht="15" hidden="1" customHeight="1" x14ac:dyDescent="0.4">
      <c r="A811" s="6">
        <v>2026</v>
      </c>
      <c r="B811" s="6">
        <f t="shared" si="94"/>
        <v>9</v>
      </c>
      <c r="C811" s="13" t="s">
        <v>24</v>
      </c>
      <c r="D811" s="2" t="s">
        <v>12</v>
      </c>
      <c r="E811" s="14" t="s">
        <v>13</v>
      </c>
      <c r="F811" s="22">
        <v>5</v>
      </c>
      <c r="H811" s="5" t="e">
        <f ca="1">_xlfn.FORMULATEXT(표1[[#This Row],[Q''ty]])</f>
        <v>#N/A</v>
      </c>
    </row>
    <row r="812" spans="1:10" s="2" customFormat="1" ht="15" hidden="1" customHeight="1" x14ac:dyDescent="0.4">
      <c r="A812" s="6">
        <v>2026</v>
      </c>
      <c r="B812" s="6">
        <f t="shared" si="94"/>
        <v>9</v>
      </c>
      <c r="C812" s="13" t="s">
        <v>24</v>
      </c>
      <c r="D812" s="2" t="s">
        <v>12</v>
      </c>
      <c r="E812" s="14" t="s">
        <v>14</v>
      </c>
      <c r="F812" s="22">
        <v>6</v>
      </c>
      <c r="H812" s="5" t="e">
        <f ca="1">_xlfn.FORMULATEXT(표1[[#This Row],[Q''ty]])</f>
        <v>#N/A</v>
      </c>
      <c r="I812" s="26"/>
      <c r="J812" s="26"/>
    </row>
    <row r="813" spans="1:10" ht="15" hidden="1" customHeight="1" x14ac:dyDescent="0.4">
      <c r="A813" s="6">
        <v>2026</v>
      </c>
      <c r="B813" s="6">
        <f t="shared" si="94"/>
        <v>9</v>
      </c>
      <c r="C813" s="13" t="s">
        <v>24</v>
      </c>
      <c r="D813" s="2" t="s">
        <v>12</v>
      </c>
      <c r="E813" s="14" t="s">
        <v>15</v>
      </c>
      <c r="F813" s="22">
        <v>41</v>
      </c>
      <c r="H813" s="5" t="e">
        <f ca="1">_xlfn.FORMULATEXT(표1[[#This Row],[Q''ty]])</f>
        <v>#N/A</v>
      </c>
    </row>
    <row r="814" spans="1:10" ht="15" hidden="1" customHeight="1" x14ac:dyDescent="0.4">
      <c r="A814" s="6">
        <v>2026</v>
      </c>
      <c r="B814" s="6">
        <f t="shared" si="94"/>
        <v>9</v>
      </c>
      <c r="C814" s="13" t="s">
        <v>24</v>
      </c>
      <c r="D814" s="2" t="s">
        <v>12</v>
      </c>
      <c r="E814" s="14" t="s">
        <v>16</v>
      </c>
      <c r="F814" s="22">
        <v>42</v>
      </c>
      <c r="H814" s="5" t="e">
        <f ca="1">_xlfn.FORMULATEXT(표1[[#This Row],[Q''ty]])</f>
        <v>#N/A</v>
      </c>
    </row>
    <row r="815" spans="1:10" ht="15" hidden="1" customHeight="1" thickBot="1" x14ac:dyDescent="0.45">
      <c r="A815" s="15">
        <v>2026</v>
      </c>
      <c r="B815" s="15">
        <f t="shared" si="94"/>
        <v>9</v>
      </c>
      <c r="C815" s="16" t="s">
        <v>24</v>
      </c>
      <c r="D815" s="17" t="s">
        <v>12</v>
      </c>
      <c r="E815" s="18" t="s">
        <v>17</v>
      </c>
      <c r="F815" s="23">
        <v>52</v>
      </c>
      <c r="H815" s="5" t="e">
        <f ca="1">_xlfn.FORMULATEXT(표1[[#This Row],[Q''ty]])</f>
        <v>#N/A</v>
      </c>
    </row>
    <row r="816" spans="1:10" ht="15" hidden="1" customHeight="1" thickTop="1" x14ac:dyDescent="0.4">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hidden="1" customHeight="1" x14ac:dyDescent="0.4">
      <c r="A817" s="6">
        <v>2026</v>
      </c>
      <c r="B817" s="6">
        <f t="shared" si="94"/>
        <v>9</v>
      </c>
      <c r="C817" s="13" t="s">
        <v>18</v>
      </c>
      <c r="D817" s="2" t="s">
        <v>6</v>
      </c>
      <c r="E817" s="14" t="str">
        <f t="shared" si="96"/>
        <v>Paint Booth</v>
      </c>
      <c r="F817" s="22">
        <f t="shared" si="96"/>
        <v>3</v>
      </c>
      <c r="H817" s="5" t="str">
        <f ca="1">_xlfn.FORMULATEXT(표1[[#This Row],[Q''ty]])</f>
        <v>=F718</v>
      </c>
    </row>
    <row r="818" spans="1:8" ht="15" hidden="1" customHeight="1" x14ac:dyDescent="0.4">
      <c r="A818" s="6">
        <v>2026</v>
      </c>
      <c r="B818" s="6">
        <f t="shared" si="94"/>
        <v>9</v>
      </c>
      <c r="C818" s="13" t="s">
        <v>18</v>
      </c>
      <c r="D818" s="2" t="s">
        <v>6</v>
      </c>
      <c r="E818" s="14" t="str">
        <f t="shared" si="96"/>
        <v>Paint Line</v>
      </c>
      <c r="F818" s="22">
        <f t="shared" si="96"/>
        <v>2</v>
      </c>
      <c r="H818" s="5" t="str">
        <f ca="1">_xlfn.FORMULATEXT(표1[[#This Row],[Q''ty]])</f>
        <v>=F719</v>
      </c>
    </row>
    <row r="819" spans="1:8" ht="15" hidden="1" customHeight="1" x14ac:dyDescent="0.4">
      <c r="A819" s="6">
        <v>2026</v>
      </c>
      <c r="B819" s="6">
        <f t="shared" si="94"/>
        <v>9</v>
      </c>
      <c r="C819" s="13" t="s">
        <v>18</v>
      </c>
      <c r="D819" s="2" t="s">
        <v>6</v>
      </c>
      <c r="E819" s="14" t="str">
        <f t="shared" si="96"/>
        <v>Roll Bending Machine</v>
      </c>
      <c r="F819" s="22">
        <f t="shared" si="96"/>
        <v>2</v>
      </c>
      <c r="H819" s="5" t="str">
        <f ca="1">_xlfn.FORMULATEXT(표1[[#This Row],[Q''ty]])</f>
        <v>=F720</v>
      </c>
    </row>
    <row r="820" spans="1:8" ht="15" hidden="1" customHeight="1" x14ac:dyDescent="0.4">
      <c r="A820" s="6">
        <v>2026</v>
      </c>
      <c r="B820" s="6">
        <f t="shared" si="94"/>
        <v>9</v>
      </c>
      <c r="C820" s="13" t="s">
        <v>18</v>
      </c>
      <c r="D820" s="2" t="s">
        <v>6</v>
      </c>
      <c r="E820" s="14" t="str">
        <f t="shared" si="96"/>
        <v>L/W Machine</v>
      </c>
      <c r="F820" s="22">
        <f t="shared" si="96"/>
        <v>2</v>
      </c>
      <c r="H820" s="5" t="str">
        <f ca="1">_xlfn.FORMULATEXT(표1[[#This Row],[Q''ty]])</f>
        <v>=F721</v>
      </c>
    </row>
    <row r="821" spans="1:8" ht="15" hidden="1" customHeight="1" x14ac:dyDescent="0.4">
      <c r="A821" s="6">
        <v>2026</v>
      </c>
      <c r="B821" s="6">
        <f t="shared" si="94"/>
        <v>9</v>
      </c>
      <c r="C821" s="13" t="s">
        <v>18</v>
      </c>
      <c r="D821" s="2" t="s">
        <v>6</v>
      </c>
      <c r="E821" s="14" t="str">
        <f t="shared" si="96"/>
        <v>C/W Machine</v>
      </c>
      <c r="F821" s="22">
        <f t="shared" si="96"/>
        <v>3</v>
      </c>
      <c r="H821" s="5" t="str">
        <f ca="1">_xlfn.FORMULATEXT(표1[[#This Row],[Q''ty]])</f>
        <v>=F722</v>
      </c>
    </row>
    <row r="822" spans="1:8" ht="15" hidden="1" customHeight="1" x14ac:dyDescent="0.4">
      <c r="A822" s="6">
        <v>2026</v>
      </c>
      <c r="B822" s="6">
        <f t="shared" si="94"/>
        <v>9</v>
      </c>
      <c r="C822" s="13" t="s">
        <v>18</v>
      </c>
      <c r="D822" s="2" t="s">
        <v>12</v>
      </c>
      <c r="E822" s="14" t="str">
        <f t="shared" ref="E822:E837" si="97">E723</f>
        <v>BT GT</v>
      </c>
      <c r="F822" s="22">
        <v>0</v>
      </c>
      <c r="H822" s="5" t="e">
        <f ca="1">_xlfn.FORMULATEXT(표1[[#This Row],[Q''ty]])</f>
        <v>#N/A</v>
      </c>
    </row>
    <row r="823" spans="1:8" ht="15" hidden="1" customHeight="1" x14ac:dyDescent="0.4">
      <c r="A823" s="6">
        <v>2026</v>
      </c>
      <c r="B823" s="6">
        <f t="shared" si="94"/>
        <v>9</v>
      </c>
      <c r="C823" s="13" t="s">
        <v>18</v>
      </c>
      <c r="D823" s="2" t="s">
        <v>12</v>
      </c>
      <c r="E823" s="14" t="str">
        <f t="shared" si="97"/>
        <v>WT GT</v>
      </c>
      <c r="F823" s="22">
        <v>0</v>
      </c>
      <c r="H823" s="5" t="e">
        <f ca="1">_xlfn.FORMULATEXT(표1[[#This Row],[Q''ty]])</f>
        <v>#N/A</v>
      </c>
    </row>
    <row r="824" spans="1:8" ht="15" hidden="1" customHeight="1" x14ac:dyDescent="0.4">
      <c r="A824" s="6">
        <v>2026</v>
      </c>
      <c r="B824" s="6">
        <f t="shared" si="94"/>
        <v>9</v>
      </c>
      <c r="C824" s="13" t="s">
        <v>18</v>
      </c>
      <c r="D824" s="2" t="s">
        <v>12</v>
      </c>
      <c r="E824" s="14" t="str">
        <f t="shared" si="97"/>
        <v>Bending</v>
      </c>
      <c r="F824" s="22">
        <v>17</v>
      </c>
      <c r="H824" s="5" t="e">
        <f ca="1">_xlfn.FORMULATEXT(표1[[#This Row],[Q''ty]])</f>
        <v>#N/A</v>
      </c>
    </row>
    <row r="825" spans="1:8" ht="15" hidden="1" customHeight="1" x14ac:dyDescent="0.4">
      <c r="A825" s="6">
        <v>2026</v>
      </c>
      <c r="B825" s="6">
        <f t="shared" si="94"/>
        <v>9</v>
      </c>
      <c r="C825" s="13" t="s">
        <v>18</v>
      </c>
      <c r="D825" s="2" t="s">
        <v>12</v>
      </c>
      <c r="E825" s="14" t="str">
        <f t="shared" si="97"/>
        <v>L/W</v>
      </c>
      <c r="F825" s="22">
        <v>18</v>
      </c>
      <c r="H825" s="5" t="e">
        <f ca="1">_xlfn.FORMULATEXT(표1[[#This Row],[Q''ty]])</f>
        <v>#N/A</v>
      </c>
    </row>
    <row r="826" spans="1:8" ht="15" hidden="1" customHeight="1" thickBot="1" x14ac:dyDescent="0.45">
      <c r="A826" s="15">
        <v>2026</v>
      </c>
      <c r="B826" s="15">
        <f t="shared" si="94"/>
        <v>9</v>
      </c>
      <c r="C826" s="16" t="s">
        <v>18</v>
      </c>
      <c r="D826" s="17" t="s">
        <v>12</v>
      </c>
      <c r="E826" s="18" t="str">
        <f t="shared" si="97"/>
        <v>C/W</v>
      </c>
      <c r="F826" s="23">
        <v>7</v>
      </c>
      <c r="H826" s="5" t="e">
        <f ca="1">_xlfn.FORMULATEXT(표1[[#This Row],[Q''ty]])</f>
        <v>#N/A</v>
      </c>
    </row>
    <row r="827" spans="1:8" ht="15" hidden="1" customHeight="1" thickTop="1" x14ac:dyDescent="0.4">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hidden="1" customHeight="1" x14ac:dyDescent="0.4">
      <c r="A828" s="6">
        <v>2026</v>
      </c>
      <c r="B828" s="6">
        <f t="shared" si="94"/>
        <v>9</v>
      </c>
      <c r="C828" s="13" t="s">
        <v>19</v>
      </c>
      <c r="D828" s="2" t="s">
        <v>6</v>
      </c>
      <c r="E828" s="14" t="str">
        <f t="shared" si="97"/>
        <v>Paint Booth</v>
      </c>
      <c r="F828" s="22">
        <f t="shared" si="98"/>
        <v>22</v>
      </c>
      <c r="H828" s="5" t="str">
        <f ca="1">_xlfn.FORMULATEXT(표1[[#This Row],[Q''ty]])</f>
        <v>=F729</v>
      </c>
    </row>
    <row r="829" spans="1:8" ht="15" hidden="1" customHeight="1" x14ac:dyDescent="0.4">
      <c r="A829" s="6">
        <v>2026</v>
      </c>
      <c r="B829" s="6">
        <f t="shared" si="94"/>
        <v>9</v>
      </c>
      <c r="C829" s="13" t="s">
        <v>19</v>
      </c>
      <c r="D829" s="2" t="s">
        <v>6</v>
      </c>
      <c r="E829" s="14" t="str">
        <f t="shared" si="97"/>
        <v>Paint Line</v>
      </c>
      <c r="F829" s="22">
        <f t="shared" si="98"/>
        <v>6</v>
      </c>
      <c r="H829" s="5" t="str">
        <f ca="1">_xlfn.FORMULATEXT(표1[[#This Row],[Q''ty]])</f>
        <v>=F730</v>
      </c>
    </row>
    <row r="830" spans="1:8" ht="15" hidden="1" customHeight="1" x14ac:dyDescent="0.4">
      <c r="A830" s="6">
        <v>2026</v>
      </c>
      <c r="B830" s="6">
        <f t="shared" si="94"/>
        <v>9</v>
      </c>
      <c r="C830" s="13" t="s">
        <v>19</v>
      </c>
      <c r="D830" s="2" t="s">
        <v>6</v>
      </c>
      <c r="E830" s="14" t="str">
        <f t="shared" si="97"/>
        <v>Roll Bending Machine</v>
      </c>
      <c r="F830" s="22">
        <f t="shared" si="98"/>
        <v>4</v>
      </c>
      <c r="H830" s="5" t="str">
        <f ca="1">_xlfn.FORMULATEXT(표1[[#This Row],[Q''ty]])</f>
        <v>=F731</v>
      </c>
    </row>
    <row r="831" spans="1:8" ht="15" hidden="1" customHeight="1" x14ac:dyDescent="0.4">
      <c r="A831" s="6">
        <v>2026</v>
      </c>
      <c r="B831" s="6">
        <f t="shared" si="94"/>
        <v>9</v>
      </c>
      <c r="C831" s="13" t="s">
        <v>19</v>
      </c>
      <c r="D831" s="2" t="s">
        <v>6</v>
      </c>
      <c r="E831" s="14" t="str">
        <f t="shared" si="97"/>
        <v>L/W Machine</v>
      </c>
      <c r="F831" s="22">
        <f t="shared" si="98"/>
        <v>10</v>
      </c>
      <c r="H831" s="5" t="str">
        <f ca="1">_xlfn.FORMULATEXT(표1[[#This Row],[Q''ty]])</f>
        <v>=F732</v>
      </c>
    </row>
    <row r="832" spans="1:8" ht="15" hidden="1" customHeight="1" x14ac:dyDescent="0.4">
      <c r="A832" s="6">
        <v>2026</v>
      </c>
      <c r="B832" s="6">
        <f t="shared" si="94"/>
        <v>9</v>
      </c>
      <c r="C832" s="13" t="s">
        <v>19</v>
      </c>
      <c r="D832" s="2" t="s">
        <v>6</v>
      </c>
      <c r="E832" s="14" t="str">
        <f t="shared" si="97"/>
        <v>C/W Machine</v>
      </c>
      <c r="F832" s="22">
        <f t="shared" si="98"/>
        <v>12</v>
      </c>
      <c r="H832" s="5" t="str">
        <f ca="1">_xlfn.FORMULATEXT(표1[[#This Row],[Q''ty]])</f>
        <v>=F733</v>
      </c>
    </row>
    <row r="833" spans="1:8" ht="15" hidden="1" customHeight="1" x14ac:dyDescent="0.4">
      <c r="A833" s="6">
        <v>2026</v>
      </c>
      <c r="B833" s="6">
        <f t="shared" si="94"/>
        <v>9</v>
      </c>
      <c r="C833" s="13" t="s">
        <v>19</v>
      </c>
      <c r="D833" s="2" t="s">
        <v>12</v>
      </c>
      <c r="E833" s="14" t="str">
        <f t="shared" si="97"/>
        <v>BT GT</v>
      </c>
      <c r="F833" s="22">
        <v>27</v>
      </c>
      <c r="H833" s="5" t="e">
        <f ca="1">_xlfn.FORMULATEXT(표1[[#This Row],[Q''ty]])</f>
        <v>#N/A</v>
      </c>
    </row>
    <row r="834" spans="1:8" ht="15" hidden="1" customHeight="1" x14ac:dyDescent="0.4">
      <c r="A834" s="6">
        <v>2026</v>
      </c>
      <c r="B834" s="6">
        <f t="shared" si="94"/>
        <v>9</v>
      </c>
      <c r="C834" s="13" t="s">
        <v>19</v>
      </c>
      <c r="D834" s="2" t="s">
        <v>12</v>
      </c>
      <c r="E834" s="14" t="str">
        <f t="shared" si="97"/>
        <v>WT GT</v>
      </c>
      <c r="F834" s="22">
        <v>24</v>
      </c>
      <c r="H834" s="5" t="e">
        <f ca="1">_xlfn.FORMULATEXT(표1[[#This Row],[Q''ty]])</f>
        <v>#N/A</v>
      </c>
    </row>
    <row r="835" spans="1:8" ht="15" hidden="1" customHeight="1" x14ac:dyDescent="0.4">
      <c r="A835" s="6">
        <v>2026</v>
      </c>
      <c r="B835" s="6">
        <f t="shared" si="94"/>
        <v>9</v>
      </c>
      <c r="C835" s="13" t="s">
        <v>19</v>
      </c>
      <c r="D835" s="2" t="s">
        <v>12</v>
      </c>
      <c r="E835" s="14" t="str">
        <f t="shared" si="97"/>
        <v>Bending</v>
      </c>
      <c r="F835" s="22">
        <v>204</v>
      </c>
      <c r="H835" s="5" t="e">
        <f ca="1">_xlfn.FORMULATEXT(표1[[#This Row],[Q''ty]])</f>
        <v>#N/A</v>
      </c>
    </row>
    <row r="836" spans="1:8" ht="15" hidden="1" customHeight="1" x14ac:dyDescent="0.4">
      <c r="A836" s="6">
        <v>2026</v>
      </c>
      <c r="B836" s="6">
        <f t="shared" si="94"/>
        <v>9</v>
      </c>
      <c r="C836" s="13" t="s">
        <v>19</v>
      </c>
      <c r="D836" s="2" t="s">
        <v>12</v>
      </c>
      <c r="E836" s="14" t="str">
        <f t="shared" si="97"/>
        <v>L/W</v>
      </c>
      <c r="F836" s="22">
        <v>204</v>
      </c>
      <c r="H836" s="5" t="e">
        <f ca="1">_xlfn.FORMULATEXT(표1[[#This Row],[Q''ty]])</f>
        <v>#N/A</v>
      </c>
    </row>
    <row r="837" spans="1:8" ht="15" hidden="1" customHeight="1" thickBot="1" x14ac:dyDescent="0.45">
      <c r="A837" s="15">
        <v>2026</v>
      </c>
      <c r="B837" s="15">
        <f t="shared" si="94"/>
        <v>9</v>
      </c>
      <c r="C837" s="16" t="s">
        <v>19</v>
      </c>
      <c r="D837" s="17" t="s">
        <v>12</v>
      </c>
      <c r="E837" s="18" t="str">
        <f t="shared" si="97"/>
        <v>C/W</v>
      </c>
      <c r="F837" s="23">
        <v>239.55</v>
      </c>
      <c r="H837" s="5" t="e">
        <f ca="1">_xlfn.FORMULATEXT(표1[[#This Row],[Q''ty]])</f>
        <v>#N/A</v>
      </c>
    </row>
    <row r="838" spans="1:8" ht="15" hidden="1" customHeight="1" thickTop="1" x14ac:dyDescent="0.4">
      <c r="A838" s="6">
        <v>2026</v>
      </c>
      <c r="B838" s="6">
        <f t="shared" si="94"/>
        <v>9</v>
      </c>
      <c r="C838" s="13" t="s">
        <v>25</v>
      </c>
      <c r="D838" s="2" t="s">
        <v>6</v>
      </c>
      <c r="E838" s="14" t="s">
        <v>7</v>
      </c>
      <c r="F838" s="22">
        <f t="shared" ref="F838:F843" si="99">F739</f>
        <v>3</v>
      </c>
      <c r="H838" s="5" t="str">
        <f ca="1">_xlfn.FORMULATEXT(표1[[#This Row],[Q''ty]])</f>
        <v>=F739</v>
      </c>
    </row>
    <row r="839" spans="1:8" ht="15" hidden="1" customHeight="1" x14ac:dyDescent="0.4">
      <c r="A839" s="6">
        <v>2026</v>
      </c>
      <c r="B839" s="6">
        <f t="shared" si="94"/>
        <v>9</v>
      </c>
      <c r="C839" s="13" t="s">
        <v>25</v>
      </c>
      <c r="D839" s="2" t="s">
        <v>6</v>
      </c>
      <c r="E839" s="14" t="s">
        <v>8</v>
      </c>
      <c r="F839" s="22">
        <f t="shared" si="99"/>
        <v>3</v>
      </c>
      <c r="H839" s="5" t="str">
        <f ca="1">_xlfn.FORMULATEXT(표1[[#This Row],[Q''ty]])</f>
        <v>=F740</v>
      </c>
    </row>
    <row r="840" spans="1:8" ht="15" hidden="1" customHeight="1" x14ac:dyDescent="0.4">
      <c r="A840" s="6">
        <v>2026</v>
      </c>
      <c r="B840" s="6">
        <f t="shared" si="94"/>
        <v>9</v>
      </c>
      <c r="C840" s="13" t="s">
        <v>25</v>
      </c>
      <c r="D840" s="2" t="s">
        <v>6</v>
      </c>
      <c r="E840" s="14" t="s">
        <v>9</v>
      </c>
      <c r="F840" s="22">
        <f t="shared" si="99"/>
        <v>2</v>
      </c>
      <c r="H840" s="5" t="str">
        <f ca="1">_xlfn.FORMULATEXT(표1[[#This Row],[Q''ty]])</f>
        <v>=F741</v>
      </c>
    </row>
    <row r="841" spans="1:8" ht="15" hidden="1" customHeight="1" x14ac:dyDescent="0.4">
      <c r="A841" s="6">
        <v>2026</v>
      </c>
      <c r="B841" s="6">
        <f t="shared" si="94"/>
        <v>9</v>
      </c>
      <c r="C841" s="13" t="s">
        <v>25</v>
      </c>
      <c r="D841" s="2" t="s">
        <v>6</v>
      </c>
      <c r="E841" s="14" t="s">
        <v>27</v>
      </c>
      <c r="F841" s="22">
        <f t="shared" si="99"/>
        <v>2</v>
      </c>
      <c r="H841" s="5" t="str">
        <f ca="1">_xlfn.FORMULATEXT(표1[[#This Row],[Q''ty]])</f>
        <v>=F742</v>
      </c>
    </row>
    <row r="842" spans="1:8" ht="15" hidden="1" customHeight="1" x14ac:dyDescent="0.4">
      <c r="A842" s="6">
        <v>2026</v>
      </c>
      <c r="B842" s="6">
        <f t="shared" si="94"/>
        <v>9</v>
      </c>
      <c r="C842" s="13" t="s">
        <v>25</v>
      </c>
      <c r="D842" s="2" t="s">
        <v>6</v>
      </c>
      <c r="E842" s="14" t="s">
        <v>10</v>
      </c>
      <c r="F842" s="22">
        <f t="shared" si="99"/>
        <v>3</v>
      </c>
      <c r="H842" s="5" t="str">
        <f ca="1">_xlfn.FORMULATEXT(표1[[#This Row],[Q''ty]])</f>
        <v>=F743</v>
      </c>
    </row>
    <row r="843" spans="1:8" ht="15" hidden="1" customHeight="1" x14ac:dyDescent="0.4">
      <c r="A843" s="6">
        <v>2026</v>
      </c>
      <c r="B843" s="6">
        <f t="shared" si="94"/>
        <v>9</v>
      </c>
      <c r="C843" s="13" t="s">
        <v>25</v>
      </c>
      <c r="D843" s="2" t="s">
        <v>6</v>
      </c>
      <c r="E843" s="14" t="s">
        <v>11</v>
      </c>
      <c r="F843" s="22">
        <f t="shared" si="99"/>
        <v>4</v>
      </c>
      <c r="H843" s="5" t="str">
        <f ca="1">_xlfn.FORMULATEXT(표1[[#This Row],[Q''ty]])</f>
        <v>=F744</v>
      </c>
    </row>
    <row r="844" spans="1:8" ht="15" hidden="1" customHeight="1" x14ac:dyDescent="0.4">
      <c r="A844" s="6">
        <v>2026</v>
      </c>
      <c r="B844" s="6">
        <f t="shared" si="94"/>
        <v>9</v>
      </c>
      <c r="C844" s="13" t="s">
        <v>25</v>
      </c>
      <c r="D844" s="2" t="s">
        <v>12</v>
      </c>
      <c r="E844" s="14" t="s">
        <v>13</v>
      </c>
      <c r="F844" s="22">
        <v>0</v>
      </c>
      <c r="H844" s="5" t="e">
        <f ca="1">_xlfn.FORMULATEXT(표1[[#This Row],[Q''ty]])</f>
        <v>#N/A</v>
      </c>
    </row>
    <row r="845" spans="1:8" ht="15" hidden="1" customHeight="1" x14ac:dyDescent="0.4">
      <c r="A845" s="6">
        <v>2026</v>
      </c>
      <c r="B845" s="6">
        <f t="shared" si="94"/>
        <v>9</v>
      </c>
      <c r="C845" s="13" t="s">
        <v>25</v>
      </c>
      <c r="D845" s="2" t="s">
        <v>12</v>
      </c>
      <c r="E845" s="14" t="s">
        <v>14</v>
      </c>
      <c r="F845" s="22">
        <v>0</v>
      </c>
      <c r="H845" s="5" t="e">
        <f ca="1">_xlfn.FORMULATEXT(표1[[#This Row],[Q''ty]])</f>
        <v>#N/A</v>
      </c>
    </row>
    <row r="846" spans="1:8" ht="15" hidden="1" customHeight="1" x14ac:dyDescent="0.4">
      <c r="A846" s="6">
        <v>2026</v>
      </c>
      <c r="B846" s="6">
        <f t="shared" si="94"/>
        <v>9</v>
      </c>
      <c r="C846" s="13" t="s">
        <v>25</v>
      </c>
      <c r="D846" s="2" t="s">
        <v>12</v>
      </c>
      <c r="E846" s="14" t="s">
        <v>15</v>
      </c>
      <c r="F846" s="22">
        <v>0</v>
      </c>
      <c r="H846" s="5" t="e">
        <f ca="1">_xlfn.FORMULATEXT(표1[[#This Row],[Q''ty]])</f>
        <v>#N/A</v>
      </c>
    </row>
    <row r="847" spans="1:8" ht="15" hidden="1" customHeight="1" x14ac:dyDescent="0.4">
      <c r="A847" s="6">
        <v>2026</v>
      </c>
      <c r="B847" s="6">
        <f t="shared" si="94"/>
        <v>9</v>
      </c>
      <c r="C847" s="13" t="s">
        <v>25</v>
      </c>
      <c r="D847" s="2" t="s">
        <v>12</v>
      </c>
      <c r="E847" s="14" t="s">
        <v>16</v>
      </c>
      <c r="F847" s="22">
        <v>0</v>
      </c>
      <c r="H847" s="5" t="e">
        <f ca="1">_xlfn.FORMULATEXT(표1[[#This Row],[Q''ty]])</f>
        <v>#N/A</v>
      </c>
    </row>
    <row r="848" spans="1:8" ht="15" hidden="1" customHeight="1" thickBot="1" x14ac:dyDescent="0.45">
      <c r="A848" s="15">
        <v>2026</v>
      </c>
      <c r="B848" s="15">
        <f t="shared" si="94"/>
        <v>9</v>
      </c>
      <c r="C848" s="16" t="s">
        <v>25</v>
      </c>
      <c r="D848" s="17" t="s">
        <v>12</v>
      </c>
      <c r="E848" s="18" t="s">
        <v>17</v>
      </c>
      <c r="F848" s="23">
        <v>0</v>
      </c>
      <c r="H848" s="5" t="e">
        <f ca="1">_xlfn.FORMULATEXT(표1[[#This Row],[Q''ty]])</f>
        <v>#N/A</v>
      </c>
    </row>
    <row r="849" spans="1:8" ht="15" hidden="1" customHeight="1" thickTop="1" x14ac:dyDescent="0.4">
      <c r="A849" s="6">
        <v>2026</v>
      </c>
      <c r="B849" s="6">
        <f t="shared" si="94"/>
        <v>9</v>
      </c>
      <c r="C849" s="13" t="s">
        <v>26</v>
      </c>
      <c r="D849" s="2" t="s">
        <v>6</v>
      </c>
      <c r="E849" s="14" t="s">
        <v>7</v>
      </c>
      <c r="F849" s="22">
        <f t="shared" ref="F849:F854" si="100">F750</f>
        <v>6</v>
      </c>
      <c r="H849" s="5" t="str">
        <f ca="1">_xlfn.FORMULATEXT(표1[[#This Row],[Q''ty]])</f>
        <v>=F750</v>
      </c>
    </row>
    <row r="850" spans="1:8" ht="15" hidden="1" customHeight="1" x14ac:dyDescent="0.4">
      <c r="A850" s="6">
        <v>2026</v>
      </c>
      <c r="B850" s="6">
        <f t="shared" si="94"/>
        <v>9</v>
      </c>
      <c r="C850" s="13" t="s">
        <v>26</v>
      </c>
      <c r="D850" s="2" t="s">
        <v>6</v>
      </c>
      <c r="E850" s="14" t="s">
        <v>8</v>
      </c>
      <c r="F850" s="22">
        <f t="shared" si="100"/>
        <v>4</v>
      </c>
      <c r="H850" s="5" t="str">
        <f ca="1">_xlfn.FORMULATEXT(표1[[#This Row],[Q''ty]])</f>
        <v>=F751</v>
      </c>
    </row>
    <row r="851" spans="1:8" ht="15" hidden="1" customHeight="1" x14ac:dyDescent="0.4">
      <c r="A851" s="6">
        <v>2026</v>
      </c>
      <c r="B851" s="6">
        <f t="shared" si="94"/>
        <v>9</v>
      </c>
      <c r="C851" s="13" t="s">
        <v>26</v>
      </c>
      <c r="D851" s="2" t="s">
        <v>6</v>
      </c>
      <c r="E851" s="14" t="s">
        <v>9</v>
      </c>
      <c r="F851" s="22">
        <f t="shared" si="100"/>
        <v>2</v>
      </c>
      <c r="H851" s="5" t="str">
        <f ca="1">_xlfn.FORMULATEXT(표1[[#This Row],[Q''ty]])</f>
        <v>=F752</v>
      </c>
    </row>
    <row r="852" spans="1:8" ht="15" hidden="1" customHeight="1" x14ac:dyDescent="0.4">
      <c r="A852" s="6">
        <v>2026</v>
      </c>
      <c r="B852" s="6">
        <f t="shared" si="94"/>
        <v>9</v>
      </c>
      <c r="C852" s="13" t="s">
        <v>26</v>
      </c>
      <c r="D852" s="2" t="s">
        <v>6</v>
      </c>
      <c r="E852" s="14" t="s">
        <v>27</v>
      </c>
      <c r="F852" s="22">
        <f t="shared" si="100"/>
        <v>3</v>
      </c>
      <c r="H852" s="5" t="str">
        <f ca="1">_xlfn.FORMULATEXT(표1[[#This Row],[Q''ty]])</f>
        <v>=F753</v>
      </c>
    </row>
    <row r="853" spans="1:8" ht="15" hidden="1" customHeight="1" x14ac:dyDescent="0.4">
      <c r="A853" s="6">
        <v>2026</v>
      </c>
      <c r="B853" s="6">
        <f t="shared" si="94"/>
        <v>9</v>
      </c>
      <c r="C853" s="13" t="s">
        <v>26</v>
      </c>
      <c r="D853" s="2" t="s">
        <v>6</v>
      </c>
      <c r="E853" s="14" t="s">
        <v>10</v>
      </c>
      <c r="F853" s="22">
        <f t="shared" si="100"/>
        <v>4</v>
      </c>
      <c r="H853" s="5" t="str">
        <f ca="1">_xlfn.FORMULATEXT(표1[[#This Row],[Q''ty]])</f>
        <v>=F754</v>
      </c>
    </row>
    <row r="854" spans="1:8" ht="15" hidden="1" customHeight="1" x14ac:dyDescent="0.4">
      <c r="A854" s="6">
        <v>2026</v>
      </c>
      <c r="B854" s="6">
        <f t="shared" si="94"/>
        <v>9</v>
      </c>
      <c r="C854" s="13" t="s">
        <v>26</v>
      </c>
      <c r="D854" s="2" t="s">
        <v>6</v>
      </c>
      <c r="E854" s="14" t="s">
        <v>11</v>
      </c>
      <c r="F854" s="22">
        <f t="shared" si="100"/>
        <v>6</v>
      </c>
      <c r="H854" s="5" t="str">
        <f ca="1">_xlfn.FORMULATEXT(표1[[#This Row],[Q''ty]])</f>
        <v>=F755</v>
      </c>
    </row>
    <row r="855" spans="1:8" ht="15" hidden="1" customHeight="1" x14ac:dyDescent="0.4">
      <c r="A855" s="6">
        <v>2026</v>
      </c>
      <c r="B855" s="6">
        <f t="shared" si="94"/>
        <v>9</v>
      </c>
      <c r="C855" s="13" t="s">
        <v>26</v>
      </c>
      <c r="D855" s="2" t="s">
        <v>12</v>
      </c>
      <c r="E855" s="14" t="str">
        <f t="shared" ref="E855:E892" si="101">E756</f>
        <v>BT GT</v>
      </c>
      <c r="F855" s="22">
        <v>23</v>
      </c>
      <c r="H855" s="5" t="e">
        <f ca="1">_xlfn.FORMULATEXT(표1[[#This Row],[Q''ty]])</f>
        <v>#N/A</v>
      </c>
    </row>
    <row r="856" spans="1:8" ht="15" hidden="1" customHeight="1" x14ac:dyDescent="0.4">
      <c r="A856" s="6">
        <v>2026</v>
      </c>
      <c r="B856" s="6">
        <f t="shared" si="94"/>
        <v>9</v>
      </c>
      <c r="C856" s="13" t="s">
        <v>26</v>
      </c>
      <c r="D856" s="2" t="s">
        <v>12</v>
      </c>
      <c r="E856" s="14" t="str">
        <f t="shared" si="101"/>
        <v>WT GT</v>
      </c>
      <c r="F856" s="22">
        <v>19</v>
      </c>
      <c r="H856" s="5" t="e">
        <f ca="1">_xlfn.FORMULATEXT(표1[[#This Row],[Q''ty]])</f>
        <v>#N/A</v>
      </c>
    </row>
    <row r="857" spans="1:8" ht="15" hidden="1" customHeight="1" x14ac:dyDescent="0.4">
      <c r="A857" s="6">
        <v>2026</v>
      </c>
      <c r="B857" s="6">
        <f t="shared" si="94"/>
        <v>9</v>
      </c>
      <c r="C857" s="13" t="s">
        <v>26</v>
      </c>
      <c r="D857" s="2" t="s">
        <v>12</v>
      </c>
      <c r="E857" s="14" t="str">
        <f t="shared" si="101"/>
        <v>Bending</v>
      </c>
      <c r="F857" s="22">
        <v>224</v>
      </c>
      <c r="H857" s="5" t="e">
        <f ca="1">_xlfn.FORMULATEXT(표1[[#This Row],[Q''ty]])</f>
        <v>#N/A</v>
      </c>
    </row>
    <row r="858" spans="1:8" ht="15" hidden="1" customHeight="1" x14ac:dyDescent="0.4">
      <c r="A858" s="6">
        <v>2026</v>
      </c>
      <c r="B858" s="6">
        <f t="shared" si="94"/>
        <v>9</v>
      </c>
      <c r="C858" s="13" t="s">
        <v>26</v>
      </c>
      <c r="D858" s="2" t="s">
        <v>12</v>
      </c>
      <c r="E858" s="14" t="str">
        <f t="shared" si="101"/>
        <v>L/W</v>
      </c>
      <c r="F858" s="22">
        <v>220</v>
      </c>
      <c r="H858" s="5" t="e">
        <f ca="1">_xlfn.FORMULATEXT(표1[[#This Row],[Q''ty]])</f>
        <v>#N/A</v>
      </c>
    </row>
    <row r="859" spans="1:8" ht="15" hidden="1" customHeight="1" thickBot="1" x14ac:dyDescent="0.45">
      <c r="A859" s="15">
        <v>2026</v>
      </c>
      <c r="B859" s="15">
        <f t="shared" ref="B859:B892" si="102">B760+1</f>
        <v>9</v>
      </c>
      <c r="C859" s="16" t="s">
        <v>26</v>
      </c>
      <c r="D859" s="17" t="s">
        <v>12</v>
      </c>
      <c r="E859" s="18" t="str">
        <f t="shared" si="101"/>
        <v>C/W</v>
      </c>
      <c r="F859" s="23">
        <v>227.5</v>
      </c>
      <c r="H859" s="5" t="e">
        <f ca="1">_xlfn.FORMULATEXT(표1[[#This Row],[Q''ty]])</f>
        <v>#N/A</v>
      </c>
    </row>
    <row r="860" spans="1:8" ht="15" hidden="1" customHeight="1" thickTop="1" x14ac:dyDescent="0.4">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hidden="1" customHeight="1" x14ac:dyDescent="0.4">
      <c r="A861" s="6">
        <v>2026</v>
      </c>
      <c r="B861" s="6">
        <f t="shared" si="102"/>
        <v>9</v>
      </c>
      <c r="C861" s="13" t="s">
        <v>20</v>
      </c>
      <c r="D861" s="2" t="s">
        <v>6</v>
      </c>
      <c r="E861" s="14" t="str">
        <f t="shared" si="101"/>
        <v>Paint Booth</v>
      </c>
      <c r="F861" s="22">
        <f t="shared" si="103"/>
        <v>16</v>
      </c>
      <c r="H861" s="5" t="str">
        <f ca="1">_xlfn.FORMULATEXT(표1[[#This Row],[Q''ty]])</f>
        <v>=F762</v>
      </c>
    </row>
    <row r="862" spans="1:8" ht="15" hidden="1" customHeight="1" x14ac:dyDescent="0.4">
      <c r="A862" s="6">
        <v>2026</v>
      </c>
      <c r="B862" s="6">
        <f t="shared" si="102"/>
        <v>9</v>
      </c>
      <c r="C862" s="13" t="s">
        <v>20</v>
      </c>
      <c r="D862" s="2" t="s">
        <v>6</v>
      </c>
      <c r="E862" s="14" t="str">
        <f t="shared" si="101"/>
        <v>Paint Line</v>
      </c>
      <c r="F862" s="22">
        <f t="shared" si="103"/>
        <v>8</v>
      </c>
      <c r="H862" s="5" t="str">
        <f ca="1">_xlfn.FORMULATEXT(표1[[#This Row],[Q''ty]])</f>
        <v>=F763</v>
      </c>
    </row>
    <row r="863" spans="1:8" ht="15" hidden="1" customHeight="1" x14ac:dyDescent="0.4">
      <c r="A863" s="6">
        <v>2026</v>
      </c>
      <c r="B863" s="6">
        <f t="shared" si="102"/>
        <v>9</v>
      </c>
      <c r="C863" s="13" t="s">
        <v>20</v>
      </c>
      <c r="D863" s="2" t="s">
        <v>6</v>
      </c>
      <c r="E863" s="14" t="str">
        <f t="shared" si="101"/>
        <v>Roll Bending Machine</v>
      </c>
      <c r="F863" s="22">
        <f t="shared" si="103"/>
        <v>6</v>
      </c>
      <c r="H863" s="5" t="str">
        <f ca="1">_xlfn.FORMULATEXT(표1[[#This Row],[Q''ty]])</f>
        <v>=F764</v>
      </c>
    </row>
    <row r="864" spans="1:8" ht="15" hidden="1" customHeight="1" x14ac:dyDescent="0.4">
      <c r="A864" s="6">
        <v>2026</v>
      </c>
      <c r="B864" s="6">
        <f t="shared" si="102"/>
        <v>9</v>
      </c>
      <c r="C864" s="13" t="s">
        <v>20</v>
      </c>
      <c r="D864" s="2" t="s">
        <v>6</v>
      </c>
      <c r="E864" s="14" t="str">
        <f t="shared" si="101"/>
        <v>L/W Machine</v>
      </c>
      <c r="F864" s="22">
        <f t="shared" si="103"/>
        <v>11</v>
      </c>
      <c r="H864" s="5" t="str">
        <f ca="1">_xlfn.FORMULATEXT(표1[[#This Row],[Q''ty]])</f>
        <v>=F765</v>
      </c>
    </row>
    <row r="865" spans="1:8" ht="15" hidden="1" customHeight="1" x14ac:dyDescent="0.4">
      <c r="A865" s="6">
        <v>2026</v>
      </c>
      <c r="B865" s="6">
        <f t="shared" si="102"/>
        <v>9</v>
      </c>
      <c r="C865" s="13" t="s">
        <v>20</v>
      </c>
      <c r="D865" s="2" t="s">
        <v>6</v>
      </c>
      <c r="E865" s="14" t="str">
        <f t="shared" si="101"/>
        <v>C/W Machine</v>
      </c>
      <c r="F865" s="22">
        <f t="shared" si="103"/>
        <v>15</v>
      </c>
      <c r="H865" s="5" t="str">
        <f ca="1">_xlfn.FORMULATEXT(표1[[#This Row],[Q''ty]])</f>
        <v>=F766</v>
      </c>
    </row>
    <row r="866" spans="1:8" ht="15" hidden="1" customHeight="1" x14ac:dyDescent="0.4">
      <c r="A866" s="6">
        <v>2026</v>
      </c>
      <c r="B866" s="6">
        <f t="shared" si="102"/>
        <v>9</v>
      </c>
      <c r="C866" s="13" t="s">
        <v>20</v>
      </c>
      <c r="D866" s="2" t="s">
        <v>12</v>
      </c>
      <c r="E866" s="14" t="str">
        <f t="shared" si="101"/>
        <v>BT GT</v>
      </c>
      <c r="F866" s="22">
        <v>80</v>
      </c>
      <c r="H866" s="5" t="e">
        <f ca="1">_xlfn.FORMULATEXT(표1[[#This Row],[Q''ty]])</f>
        <v>#N/A</v>
      </c>
    </row>
    <row r="867" spans="1:8" ht="15" hidden="1" customHeight="1" x14ac:dyDescent="0.4">
      <c r="A867" s="6">
        <v>2026</v>
      </c>
      <c r="B867" s="6">
        <f t="shared" si="102"/>
        <v>9</v>
      </c>
      <c r="C867" s="13" t="s">
        <v>20</v>
      </c>
      <c r="D867" s="2" t="s">
        <v>12</v>
      </c>
      <c r="E867" s="14" t="str">
        <f t="shared" si="101"/>
        <v>WT GT</v>
      </c>
      <c r="F867" s="22">
        <v>81</v>
      </c>
      <c r="H867" s="5" t="e">
        <f ca="1">_xlfn.FORMULATEXT(표1[[#This Row],[Q''ty]])</f>
        <v>#N/A</v>
      </c>
    </row>
    <row r="868" spans="1:8" ht="15" hidden="1" customHeight="1" x14ac:dyDescent="0.4">
      <c r="A868" s="6">
        <v>2026</v>
      </c>
      <c r="B868" s="6">
        <f t="shared" si="102"/>
        <v>9</v>
      </c>
      <c r="C868" s="13" t="s">
        <v>20</v>
      </c>
      <c r="D868" s="2" t="s">
        <v>12</v>
      </c>
      <c r="E868" s="14" t="str">
        <f t="shared" si="101"/>
        <v>Bending</v>
      </c>
      <c r="F868" s="22">
        <v>618</v>
      </c>
      <c r="H868" s="5" t="e">
        <f ca="1">_xlfn.FORMULATEXT(표1[[#This Row],[Q''ty]])</f>
        <v>#N/A</v>
      </c>
    </row>
    <row r="869" spans="1:8" ht="15" hidden="1" customHeight="1" x14ac:dyDescent="0.4">
      <c r="A869" s="6">
        <v>2026</v>
      </c>
      <c r="B869" s="6">
        <f t="shared" si="102"/>
        <v>9</v>
      </c>
      <c r="C869" s="13" t="s">
        <v>20</v>
      </c>
      <c r="D869" s="2" t="s">
        <v>12</v>
      </c>
      <c r="E869" s="14" t="str">
        <f t="shared" si="101"/>
        <v>L/W</v>
      </c>
      <c r="F869" s="22">
        <v>635</v>
      </c>
      <c r="H869" s="5" t="e">
        <f ca="1">_xlfn.FORMULATEXT(표1[[#This Row],[Q''ty]])</f>
        <v>#N/A</v>
      </c>
    </row>
    <row r="870" spans="1:8" ht="15" hidden="1" customHeight="1" thickBot="1" x14ac:dyDescent="0.45">
      <c r="A870" s="15">
        <v>2026</v>
      </c>
      <c r="B870" s="15">
        <f t="shared" si="102"/>
        <v>9</v>
      </c>
      <c r="C870" s="16" t="s">
        <v>20</v>
      </c>
      <c r="D870" s="17" t="s">
        <v>12</v>
      </c>
      <c r="E870" s="18" t="str">
        <f t="shared" si="101"/>
        <v>C/W</v>
      </c>
      <c r="F870" s="23">
        <v>557</v>
      </c>
      <c r="H870" s="5" t="e">
        <f ca="1">_xlfn.FORMULATEXT(표1[[#This Row],[Q''ty]])</f>
        <v>#N/A</v>
      </c>
    </row>
    <row r="871" spans="1:8" ht="15" hidden="1" customHeight="1" thickTop="1" x14ac:dyDescent="0.4">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hidden="1" customHeight="1" x14ac:dyDescent="0.4">
      <c r="A872" s="6">
        <v>2026</v>
      </c>
      <c r="B872" s="6">
        <f t="shared" si="102"/>
        <v>9</v>
      </c>
      <c r="C872" s="13" t="s">
        <v>21</v>
      </c>
      <c r="D872" s="2" t="s">
        <v>6</v>
      </c>
      <c r="E872" s="14" t="str">
        <f t="shared" si="101"/>
        <v>Paint Booth</v>
      </c>
      <c r="F872" s="22">
        <f t="shared" si="104"/>
        <v>4</v>
      </c>
      <c r="H872" s="5" t="str">
        <f ca="1">_xlfn.FORMULATEXT(표1[[#This Row],[Q''ty]])</f>
        <v>=F773</v>
      </c>
    </row>
    <row r="873" spans="1:8" ht="15" hidden="1" customHeight="1" x14ac:dyDescent="0.4">
      <c r="A873" s="6">
        <v>2026</v>
      </c>
      <c r="B873" s="6">
        <f t="shared" si="102"/>
        <v>9</v>
      </c>
      <c r="C873" s="13" t="s">
        <v>21</v>
      </c>
      <c r="D873" s="2" t="s">
        <v>6</v>
      </c>
      <c r="E873" s="14" t="str">
        <f t="shared" si="101"/>
        <v>Paint Line</v>
      </c>
      <c r="F873" s="22">
        <f t="shared" si="104"/>
        <v>4</v>
      </c>
      <c r="H873" s="5" t="str">
        <f ca="1">_xlfn.FORMULATEXT(표1[[#This Row],[Q''ty]])</f>
        <v>=F774</v>
      </c>
    </row>
    <row r="874" spans="1:8" ht="15" hidden="1" customHeight="1" x14ac:dyDescent="0.4">
      <c r="A874" s="6">
        <v>2026</v>
      </c>
      <c r="B874" s="6">
        <f t="shared" si="102"/>
        <v>9</v>
      </c>
      <c r="C874" s="13" t="s">
        <v>21</v>
      </c>
      <c r="D874" s="2" t="s">
        <v>6</v>
      </c>
      <c r="E874" s="14" t="str">
        <f t="shared" si="101"/>
        <v>Roll Bending Machine</v>
      </c>
      <c r="F874" s="22">
        <f t="shared" si="104"/>
        <v>3</v>
      </c>
      <c r="H874" s="5" t="str">
        <f ca="1">_xlfn.FORMULATEXT(표1[[#This Row],[Q''ty]])</f>
        <v>=F775</v>
      </c>
    </row>
    <row r="875" spans="1:8" ht="15" hidden="1" customHeight="1" x14ac:dyDescent="0.4">
      <c r="A875" s="6">
        <v>2026</v>
      </c>
      <c r="B875" s="6">
        <f t="shared" si="102"/>
        <v>9</v>
      </c>
      <c r="C875" s="13" t="s">
        <v>21</v>
      </c>
      <c r="D875" s="2" t="s">
        <v>6</v>
      </c>
      <c r="E875" s="14" t="str">
        <f t="shared" si="101"/>
        <v>L/W Machine</v>
      </c>
      <c r="F875" s="22">
        <f t="shared" si="104"/>
        <v>4</v>
      </c>
      <c r="H875" s="5" t="str">
        <f ca="1">_xlfn.FORMULATEXT(표1[[#This Row],[Q''ty]])</f>
        <v>=F776</v>
      </c>
    </row>
    <row r="876" spans="1:8" ht="15" hidden="1" customHeight="1" x14ac:dyDescent="0.4">
      <c r="A876" s="6">
        <v>2026</v>
      </c>
      <c r="B876" s="6">
        <f t="shared" si="102"/>
        <v>9</v>
      </c>
      <c r="C876" s="13" t="s">
        <v>21</v>
      </c>
      <c r="D876" s="2" t="s">
        <v>6</v>
      </c>
      <c r="E876" s="14" t="str">
        <f t="shared" si="101"/>
        <v>C/W Machine</v>
      </c>
      <c r="F876" s="22">
        <f t="shared" si="104"/>
        <v>6.5</v>
      </c>
      <c r="H876" s="5" t="str">
        <f ca="1">_xlfn.FORMULATEXT(표1[[#This Row],[Q''ty]])</f>
        <v>=F777</v>
      </c>
    </row>
    <row r="877" spans="1:8" ht="15" hidden="1" customHeight="1" x14ac:dyDescent="0.4">
      <c r="A877" s="6">
        <v>2026</v>
      </c>
      <c r="B877" s="6">
        <f t="shared" si="102"/>
        <v>9</v>
      </c>
      <c r="C877" s="13" t="s">
        <v>21</v>
      </c>
      <c r="D877" s="2" t="s">
        <v>12</v>
      </c>
      <c r="E877" s="14" t="str">
        <f t="shared" si="101"/>
        <v>BT GT</v>
      </c>
      <c r="F877" s="22">
        <v>14</v>
      </c>
      <c r="H877" s="5" t="e">
        <f ca="1">_xlfn.FORMULATEXT(표1[[#This Row],[Q''ty]])</f>
        <v>#N/A</v>
      </c>
    </row>
    <row r="878" spans="1:8" ht="15" hidden="1" customHeight="1" x14ac:dyDescent="0.4">
      <c r="A878" s="6">
        <v>2026</v>
      </c>
      <c r="B878" s="6">
        <f t="shared" si="102"/>
        <v>9</v>
      </c>
      <c r="C878" s="13" t="s">
        <v>21</v>
      </c>
      <c r="D878" s="2" t="s">
        <v>12</v>
      </c>
      <c r="E878" s="14" t="str">
        <f t="shared" si="101"/>
        <v>WT GT</v>
      </c>
      <c r="F878" s="22">
        <v>14</v>
      </c>
      <c r="H878" s="5" t="e">
        <f ca="1">_xlfn.FORMULATEXT(표1[[#This Row],[Q''ty]])</f>
        <v>#N/A</v>
      </c>
    </row>
    <row r="879" spans="1:8" ht="15" hidden="1" customHeight="1" x14ac:dyDescent="0.4">
      <c r="A879" s="6">
        <v>2026</v>
      </c>
      <c r="B879" s="6">
        <f t="shared" si="102"/>
        <v>9</v>
      </c>
      <c r="C879" s="13" t="s">
        <v>21</v>
      </c>
      <c r="D879" s="2" t="s">
        <v>12</v>
      </c>
      <c r="E879" s="14" t="str">
        <f t="shared" si="101"/>
        <v>Bending</v>
      </c>
      <c r="F879" s="22">
        <v>128</v>
      </c>
      <c r="H879" s="5" t="e">
        <f ca="1">_xlfn.FORMULATEXT(표1[[#This Row],[Q''ty]])</f>
        <v>#N/A</v>
      </c>
    </row>
    <row r="880" spans="1:8" ht="15" hidden="1" customHeight="1" x14ac:dyDescent="0.4">
      <c r="A880" s="6">
        <v>2026</v>
      </c>
      <c r="B880" s="6">
        <f t="shared" si="102"/>
        <v>9</v>
      </c>
      <c r="C880" s="13" t="s">
        <v>21</v>
      </c>
      <c r="D880" s="2" t="s">
        <v>12</v>
      </c>
      <c r="E880" s="14" t="str">
        <f t="shared" si="101"/>
        <v>L/W</v>
      </c>
      <c r="F880" s="22">
        <v>129</v>
      </c>
      <c r="H880" s="5" t="e">
        <f ca="1">_xlfn.FORMULATEXT(표1[[#This Row],[Q''ty]])</f>
        <v>#N/A</v>
      </c>
    </row>
    <row r="881" spans="1:10" ht="15" hidden="1" customHeight="1" thickBot="1" x14ac:dyDescent="0.45">
      <c r="A881" s="15">
        <v>2026</v>
      </c>
      <c r="B881" s="15">
        <f t="shared" si="102"/>
        <v>9</v>
      </c>
      <c r="C881" s="16" t="s">
        <v>21</v>
      </c>
      <c r="D881" s="17" t="s">
        <v>12</v>
      </c>
      <c r="E881" s="18" t="str">
        <f t="shared" si="101"/>
        <v>C/W</v>
      </c>
      <c r="F881" s="23">
        <v>138</v>
      </c>
      <c r="H881" s="5" t="e">
        <f ca="1">_xlfn.FORMULATEXT(표1[[#This Row],[Q''ty]])</f>
        <v>#N/A</v>
      </c>
    </row>
    <row r="882" spans="1:10" ht="15" hidden="1" customHeight="1" thickTop="1" x14ac:dyDescent="0.4">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10" ht="15" hidden="1" customHeight="1" x14ac:dyDescent="0.4">
      <c r="A883" s="6">
        <v>2026</v>
      </c>
      <c r="B883" s="6">
        <f t="shared" si="102"/>
        <v>9</v>
      </c>
      <c r="C883" s="13" t="s">
        <v>22</v>
      </c>
      <c r="D883" s="2" t="s">
        <v>6</v>
      </c>
      <c r="E883" s="14" t="str">
        <f t="shared" si="101"/>
        <v>Paint Booth</v>
      </c>
      <c r="F883" s="22">
        <f t="shared" si="105"/>
        <v>6</v>
      </c>
      <c r="H883" s="5" t="str">
        <f ca="1">_xlfn.FORMULATEXT(표1[[#This Row],[Q''ty]])</f>
        <v>=F784</v>
      </c>
    </row>
    <row r="884" spans="1:10" ht="15" hidden="1" customHeight="1" x14ac:dyDescent="0.4">
      <c r="A884" s="6">
        <v>2026</v>
      </c>
      <c r="B884" s="6">
        <f t="shared" si="102"/>
        <v>9</v>
      </c>
      <c r="C884" s="13" t="s">
        <v>22</v>
      </c>
      <c r="D884" s="2" t="s">
        <v>6</v>
      </c>
      <c r="E884" s="14" t="str">
        <f t="shared" si="101"/>
        <v>Paint Line</v>
      </c>
      <c r="F884" s="22">
        <f t="shared" si="105"/>
        <v>4</v>
      </c>
      <c r="H884" s="5" t="str">
        <f ca="1">_xlfn.FORMULATEXT(표1[[#This Row],[Q''ty]])</f>
        <v>=F785</v>
      </c>
    </row>
    <row r="885" spans="1:10" ht="15" hidden="1" customHeight="1" x14ac:dyDescent="0.4">
      <c r="A885" s="6">
        <v>2026</v>
      </c>
      <c r="B885" s="6">
        <f t="shared" si="102"/>
        <v>9</v>
      </c>
      <c r="C885" s="13" t="s">
        <v>22</v>
      </c>
      <c r="D885" s="2" t="s">
        <v>6</v>
      </c>
      <c r="E885" s="14" t="str">
        <f t="shared" si="101"/>
        <v>Roll Bending Machine</v>
      </c>
      <c r="F885" s="22">
        <f t="shared" si="105"/>
        <v>4</v>
      </c>
      <c r="H885" s="5" t="str">
        <f ca="1">_xlfn.FORMULATEXT(표1[[#This Row],[Q''ty]])</f>
        <v>=F786</v>
      </c>
    </row>
    <row r="886" spans="1:10" ht="15" hidden="1" customHeight="1" x14ac:dyDescent="0.4">
      <c r="A886" s="6">
        <v>2026</v>
      </c>
      <c r="B886" s="6">
        <f t="shared" si="102"/>
        <v>9</v>
      </c>
      <c r="C886" s="13" t="s">
        <v>22</v>
      </c>
      <c r="D886" s="2" t="s">
        <v>6</v>
      </c>
      <c r="E886" s="14" t="str">
        <f t="shared" si="101"/>
        <v>L/W Machine</v>
      </c>
      <c r="F886" s="22">
        <f t="shared" si="105"/>
        <v>7</v>
      </c>
      <c r="H886" s="5" t="str">
        <f ca="1">_xlfn.FORMULATEXT(표1[[#This Row],[Q''ty]])</f>
        <v>=F787</v>
      </c>
    </row>
    <row r="887" spans="1:10" ht="15" hidden="1" customHeight="1" x14ac:dyDescent="0.4">
      <c r="A887" s="6">
        <v>2026</v>
      </c>
      <c r="B887" s="6">
        <f t="shared" si="102"/>
        <v>9</v>
      </c>
      <c r="C887" s="13" t="s">
        <v>22</v>
      </c>
      <c r="D887" s="2" t="s">
        <v>6</v>
      </c>
      <c r="E887" s="14" t="str">
        <f t="shared" si="101"/>
        <v>C/W Machine</v>
      </c>
      <c r="F887" s="22">
        <f t="shared" si="105"/>
        <v>12.5</v>
      </c>
      <c r="H887" s="5" t="str">
        <f ca="1">_xlfn.FORMULATEXT(표1[[#This Row],[Q''ty]])</f>
        <v>=F788</v>
      </c>
    </row>
    <row r="888" spans="1:10" ht="15" hidden="1" customHeight="1" x14ac:dyDescent="0.4">
      <c r="A888" s="6">
        <v>2026</v>
      </c>
      <c r="B888" s="6">
        <f t="shared" si="102"/>
        <v>9</v>
      </c>
      <c r="C888" s="13" t="s">
        <v>22</v>
      </c>
      <c r="D888" s="2" t="s">
        <v>12</v>
      </c>
      <c r="E888" s="14" t="str">
        <f t="shared" si="101"/>
        <v>BT GT</v>
      </c>
      <c r="F888" s="22">
        <v>12</v>
      </c>
      <c r="H888" s="5" t="e">
        <f ca="1">_xlfn.FORMULATEXT(표1[[#This Row],[Q''ty]])</f>
        <v>#N/A</v>
      </c>
    </row>
    <row r="889" spans="1:10" ht="15" hidden="1" customHeight="1" x14ac:dyDescent="0.4">
      <c r="A889" s="6">
        <v>2026</v>
      </c>
      <c r="B889" s="6">
        <f t="shared" si="102"/>
        <v>9</v>
      </c>
      <c r="C889" s="13" t="s">
        <v>22</v>
      </c>
      <c r="D889" s="2" t="s">
        <v>12</v>
      </c>
      <c r="E889" s="14" t="str">
        <f t="shared" si="101"/>
        <v>WT GT</v>
      </c>
      <c r="F889" s="22">
        <v>12</v>
      </c>
      <c r="H889" s="5" t="e">
        <f ca="1">_xlfn.FORMULATEXT(표1[[#This Row],[Q''ty]])</f>
        <v>#N/A</v>
      </c>
    </row>
    <row r="890" spans="1:10" ht="15" hidden="1" customHeight="1" x14ac:dyDescent="0.4">
      <c r="A890" s="6">
        <v>2026</v>
      </c>
      <c r="B890" s="6">
        <f t="shared" si="102"/>
        <v>9</v>
      </c>
      <c r="C890" s="13" t="s">
        <v>22</v>
      </c>
      <c r="D890" s="2" t="s">
        <v>12</v>
      </c>
      <c r="E890" s="14" t="str">
        <f t="shared" si="101"/>
        <v>Bending</v>
      </c>
      <c r="F890" s="22">
        <v>91</v>
      </c>
      <c r="H890" s="5" t="e">
        <f ca="1">_xlfn.FORMULATEXT(표1[[#This Row],[Q''ty]])</f>
        <v>#N/A</v>
      </c>
    </row>
    <row r="891" spans="1:10" ht="15" hidden="1" customHeight="1" x14ac:dyDescent="0.4">
      <c r="A891" s="6">
        <v>2026</v>
      </c>
      <c r="B891" s="6">
        <f t="shared" si="102"/>
        <v>9</v>
      </c>
      <c r="C891" s="13" t="s">
        <v>22</v>
      </c>
      <c r="D891" s="2" t="s">
        <v>12</v>
      </c>
      <c r="E891" s="14" t="str">
        <f t="shared" si="101"/>
        <v>L/W</v>
      </c>
      <c r="F891" s="22">
        <v>92</v>
      </c>
      <c r="H891" s="5" t="e">
        <f ca="1">_xlfn.FORMULATEXT(표1[[#This Row],[Q''ty]])</f>
        <v>#N/A</v>
      </c>
    </row>
    <row r="892" spans="1:10" ht="15" hidden="1" customHeight="1" thickBot="1" x14ac:dyDescent="0.45">
      <c r="A892" s="6">
        <v>2026</v>
      </c>
      <c r="B892" s="6">
        <f t="shared" si="102"/>
        <v>9</v>
      </c>
      <c r="C892" s="13" t="s">
        <v>22</v>
      </c>
      <c r="D892" s="2" t="s">
        <v>12</v>
      </c>
      <c r="E892" s="14" t="str">
        <f t="shared" si="101"/>
        <v>C/W</v>
      </c>
      <c r="F892" s="22">
        <v>81</v>
      </c>
      <c r="H892" s="5" t="e">
        <f ca="1">_xlfn.FORMULATEXT(표1[[#This Row],[Q''ty]])</f>
        <v>#N/A</v>
      </c>
    </row>
    <row r="893" spans="1:10" ht="15" hidden="1" customHeight="1" thickTop="1" x14ac:dyDescent="0.4">
      <c r="A893" s="9">
        <v>2026</v>
      </c>
      <c r="B893" s="9">
        <f>B794+1</f>
        <v>10</v>
      </c>
      <c r="C893" s="10" t="s">
        <v>28</v>
      </c>
      <c r="D893" s="11" t="s">
        <v>6</v>
      </c>
      <c r="E893" s="12" t="s">
        <v>7</v>
      </c>
      <c r="F893" s="21">
        <f t="shared" ref="F893:F898" si="106">F794</f>
        <v>15</v>
      </c>
      <c r="H893" s="5" t="str">
        <f ca="1">_xlfn.FORMULATEXT(표1[[#This Row],[Q''ty]])</f>
        <v>=F794</v>
      </c>
    </row>
    <row r="894" spans="1:10" s="2" customFormat="1" ht="15" hidden="1" customHeight="1" x14ac:dyDescent="0.4">
      <c r="A894" s="6">
        <v>2026</v>
      </c>
      <c r="B894" s="6">
        <f t="shared" ref="B894:B957" si="107">B795+1</f>
        <v>10</v>
      </c>
      <c r="C894" s="13" t="s">
        <v>23</v>
      </c>
      <c r="D894" s="2" t="s">
        <v>6</v>
      </c>
      <c r="E894" s="14" t="s">
        <v>8</v>
      </c>
      <c r="F894" s="22">
        <f t="shared" si="106"/>
        <v>10</v>
      </c>
      <c r="H894" s="5" t="str">
        <f ca="1">_xlfn.FORMULATEXT(표1[[#This Row],[Q''ty]])</f>
        <v>=F795</v>
      </c>
      <c r="I894" s="26"/>
      <c r="J894" s="26"/>
    </row>
    <row r="895" spans="1:10" s="2" customFormat="1" ht="15" hidden="1" customHeight="1" x14ac:dyDescent="0.4">
      <c r="A895" s="6">
        <v>2026</v>
      </c>
      <c r="B895" s="6">
        <f t="shared" si="107"/>
        <v>10</v>
      </c>
      <c r="C895" s="13" t="s">
        <v>23</v>
      </c>
      <c r="D895" s="2" t="s">
        <v>6</v>
      </c>
      <c r="E895" s="14" t="s">
        <v>9</v>
      </c>
      <c r="F895" s="22">
        <f t="shared" si="106"/>
        <v>5</v>
      </c>
      <c r="H895" s="5" t="str">
        <f ca="1">_xlfn.FORMULATEXT(표1[[#This Row],[Q''ty]])</f>
        <v>=F796</v>
      </c>
      <c r="I895" s="26"/>
      <c r="J895" s="26"/>
    </row>
    <row r="896" spans="1:10" ht="15" hidden="1" customHeight="1" x14ac:dyDescent="0.4">
      <c r="A896" s="6">
        <v>2026</v>
      </c>
      <c r="B896" s="6">
        <f t="shared" si="107"/>
        <v>10</v>
      </c>
      <c r="C896" s="13" t="s">
        <v>23</v>
      </c>
      <c r="D896" s="2" t="s">
        <v>6</v>
      </c>
      <c r="E896" s="14" t="s">
        <v>27</v>
      </c>
      <c r="F896" s="22">
        <f t="shared" si="106"/>
        <v>6</v>
      </c>
      <c r="H896" s="5" t="str">
        <f ca="1">_xlfn.FORMULATEXT(표1[[#This Row],[Q''ty]])</f>
        <v>=F797</v>
      </c>
    </row>
    <row r="897" spans="1:10" ht="15" hidden="1" customHeight="1" x14ac:dyDescent="0.4">
      <c r="A897" s="6">
        <v>2026</v>
      </c>
      <c r="B897" s="6">
        <f t="shared" si="107"/>
        <v>10</v>
      </c>
      <c r="C897" s="13" t="s">
        <v>23</v>
      </c>
      <c r="D897" s="2" t="s">
        <v>6</v>
      </c>
      <c r="E897" s="14" t="s">
        <v>10</v>
      </c>
      <c r="F897" s="22">
        <f t="shared" si="106"/>
        <v>10</v>
      </c>
      <c r="H897" s="5" t="str">
        <f ca="1">_xlfn.FORMULATEXT(표1[[#This Row],[Q''ty]])</f>
        <v>=F798</v>
      </c>
    </row>
    <row r="898" spans="1:10" ht="15" hidden="1" customHeight="1" x14ac:dyDescent="0.4">
      <c r="A898" s="6">
        <v>2026</v>
      </c>
      <c r="B898" s="6">
        <f t="shared" si="107"/>
        <v>10</v>
      </c>
      <c r="C898" s="13" t="s">
        <v>23</v>
      </c>
      <c r="D898" s="2" t="s">
        <v>6</v>
      </c>
      <c r="E898" s="14" t="s">
        <v>11</v>
      </c>
      <c r="F898" s="22">
        <f t="shared" si="106"/>
        <v>10</v>
      </c>
      <c r="H898" s="5" t="str">
        <f ca="1">_xlfn.FORMULATEXT(표1[[#This Row],[Q''ty]])</f>
        <v>=F799</v>
      </c>
    </row>
    <row r="899" spans="1:10" ht="15" hidden="1" customHeight="1" x14ac:dyDescent="0.4">
      <c r="A899" s="6">
        <v>2026</v>
      </c>
      <c r="B899" s="6">
        <f t="shared" si="107"/>
        <v>10</v>
      </c>
      <c r="C899" s="13" t="s">
        <v>23</v>
      </c>
      <c r="D899" s="2" t="s">
        <v>12</v>
      </c>
      <c r="E899" s="14" t="s">
        <v>13</v>
      </c>
      <c r="F899" s="22">
        <v>5</v>
      </c>
      <c r="H899" s="5" t="e">
        <f ca="1">_xlfn.FORMULATEXT(표1[[#This Row],[Q''ty]])</f>
        <v>#N/A</v>
      </c>
    </row>
    <row r="900" spans="1:10" s="2" customFormat="1" ht="15" hidden="1" customHeight="1" x14ac:dyDescent="0.4">
      <c r="A900" s="6">
        <v>2026</v>
      </c>
      <c r="B900" s="6">
        <f t="shared" si="107"/>
        <v>10</v>
      </c>
      <c r="C900" s="13" t="s">
        <v>23</v>
      </c>
      <c r="D900" s="2" t="s">
        <v>12</v>
      </c>
      <c r="E900" s="14" t="s">
        <v>14</v>
      </c>
      <c r="F900" s="22">
        <v>13</v>
      </c>
      <c r="H900" s="5" t="e">
        <f ca="1">_xlfn.FORMULATEXT(표1[[#This Row],[Q''ty]])</f>
        <v>#N/A</v>
      </c>
      <c r="I900" s="26"/>
      <c r="J900" s="26"/>
    </row>
    <row r="901" spans="1:10" ht="15" hidden="1" customHeight="1" x14ac:dyDescent="0.4">
      <c r="A901" s="6">
        <v>2026</v>
      </c>
      <c r="B901" s="6">
        <f t="shared" si="107"/>
        <v>10</v>
      </c>
      <c r="C901" s="13" t="s">
        <v>23</v>
      </c>
      <c r="D901" s="2" t="s">
        <v>12</v>
      </c>
      <c r="E901" s="14" t="s">
        <v>15</v>
      </c>
      <c r="F901" s="22">
        <v>165</v>
      </c>
      <c r="H901" s="5" t="e">
        <f ca="1">_xlfn.FORMULATEXT(표1[[#This Row],[Q''ty]])</f>
        <v>#N/A</v>
      </c>
    </row>
    <row r="902" spans="1:10" ht="15" hidden="1" customHeight="1" x14ac:dyDescent="0.4">
      <c r="A902" s="6">
        <v>2026</v>
      </c>
      <c r="B902" s="6">
        <f t="shared" si="107"/>
        <v>10</v>
      </c>
      <c r="C902" s="13" t="s">
        <v>23</v>
      </c>
      <c r="D902" s="2" t="s">
        <v>12</v>
      </c>
      <c r="E902" s="14" t="s">
        <v>16</v>
      </c>
      <c r="F902" s="22">
        <v>164</v>
      </c>
      <c r="H902" s="5" t="e">
        <f ca="1">_xlfn.FORMULATEXT(표1[[#This Row],[Q''ty]])</f>
        <v>#N/A</v>
      </c>
    </row>
    <row r="903" spans="1:10" ht="15" hidden="1" customHeight="1" thickBot="1" x14ac:dyDescent="0.45">
      <c r="A903" s="15">
        <v>2026</v>
      </c>
      <c r="B903" s="15">
        <f t="shared" si="107"/>
        <v>10</v>
      </c>
      <c r="C903" s="16" t="s">
        <v>23</v>
      </c>
      <c r="D903" s="17" t="s">
        <v>12</v>
      </c>
      <c r="E903" s="18" t="s">
        <v>17</v>
      </c>
      <c r="F903" s="23">
        <v>128</v>
      </c>
      <c r="H903" s="5" t="e">
        <f ca="1">_xlfn.FORMULATEXT(표1[[#This Row],[Q''ty]])</f>
        <v>#N/A</v>
      </c>
    </row>
    <row r="904" spans="1:10" ht="15" hidden="1" customHeight="1" thickTop="1" x14ac:dyDescent="0.4">
      <c r="A904" s="9">
        <v>2026</v>
      </c>
      <c r="B904" s="9">
        <f t="shared" si="107"/>
        <v>10</v>
      </c>
      <c r="C904" s="10" t="s">
        <v>29</v>
      </c>
      <c r="D904" s="11" t="s">
        <v>6</v>
      </c>
      <c r="E904" s="12" t="s">
        <v>7</v>
      </c>
      <c r="F904" s="21">
        <f t="shared" ref="F904:F909" si="108">F805</f>
        <v>14</v>
      </c>
      <c r="H904" s="5" t="str">
        <f ca="1">_xlfn.FORMULATEXT(표1[[#This Row],[Q''ty]])</f>
        <v>=F805</v>
      </c>
    </row>
    <row r="905" spans="1:10" s="2" customFormat="1" ht="15" hidden="1" customHeight="1" x14ac:dyDescent="0.4">
      <c r="A905" s="6">
        <v>2026</v>
      </c>
      <c r="B905" s="6">
        <f t="shared" si="107"/>
        <v>10</v>
      </c>
      <c r="C905" s="13" t="s">
        <v>24</v>
      </c>
      <c r="D905" s="2" t="s">
        <v>6</v>
      </c>
      <c r="E905" s="14" t="s">
        <v>8</v>
      </c>
      <c r="F905" s="22">
        <f t="shared" si="108"/>
        <v>8</v>
      </c>
      <c r="H905" s="5" t="str">
        <f ca="1">_xlfn.FORMULATEXT(표1[[#This Row],[Q''ty]])</f>
        <v>=F806</v>
      </c>
      <c r="I905" s="26"/>
      <c r="J905" s="26"/>
    </row>
    <row r="906" spans="1:10" s="2" customFormat="1" ht="15" hidden="1" customHeight="1" x14ac:dyDescent="0.4">
      <c r="A906" s="6">
        <v>2026</v>
      </c>
      <c r="B906" s="6">
        <f t="shared" si="107"/>
        <v>10</v>
      </c>
      <c r="C906" s="13" t="s">
        <v>24</v>
      </c>
      <c r="D906" s="2" t="s">
        <v>6</v>
      </c>
      <c r="E906" s="14" t="s">
        <v>9</v>
      </c>
      <c r="F906" s="22">
        <f t="shared" si="108"/>
        <v>4</v>
      </c>
      <c r="H906" s="5" t="str">
        <f ca="1">_xlfn.FORMULATEXT(표1[[#This Row],[Q''ty]])</f>
        <v>=F807</v>
      </c>
      <c r="I906" s="26"/>
      <c r="J906" s="26"/>
    </row>
    <row r="907" spans="1:10" ht="15" hidden="1" customHeight="1" x14ac:dyDescent="0.4">
      <c r="A907" s="6">
        <v>2026</v>
      </c>
      <c r="B907" s="6">
        <f t="shared" si="107"/>
        <v>10</v>
      </c>
      <c r="C907" s="13" t="s">
        <v>24</v>
      </c>
      <c r="D907" s="2" t="s">
        <v>6</v>
      </c>
      <c r="E907" s="14" t="s">
        <v>27</v>
      </c>
      <c r="F907" s="22">
        <f t="shared" si="108"/>
        <v>3</v>
      </c>
      <c r="H907" s="5" t="str">
        <f ca="1">_xlfn.FORMULATEXT(표1[[#This Row],[Q''ty]])</f>
        <v>=F808</v>
      </c>
    </row>
    <row r="908" spans="1:10" ht="15" hidden="1" customHeight="1" x14ac:dyDescent="0.4">
      <c r="A908" s="6">
        <v>2026</v>
      </c>
      <c r="B908" s="6">
        <f t="shared" si="107"/>
        <v>10</v>
      </c>
      <c r="C908" s="13" t="s">
        <v>24</v>
      </c>
      <c r="D908" s="2" t="s">
        <v>6</v>
      </c>
      <c r="E908" s="14" t="s">
        <v>10</v>
      </c>
      <c r="F908" s="22">
        <f t="shared" si="108"/>
        <v>6</v>
      </c>
      <c r="H908" s="5" t="str">
        <f ca="1">_xlfn.FORMULATEXT(표1[[#This Row],[Q''ty]])</f>
        <v>=F809</v>
      </c>
    </row>
    <row r="909" spans="1:10" ht="15" hidden="1" customHeight="1" x14ac:dyDescent="0.4">
      <c r="A909" s="6">
        <v>2026</v>
      </c>
      <c r="B909" s="6">
        <f t="shared" si="107"/>
        <v>10</v>
      </c>
      <c r="C909" s="13" t="s">
        <v>24</v>
      </c>
      <c r="D909" s="2" t="s">
        <v>6</v>
      </c>
      <c r="E909" s="14" t="s">
        <v>11</v>
      </c>
      <c r="F909" s="22">
        <f t="shared" si="108"/>
        <v>8.8000000000000007</v>
      </c>
      <c r="H909" s="5" t="str">
        <f ca="1">_xlfn.FORMULATEXT(표1[[#This Row],[Q''ty]])</f>
        <v>=F810</v>
      </c>
    </row>
    <row r="910" spans="1:10" ht="15" hidden="1" customHeight="1" x14ac:dyDescent="0.4">
      <c r="A910" s="6">
        <v>2026</v>
      </c>
      <c r="B910" s="6">
        <f t="shared" si="107"/>
        <v>10</v>
      </c>
      <c r="C910" s="13" t="s">
        <v>24</v>
      </c>
      <c r="D910" s="2" t="s">
        <v>12</v>
      </c>
      <c r="E910" s="14" t="s">
        <v>13</v>
      </c>
      <c r="F910" s="22">
        <v>7</v>
      </c>
      <c r="H910" s="5" t="e">
        <f ca="1">_xlfn.FORMULATEXT(표1[[#This Row],[Q''ty]])</f>
        <v>#N/A</v>
      </c>
    </row>
    <row r="911" spans="1:10" s="2" customFormat="1" ht="15" hidden="1" customHeight="1" x14ac:dyDescent="0.4">
      <c r="A911" s="6">
        <v>2026</v>
      </c>
      <c r="B911" s="6">
        <f t="shared" si="107"/>
        <v>10</v>
      </c>
      <c r="C911" s="13" t="s">
        <v>24</v>
      </c>
      <c r="D911" s="2" t="s">
        <v>12</v>
      </c>
      <c r="E911" s="14" t="s">
        <v>14</v>
      </c>
      <c r="F911" s="22">
        <v>11</v>
      </c>
      <c r="H911" s="5" t="e">
        <f ca="1">_xlfn.FORMULATEXT(표1[[#This Row],[Q''ty]])</f>
        <v>#N/A</v>
      </c>
      <c r="I911" s="26"/>
      <c r="J911" s="26"/>
    </row>
    <row r="912" spans="1:10" ht="15" hidden="1" customHeight="1" x14ac:dyDescent="0.4">
      <c r="A912" s="6">
        <v>2026</v>
      </c>
      <c r="B912" s="6">
        <f t="shared" si="107"/>
        <v>10</v>
      </c>
      <c r="C912" s="13" t="s">
        <v>24</v>
      </c>
      <c r="D912" s="2" t="s">
        <v>12</v>
      </c>
      <c r="E912" s="14" t="s">
        <v>15</v>
      </c>
      <c r="F912" s="22">
        <v>94</v>
      </c>
      <c r="H912" s="5" t="e">
        <f ca="1">_xlfn.FORMULATEXT(표1[[#This Row],[Q''ty]])</f>
        <v>#N/A</v>
      </c>
    </row>
    <row r="913" spans="1:8" ht="15" hidden="1" customHeight="1" x14ac:dyDescent="0.4">
      <c r="A913" s="6">
        <v>2026</v>
      </c>
      <c r="B913" s="6">
        <f t="shared" si="107"/>
        <v>10</v>
      </c>
      <c r="C913" s="13" t="s">
        <v>24</v>
      </c>
      <c r="D913" s="2" t="s">
        <v>12</v>
      </c>
      <c r="E913" s="14" t="s">
        <v>16</v>
      </c>
      <c r="F913" s="22">
        <v>92</v>
      </c>
      <c r="H913" s="5" t="e">
        <f ca="1">_xlfn.FORMULATEXT(표1[[#This Row],[Q''ty]])</f>
        <v>#N/A</v>
      </c>
    </row>
    <row r="914" spans="1:8" ht="15" hidden="1" customHeight="1" thickBot="1" x14ac:dyDescent="0.45">
      <c r="A914" s="15">
        <v>2026</v>
      </c>
      <c r="B914" s="15">
        <f t="shared" si="107"/>
        <v>10</v>
      </c>
      <c r="C914" s="16" t="s">
        <v>24</v>
      </c>
      <c r="D914" s="17" t="s">
        <v>12</v>
      </c>
      <c r="E914" s="18" t="s">
        <v>17</v>
      </c>
      <c r="F914" s="23">
        <v>106</v>
      </c>
      <c r="H914" s="5" t="e">
        <f ca="1">_xlfn.FORMULATEXT(표1[[#This Row],[Q''ty]])</f>
        <v>#N/A</v>
      </c>
    </row>
    <row r="915" spans="1:8" ht="15" hidden="1" customHeight="1" thickTop="1" x14ac:dyDescent="0.4">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hidden="1" customHeight="1" x14ac:dyDescent="0.4">
      <c r="A916" s="6">
        <v>2026</v>
      </c>
      <c r="B916" s="6">
        <f t="shared" si="107"/>
        <v>10</v>
      </c>
      <c r="C916" s="13" t="s">
        <v>18</v>
      </c>
      <c r="D916" s="2" t="s">
        <v>6</v>
      </c>
      <c r="E916" s="14" t="str">
        <f t="shared" si="109"/>
        <v>Paint Booth</v>
      </c>
      <c r="F916" s="22">
        <f t="shared" si="109"/>
        <v>3</v>
      </c>
      <c r="H916" s="5" t="str">
        <f ca="1">_xlfn.FORMULATEXT(표1[[#This Row],[Q''ty]])</f>
        <v>=F817</v>
      </c>
    </row>
    <row r="917" spans="1:8" ht="15" hidden="1" customHeight="1" x14ac:dyDescent="0.4">
      <c r="A917" s="6">
        <v>2026</v>
      </c>
      <c r="B917" s="6">
        <f t="shared" si="107"/>
        <v>10</v>
      </c>
      <c r="C917" s="13" t="s">
        <v>18</v>
      </c>
      <c r="D917" s="2" t="s">
        <v>6</v>
      </c>
      <c r="E917" s="14" t="str">
        <f t="shared" si="109"/>
        <v>Paint Line</v>
      </c>
      <c r="F917" s="22">
        <f t="shared" si="109"/>
        <v>2</v>
      </c>
      <c r="H917" s="5" t="str">
        <f ca="1">_xlfn.FORMULATEXT(표1[[#This Row],[Q''ty]])</f>
        <v>=F818</v>
      </c>
    </row>
    <row r="918" spans="1:8" ht="15" hidden="1" customHeight="1" x14ac:dyDescent="0.4">
      <c r="A918" s="6">
        <v>2026</v>
      </c>
      <c r="B918" s="6">
        <f t="shared" si="107"/>
        <v>10</v>
      </c>
      <c r="C918" s="13" t="s">
        <v>18</v>
      </c>
      <c r="D918" s="2" t="s">
        <v>6</v>
      </c>
      <c r="E918" s="14" t="str">
        <f t="shared" si="109"/>
        <v>Roll Bending Machine</v>
      </c>
      <c r="F918" s="22">
        <f t="shared" si="109"/>
        <v>2</v>
      </c>
      <c r="H918" s="5" t="str">
        <f ca="1">_xlfn.FORMULATEXT(표1[[#This Row],[Q''ty]])</f>
        <v>=F819</v>
      </c>
    </row>
    <row r="919" spans="1:8" ht="15" hidden="1" customHeight="1" x14ac:dyDescent="0.4">
      <c r="A919" s="6">
        <v>2026</v>
      </c>
      <c r="B919" s="6">
        <f t="shared" si="107"/>
        <v>10</v>
      </c>
      <c r="C919" s="13" t="s">
        <v>18</v>
      </c>
      <c r="D919" s="2" t="s">
        <v>6</v>
      </c>
      <c r="E919" s="14" t="str">
        <f t="shared" si="109"/>
        <v>L/W Machine</v>
      </c>
      <c r="F919" s="22">
        <f t="shared" si="109"/>
        <v>2</v>
      </c>
      <c r="H919" s="5" t="str">
        <f ca="1">_xlfn.FORMULATEXT(표1[[#This Row],[Q''ty]])</f>
        <v>=F820</v>
      </c>
    </row>
    <row r="920" spans="1:8" ht="15" hidden="1" customHeight="1" x14ac:dyDescent="0.4">
      <c r="A920" s="6">
        <v>2026</v>
      </c>
      <c r="B920" s="6">
        <f t="shared" si="107"/>
        <v>10</v>
      </c>
      <c r="C920" s="13" t="s">
        <v>18</v>
      </c>
      <c r="D920" s="2" t="s">
        <v>6</v>
      </c>
      <c r="E920" s="14" t="str">
        <f t="shared" si="109"/>
        <v>C/W Machine</v>
      </c>
      <c r="F920" s="22">
        <f t="shared" si="109"/>
        <v>3</v>
      </c>
      <c r="H920" s="5" t="str">
        <f ca="1">_xlfn.FORMULATEXT(표1[[#This Row],[Q''ty]])</f>
        <v>=F821</v>
      </c>
    </row>
    <row r="921" spans="1:8" ht="15" hidden="1" customHeight="1" x14ac:dyDescent="0.4">
      <c r="A921" s="6">
        <v>2026</v>
      </c>
      <c r="B921" s="6">
        <f t="shared" si="107"/>
        <v>10</v>
      </c>
      <c r="C921" s="13" t="s">
        <v>18</v>
      </c>
      <c r="D921" s="2" t="s">
        <v>12</v>
      </c>
      <c r="E921" s="14" t="str">
        <f t="shared" ref="E921:E936" si="110">E822</f>
        <v>BT GT</v>
      </c>
      <c r="F921" s="22">
        <v>0</v>
      </c>
      <c r="H921" s="5" t="e">
        <f ca="1">_xlfn.FORMULATEXT(표1[[#This Row],[Q''ty]])</f>
        <v>#N/A</v>
      </c>
    </row>
    <row r="922" spans="1:8" ht="15" hidden="1" customHeight="1" x14ac:dyDescent="0.4">
      <c r="A922" s="6">
        <v>2026</v>
      </c>
      <c r="B922" s="6">
        <f t="shared" si="107"/>
        <v>10</v>
      </c>
      <c r="C922" s="13" t="s">
        <v>18</v>
      </c>
      <c r="D922" s="2" t="s">
        <v>12</v>
      </c>
      <c r="E922" s="14" t="str">
        <f t="shared" si="110"/>
        <v>WT GT</v>
      </c>
      <c r="F922" s="22">
        <v>0</v>
      </c>
      <c r="H922" s="5" t="e">
        <f ca="1">_xlfn.FORMULATEXT(표1[[#This Row],[Q''ty]])</f>
        <v>#N/A</v>
      </c>
    </row>
    <row r="923" spans="1:8" ht="15" hidden="1" customHeight="1" x14ac:dyDescent="0.4">
      <c r="A923" s="6">
        <v>2026</v>
      </c>
      <c r="B923" s="6">
        <f t="shared" si="107"/>
        <v>10</v>
      </c>
      <c r="C923" s="13" t="s">
        <v>18</v>
      </c>
      <c r="D923" s="2" t="s">
        <v>12</v>
      </c>
      <c r="E923" s="14" t="str">
        <f t="shared" si="110"/>
        <v>Bending</v>
      </c>
      <c r="F923" s="22">
        <v>26</v>
      </c>
      <c r="H923" s="5" t="e">
        <f ca="1">_xlfn.FORMULATEXT(표1[[#This Row],[Q''ty]])</f>
        <v>#N/A</v>
      </c>
    </row>
    <row r="924" spans="1:8" ht="15" hidden="1" customHeight="1" x14ac:dyDescent="0.4">
      <c r="A924" s="6">
        <v>2026</v>
      </c>
      <c r="B924" s="6">
        <f t="shared" si="107"/>
        <v>10</v>
      </c>
      <c r="C924" s="13" t="s">
        <v>18</v>
      </c>
      <c r="D924" s="2" t="s">
        <v>12</v>
      </c>
      <c r="E924" s="14" t="str">
        <f t="shared" si="110"/>
        <v>L/W</v>
      </c>
      <c r="F924" s="22">
        <v>27</v>
      </c>
      <c r="H924" s="5" t="e">
        <f ca="1">_xlfn.FORMULATEXT(표1[[#This Row],[Q''ty]])</f>
        <v>#N/A</v>
      </c>
    </row>
    <row r="925" spans="1:8" ht="15" hidden="1" customHeight="1" thickBot="1" x14ac:dyDescent="0.45">
      <c r="A925" s="15">
        <v>2026</v>
      </c>
      <c r="B925" s="15">
        <f t="shared" si="107"/>
        <v>10</v>
      </c>
      <c r="C925" s="16" t="s">
        <v>18</v>
      </c>
      <c r="D925" s="17" t="s">
        <v>12</v>
      </c>
      <c r="E925" s="18" t="str">
        <f t="shared" si="110"/>
        <v>C/W</v>
      </c>
      <c r="F925" s="23">
        <v>23.5</v>
      </c>
      <c r="H925" s="5" t="e">
        <f ca="1">_xlfn.FORMULATEXT(표1[[#This Row],[Q''ty]])</f>
        <v>#N/A</v>
      </c>
    </row>
    <row r="926" spans="1:8" ht="15" hidden="1" customHeight="1" thickTop="1" x14ac:dyDescent="0.4">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hidden="1" customHeight="1" x14ac:dyDescent="0.4">
      <c r="A927" s="6">
        <v>2026</v>
      </c>
      <c r="B927" s="6">
        <f t="shared" si="107"/>
        <v>10</v>
      </c>
      <c r="C927" s="13" t="s">
        <v>19</v>
      </c>
      <c r="D927" s="2" t="s">
        <v>6</v>
      </c>
      <c r="E927" s="14" t="str">
        <f t="shared" si="110"/>
        <v>Paint Booth</v>
      </c>
      <c r="F927" s="22">
        <f t="shared" si="111"/>
        <v>22</v>
      </c>
      <c r="H927" s="5" t="str">
        <f ca="1">_xlfn.FORMULATEXT(표1[[#This Row],[Q''ty]])</f>
        <v>=F828</v>
      </c>
    </row>
    <row r="928" spans="1:8" ht="15" hidden="1" customHeight="1" x14ac:dyDescent="0.4">
      <c r="A928" s="6">
        <v>2026</v>
      </c>
      <c r="B928" s="6">
        <f t="shared" si="107"/>
        <v>10</v>
      </c>
      <c r="C928" s="13" t="s">
        <v>19</v>
      </c>
      <c r="D928" s="2" t="s">
        <v>6</v>
      </c>
      <c r="E928" s="14" t="str">
        <f t="shared" si="110"/>
        <v>Paint Line</v>
      </c>
      <c r="F928" s="22">
        <f t="shared" si="111"/>
        <v>6</v>
      </c>
      <c r="H928" s="5" t="str">
        <f ca="1">_xlfn.FORMULATEXT(표1[[#This Row],[Q''ty]])</f>
        <v>=F829</v>
      </c>
    </row>
    <row r="929" spans="1:10" ht="15" hidden="1" customHeight="1" x14ac:dyDescent="0.4">
      <c r="A929" s="6">
        <v>2026</v>
      </c>
      <c r="B929" s="6">
        <f t="shared" si="107"/>
        <v>10</v>
      </c>
      <c r="C929" s="13" t="s">
        <v>19</v>
      </c>
      <c r="D929" s="2" t="s">
        <v>6</v>
      </c>
      <c r="E929" s="14" t="str">
        <f t="shared" si="110"/>
        <v>Roll Bending Machine</v>
      </c>
      <c r="F929" s="22">
        <f t="shared" si="111"/>
        <v>4</v>
      </c>
      <c r="H929" s="5" t="str">
        <f ca="1">_xlfn.FORMULATEXT(표1[[#This Row],[Q''ty]])</f>
        <v>=F830</v>
      </c>
    </row>
    <row r="930" spans="1:10" ht="15" hidden="1" customHeight="1" x14ac:dyDescent="0.4">
      <c r="A930" s="6">
        <v>2026</v>
      </c>
      <c r="B930" s="6">
        <f t="shared" si="107"/>
        <v>10</v>
      </c>
      <c r="C930" s="13" t="s">
        <v>19</v>
      </c>
      <c r="D930" s="2" t="s">
        <v>6</v>
      </c>
      <c r="E930" s="14" t="str">
        <f t="shared" si="110"/>
        <v>L/W Machine</v>
      </c>
      <c r="F930" s="22">
        <f t="shared" si="111"/>
        <v>10</v>
      </c>
      <c r="H930" s="5" t="str">
        <f ca="1">_xlfn.FORMULATEXT(표1[[#This Row],[Q''ty]])</f>
        <v>=F831</v>
      </c>
    </row>
    <row r="931" spans="1:10" ht="15" hidden="1" customHeight="1" x14ac:dyDescent="0.4">
      <c r="A931" s="6">
        <v>2026</v>
      </c>
      <c r="B931" s="6">
        <f t="shared" si="107"/>
        <v>10</v>
      </c>
      <c r="C931" s="13" t="s">
        <v>19</v>
      </c>
      <c r="D931" s="2" t="s">
        <v>6</v>
      </c>
      <c r="E931" s="14" t="str">
        <f t="shared" si="110"/>
        <v>C/W Machine</v>
      </c>
      <c r="F931" s="22">
        <f t="shared" si="111"/>
        <v>12</v>
      </c>
      <c r="H931" s="5" t="str">
        <f ca="1">_xlfn.FORMULATEXT(표1[[#This Row],[Q''ty]])</f>
        <v>=F832</v>
      </c>
    </row>
    <row r="932" spans="1:10" ht="15" hidden="1" customHeight="1" x14ac:dyDescent="0.4">
      <c r="A932" s="6">
        <v>2026</v>
      </c>
      <c r="B932" s="6">
        <f t="shared" si="107"/>
        <v>10</v>
      </c>
      <c r="C932" s="13" t="s">
        <v>19</v>
      </c>
      <c r="D932" s="2" t="s">
        <v>12</v>
      </c>
      <c r="E932" s="14" t="str">
        <f t="shared" si="110"/>
        <v>BT GT</v>
      </c>
      <c r="F932" s="22">
        <v>34</v>
      </c>
      <c r="H932" s="5" t="e">
        <f ca="1">_xlfn.FORMULATEXT(표1[[#This Row],[Q''ty]])</f>
        <v>#N/A</v>
      </c>
    </row>
    <row r="933" spans="1:10" ht="15" hidden="1" customHeight="1" x14ac:dyDescent="0.4">
      <c r="A933" s="6">
        <v>2026</v>
      </c>
      <c r="B933" s="6">
        <f t="shared" si="107"/>
        <v>10</v>
      </c>
      <c r="C933" s="13" t="s">
        <v>19</v>
      </c>
      <c r="D933" s="2" t="s">
        <v>12</v>
      </c>
      <c r="E933" s="14" t="str">
        <f t="shared" si="110"/>
        <v>WT GT</v>
      </c>
      <c r="F933" s="22">
        <v>36</v>
      </c>
      <c r="H933" s="5" t="e">
        <f ca="1">_xlfn.FORMULATEXT(표1[[#This Row],[Q''ty]])</f>
        <v>#N/A</v>
      </c>
    </row>
    <row r="934" spans="1:10" ht="15" hidden="1" customHeight="1" x14ac:dyDescent="0.4">
      <c r="A934" s="6">
        <v>2026</v>
      </c>
      <c r="B934" s="6">
        <f t="shared" si="107"/>
        <v>10</v>
      </c>
      <c r="C934" s="13" t="s">
        <v>19</v>
      </c>
      <c r="D934" s="2" t="s">
        <v>12</v>
      </c>
      <c r="E934" s="14" t="str">
        <f t="shared" si="110"/>
        <v>Bending</v>
      </c>
      <c r="F934" s="22">
        <v>257</v>
      </c>
      <c r="H934" s="5" t="e">
        <f ca="1">_xlfn.FORMULATEXT(표1[[#This Row],[Q''ty]])</f>
        <v>#N/A</v>
      </c>
    </row>
    <row r="935" spans="1:10" ht="15" hidden="1" customHeight="1" x14ac:dyDescent="0.4">
      <c r="A935" s="6">
        <v>2026</v>
      </c>
      <c r="B935" s="6">
        <f t="shared" si="107"/>
        <v>10</v>
      </c>
      <c r="C935" s="13" t="s">
        <v>19</v>
      </c>
      <c r="D935" s="2" t="s">
        <v>12</v>
      </c>
      <c r="E935" s="14" t="str">
        <f t="shared" si="110"/>
        <v>L/W</v>
      </c>
      <c r="F935" s="22">
        <v>257</v>
      </c>
      <c r="H935" s="5" t="e">
        <f ca="1">_xlfn.FORMULATEXT(표1[[#This Row],[Q''ty]])</f>
        <v>#N/A</v>
      </c>
    </row>
    <row r="936" spans="1:10" ht="15" hidden="1" customHeight="1" thickBot="1" x14ac:dyDescent="0.45">
      <c r="A936" s="15">
        <v>2026</v>
      </c>
      <c r="B936" s="15">
        <f t="shared" si="107"/>
        <v>10</v>
      </c>
      <c r="C936" s="16" t="s">
        <v>19</v>
      </c>
      <c r="D936" s="17" t="s">
        <v>12</v>
      </c>
      <c r="E936" s="18" t="str">
        <f t="shared" si="110"/>
        <v>C/W</v>
      </c>
      <c r="F936" s="23">
        <v>306.23</v>
      </c>
      <c r="H936" s="5" t="e">
        <f ca="1">_xlfn.FORMULATEXT(표1[[#This Row],[Q''ty]])</f>
        <v>#N/A</v>
      </c>
      <c r="I936" s="27"/>
      <c r="J936" s="27"/>
    </row>
    <row r="937" spans="1:10" ht="15" hidden="1" customHeight="1" thickTop="1" x14ac:dyDescent="0.4">
      <c r="A937" s="6">
        <v>2026</v>
      </c>
      <c r="B937" s="6">
        <f t="shared" si="107"/>
        <v>10</v>
      </c>
      <c r="C937" s="13" t="s">
        <v>25</v>
      </c>
      <c r="D937" s="2" t="s">
        <v>6</v>
      </c>
      <c r="E937" s="14" t="s">
        <v>7</v>
      </c>
      <c r="F937" s="22">
        <f t="shared" ref="F937:F942" si="112">F838</f>
        <v>3</v>
      </c>
      <c r="H937" s="5" t="str">
        <f ca="1">_xlfn.FORMULATEXT(표1[[#This Row],[Q''ty]])</f>
        <v>=F838</v>
      </c>
    </row>
    <row r="938" spans="1:10" ht="15" hidden="1" customHeight="1" x14ac:dyDescent="0.4">
      <c r="A938" s="6">
        <v>2026</v>
      </c>
      <c r="B938" s="6">
        <f t="shared" si="107"/>
        <v>10</v>
      </c>
      <c r="C938" s="13" t="s">
        <v>25</v>
      </c>
      <c r="D938" s="2" t="s">
        <v>6</v>
      </c>
      <c r="E938" s="14" t="s">
        <v>8</v>
      </c>
      <c r="F938" s="22">
        <f t="shared" si="112"/>
        <v>3</v>
      </c>
      <c r="H938" s="5" t="str">
        <f ca="1">_xlfn.FORMULATEXT(표1[[#This Row],[Q''ty]])</f>
        <v>=F839</v>
      </c>
    </row>
    <row r="939" spans="1:10" ht="15" hidden="1" customHeight="1" x14ac:dyDescent="0.4">
      <c r="A939" s="6">
        <v>2026</v>
      </c>
      <c r="B939" s="6">
        <f t="shared" si="107"/>
        <v>10</v>
      </c>
      <c r="C939" s="13" t="s">
        <v>25</v>
      </c>
      <c r="D939" s="2" t="s">
        <v>6</v>
      </c>
      <c r="E939" s="14" t="s">
        <v>9</v>
      </c>
      <c r="F939" s="22">
        <f t="shared" si="112"/>
        <v>2</v>
      </c>
      <c r="H939" s="5" t="str">
        <f ca="1">_xlfn.FORMULATEXT(표1[[#This Row],[Q''ty]])</f>
        <v>=F840</v>
      </c>
    </row>
    <row r="940" spans="1:10" ht="15" hidden="1" customHeight="1" x14ac:dyDescent="0.4">
      <c r="A940" s="6">
        <v>2026</v>
      </c>
      <c r="B940" s="6">
        <f t="shared" si="107"/>
        <v>10</v>
      </c>
      <c r="C940" s="13" t="s">
        <v>25</v>
      </c>
      <c r="D940" s="2" t="s">
        <v>6</v>
      </c>
      <c r="E940" s="14" t="s">
        <v>27</v>
      </c>
      <c r="F940" s="22">
        <f t="shared" si="112"/>
        <v>2</v>
      </c>
      <c r="H940" s="5" t="str">
        <f ca="1">_xlfn.FORMULATEXT(표1[[#This Row],[Q''ty]])</f>
        <v>=F841</v>
      </c>
    </row>
    <row r="941" spans="1:10" ht="15" hidden="1" customHeight="1" x14ac:dyDescent="0.4">
      <c r="A941" s="6">
        <v>2026</v>
      </c>
      <c r="B941" s="6">
        <f t="shared" si="107"/>
        <v>10</v>
      </c>
      <c r="C941" s="13" t="s">
        <v>25</v>
      </c>
      <c r="D941" s="2" t="s">
        <v>6</v>
      </c>
      <c r="E941" s="14" t="s">
        <v>10</v>
      </c>
      <c r="F941" s="22">
        <f t="shared" si="112"/>
        <v>3</v>
      </c>
      <c r="H941" s="5" t="str">
        <f ca="1">_xlfn.FORMULATEXT(표1[[#This Row],[Q''ty]])</f>
        <v>=F842</v>
      </c>
    </row>
    <row r="942" spans="1:10" ht="15" hidden="1" customHeight="1" x14ac:dyDescent="0.4">
      <c r="A942" s="6">
        <v>2026</v>
      </c>
      <c r="B942" s="6">
        <f t="shared" si="107"/>
        <v>10</v>
      </c>
      <c r="C942" s="13" t="s">
        <v>25</v>
      </c>
      <c r="D942" s="2" t="s">
        <v>6</v>
      </c>
      <c r="E942" s="14" t="s">
        <v>11</v>
      </c>
      <c r="F942" s="22">
        <f t="shared" si="112"/>
        <v>4</v>
      </c>
      <c r="H942" s="5" t="str">
        <f ca="1">_xlfn.FORMULATEXT(표1[[#This Row],[Q''ty]])</f>
        <v>=F843</v>
      </c>
    </row>
    <row r="943" spans="1:10" ht="15" hidden="1" customHeight="1" x14ac:dyDescent="0.4">
      <c r="A943" s="6">
        <v>2026</v>
      </c>
      <c r="B943" s="6">
        <f t="shared" si="107"/>
        <v>10</v>
      </c>
      <c r="C943" s="13" t="s">
        <v>25</v>
      </c>
      <c r="D943" s="2" t="s">
        <v>12</v>
      </c>
      <c r="E943" s="14" t="s">
        <v>13</v>
      </c>
      <c r="F943" s="22">
        <v>0</v>
      </c>
      <c r="H943" s="5" t="e">
        <f ca="1">_xlfn.FORMULATEXT(표1[[#This Row],[Q''ty]])</f>
        <v>#N/A</v>
      </c>
    </row>
    <row r="944" spans="1:10" ht="15" hidden="1" customHeight="1" x14ac:dyDescent="0.4">
      <c r="A944" s="6">
        <v>2026</v>
      </c>
      <c r="B944" s="6">
        <f t="shared" si="107"/>
        <v>10</v>
      </c>
      <c r="C944" s="13" t="s">
        <v>25</v>
      </c>
      <c r="D944" s="2" t="s">
        <v>12</v>
      </c>
      <c r="E944" s="14" t="s">
        <v>14</v>
      </c>
      <c r="F944" s="22">
        <v>0</v>
      </c>
      <c r="H944" s="5" t="e">
        <f ca="1">_xlfn.FORMULATEXT(표1[[#This Row],[Q''ty]])</f>
        <v>#N/A</v>
      </c>
    </row>
    <row r="945" spans="1:8" ht="15" hidden="1" customHeight="1" x14ac:dyDescent="0.4">
      <c r="A945" s="6">
        <v>2026</v>
      </c>
      <c r="B945" s="6">
        <f t="shared" si="107"/>
        <v>10</v>
      </c>
      <c r="C945" s="13" t="s">
        <v>25</v>
      </c>
      <c r="D945" s="2" t="s">
        <v>12</v>
      </c>
      <c r="E945" s="14" t="s">
        <v>15</v>
      </c>
      <c r="F945" s="22">
        <v>0</v>
      </c>
      <c r="H945" s="5" t="e">
        <f ca="1">_xlfn.FORMULATEXT(표1[[#This Row],[Q''ty]])</f>
        <v>#N/A</v>
      </c>
    </row>
    <row r="946" spans="1:8" ht="15" hidden="1" customHeight="1" x14ac:dyDescent="0.4">
      <c r="A946" s="6">
        <v>2026</v>
      </c>
      <c r="B946" s="6">
        <f t="shared" si="107"/>
        <v>10</v>
      </c>
      <c r="C946" s="13" t="s">
        <v>25</v>
      </c>
      <c r="D946" s="2" t="s">
        <v>12</v>
      </c>
      <c r="E946" s="14" t="s">
        <v>16</v>
      </c>
      <c r="F946" s="22">
        <v>0</v>
      </c>
      <c r="H946" s="5" t="e">
        <f ca="1">_xlfn.FORMULATEXT(표1[[#This Row],[Q''ty]])</f>
        <v>#N/A</v>
      </c>
    </row>
    <row r="947" spans="1:8" ht="15" hidden="1" customHeight="1" thickBot="1" x14ac:dyDescent="0.45">
      <c r="A947" s="15">
        <v>2026</v>
      </c>
      <c r="B947" s="15">
        <f t="shared" si="107"/>
        <v>10</v>
      </c>
      <c r="C947" s="16" t="s">
        <v>25</v>
      </c>
      <c r="D947" s="17" t="s">
        <v>12</v>
      </c>
      <c r="E947" s="18" t="s">
        <v>17</v>
      </c>
      <c r="F947" s="23">
        <v>0</v>
      </c>
      <c r="H947" s="5" t="e">
        <f ca="1">_xlfn.FORMULATEXT(표1[[#This Row],[Q''ty]])</f>
        <v>#N/A</v>
      </c>
    </row>
    <row r="948" spans="1:8" ht="15" hidden="1" customHeight="1" thickTop="1" x14ac:dyDescent="0.4">
      <c r="A948" s="6">
        <v>2026</v>
      </c>
      <c r="B948" s="6">
        <f t="shared" si="107"/>
        <v>10</v>
      </c>
      <c r="C948" s="13" t="s">
        <v>26</v>
      </c>
      <c r="D948" s="2" t="s">
        <v>6</v>
      </c>
      <c r="E948" s="14" t="s">
        <v>7</v>
      </c>
      <c r="F948" s="22">
        <f t="shared" ref="F948:F953" si="113">F849</f>
        <v>6</v>
      </c>
      <c r="H948" s="5" t="str">
        <f ca="1">_xlfn.FORMULATEXT(표1[[#This Row],[Q''ty]])</f>
        <v>=F849</v>
      </c>
    </row>
    <row r="949" spans="1:8" ht="15" hidden="1" customHeight="1" x14ac:dyDescent="0.4">
      <c r="A949" s="6">
        <v>2026</v>
      </c>
      <c r="B949" s="6">
        <f t="shared" si="107"/>
        <v>10</v>
      </c>
      <c r="C949" s="13" t="s">
        <v>26</v>
      </c>
      <c r="D949" s="2" t="s">
        <v>6</v>
      </c>
      <c r="E949" s="14" t="s">
        <v>8</v>
      </c>
      <c r="F949" s="22">
        <f t="shared" si="113"/>
        <v>4</v>
      </c>
      <c r="H949" s="5" t="str">
        <f ca="1">_xlfn.FORMULATEXT(표1[[#This Row],[Q''ty]])</f>
        <v>=F850</v>
      </c>
    </row>
    <row r="950" spans="1:8" ht="15" hidden="1" customHeight="1" x14ac:dyDescent="0.4">
      <c r="A950" s="6">
        <v>2026</v>
      </c>
      <c r="B950" s="6">
        <f t="shared" si="107"/>
        <v>10</v>
      </c>
      <c r="C950" s="13" t="s">
        <v>26</v>
      </c>
      <c r="D950" s="2" t="s">
        <v>6</v>
      </c>
      <c r="E950" s="14" t="s">
        <v>9</v>
      </c>
      <c r="F950" s="22">
        <f t="shared" si="113"/>
        <v>2</v>
      </c>
      <c r="H950" s="5" t="str">
        <f ca="1">_xlfn.FORMULATEXT(표1[[#This Row],[Q''ty]])</f>
        <v>=F851</v>
      </c>
    </row>
    <row r="951" spans="1:8" ht="15" hidden="1" customHeight="1" x14ac:dyDescent="0.4">
      <c r="A951" s="6">
        <v>2026</v>
      </c>
      <c r="B951" s="6">
        <f t="shared" si="107"/>
        <v>10</v>
      </c>
      <c r="C951" s="13" t="s">
        <v>26</v>
      </c>
      <c r="D951" s="2" t="s">
        <v>6</v>
      </c>
      <c r="E951" s="14" t="s">
        <v>27</v>
      </c>
      <c r="F951" s="22">
        <f t="shared" si="113"/>
        <v>3</v>
      </c>
      <c r="H951" s="5" t="str">
        <f ca="1">_xlfn.FORMULATEXT(표1[[#This Row],[Q''ty]])</f>
        <v>=F852</v>
      </c>
    </row>
    <row r="952" spans="1:8" ht="15" hidden="1" customHeight="1" x14ac:dyDescent="0.4">
      <c r="A952" s="6">
        <v>2026</v>
      </c>
      <c r="B952" s="6">
        <f t="shared" si="107"/>
        <v>10</v>
      </c>
      <c r="C952" s="13" t="s">
        <v>26</v>
      </c>
      <c r="D952" s="2" t="s">
        <v>6</v>
      </c>
      <c r="E952" s="14" t="s">
        <v>10</v>
      </c>
      <c r="F952" s="22">
        <f t="shared" si="113"/>
        <v>4</v>
      </c>
      <c r="H952" s="5" t="str">
        <f ca="1">_xlfn.FORMULATEXT(표1[[#This Row],[Q''ty]])</f>
        <v>=F853</v>
      </c>
    </row>
    <row r="953" spans="1:8" ht="15" hidden="1" customHeight="1" x14ac:dyDescent="0.4">
      <c r="A953" s="6">
        <v>2026</v>
      </c>
      <c r="B953" s="6">
        <f t="shared" si="107"/>
        <v>10</v>
      </c>
      <c r="C953" s="13" t="s">
        <v>26</v>
      </c>
      <c r="D953" s="2" t="s">
        <v>6</v>
      </c>
      <c r="E953" s="14" t="s">
        <v>11</v>
      </c>
      <c r="F953" s="22">
        <f t="shared" si="113"/>
        <v>6</v>
      </c>
      <c r="H953" s="5" t="str">
        <f ca="1">_xlfn.FORMULATEXT(표1[[#This Row],[Q''ty]])</f>
        <v>=F854</v>
      </c>
    </row>
    <row r="954" spans="1:8" ht="15" hidden="1" customHeight="1" x14ac:dyDescent="0.4">
      <c r="A954" s="6">
        <v>2026</v>
      </c>
      <c r="B954" s="6">
        <f t="shared" si="107"/>
        <v>10</v>
      </c>
      <c r="C954" s="13" t="s">
        <v>26</v>
      </c>
      <c r="D954" s="2" t="s">
        <v>12</v>
      </c>
      <c r="E954" s="14" t="str">
        <f t="shared" ref="E954:E991" si="114">E855</f>
        <v>BT GT</v>
      </c>
      <c r="F954" s="22">
        <v>25</v>
      </c>
      <c r="H954" s="5" t="e">
        <f ca="1">_xlfn.FORMULATEXT(표1[[#This Row],[Q''ty]])</f>
        <v>#N/A</v>
      </c>
    </row>
    <row r="955" spans="1:8" ht="15" hidden="1" customHeight="1" x14ac:dyDescent="0.4">
      <c r="A955" s="6">
        <v>2026</v>
      </c>
      <c r="B955" s="6">
        <f t="shared" si="107"/>
        <v>10</v>
      </c>
      <c r="C955" s="13" t="s">
        <v>26</v>
      </c>
      <c r="D955" s="2" t="s">
        <v>12</v>
      </c>
      <c r="E955" s="14" t="str">
        <f t="shared" si="114"/>
        <v>WT GT</v>
      </c>
      <c r="F955" s="22">
        <v>20</v>
      </c>
      <c r="H955" s="5" t="e">
        <f ca="1">_xlfn.FORMULATEXT(표1[[#This Row],[Q''ty]])</f>
        <v>#N/A</v>
      </c>
    </row>
    <row r="956" spans="1:8" ht="15" hidden="1" customHeight="1" x14ac:dyDescent="0.4">
      <c r="A956" s="6">
        <v>2026</v>
      </c>
      <c r="B956" s="6">
        <f t="shared" si="107"/>
        <v>10</v>
      </c>
      <c r="C956" s="13" t="s">
        <v>26</v>
      </c>
      <c r="D956" s="2" t="s">
        <v>12</v>
      </c>
      <c r="E956" s="14" t="str">
        <f t="shared" si="114"/>
        <v>Bending</v>
      </c>
      <c r="F956" s="22">
        <v>233</v>
      </c>
      <c r="H956" s="5" t="e">
        <f ca="1">_xlfn.FORMULATEXT(표1[[#This Row],[Q''ty]])</f>
        <v>#N/A</v>
      </c>
    </row>
    <row r="957" spans="1:8" ht="15" hidden="1" customHeight="1" x14ac:dyDescent="0.4">
      <c r="A957" s="6">
        <v>2026</v>
      </c>
      <c r="B957" s="6">
        <f t="shared" si="107"/>
        <v>10</v>
      </c>
      <c r="C957" s="13" t="s">
        <v>26</v>
      </c>
      <c r="D957" s="2" t="s">
        <v>12</v>
      </c>
      <c r="E957" s="14" t="str">
        <f t="shared" si="114"/>
        <v>L/W</v>
      </c>
      <c r="F957" s="22">
        <v>234</v>
      </c>
      <c r="H957" s="5" t="e">
        <f ca="1">_xlfn.FORMULATEXT(표1[[#This Row],[Q''ty]])</f>
        <v>#N/A</v>
      </c>
    </row>
    <row r="958" spans="1:8" ht="15" hidden="1" customHeight="1" thickBot="1" x14ac:dyDescent="0.45">
      <c r="A958" s="15">
        <v>2026</v>
      </c>
      <c r="B958" s="15">
        <f t="shared" ref="B958:B991" si="115">B859+1</f>
        <v>10</v>
      </c>
      <c r="C958" s="16" t="s">
        <v>26</v>
      </c>
      <c r="D958" s="17" t="s">
        <v>12</v>
      </c>
      <c r="E958" s="18" t="str">
        <f t="shared" si="114"/>
        <v>C/W</v>
      </c>
      <c r="F958" s="23">
        <v>280</v>
      </c>
      <c r="H958" s="5" t="e">
        <f ca="1">_xlfn.FORMULATEXT(표1[[#This Row],[Q''ty]])</f>
        <v>#N/A</v>
      </c>
    </row>
    <row r="959" spans="1:8" ht="15" hidden="1" customHeight="1" thickTop="1" x14ac:dyDescent="0.4">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hidden="1" customHeight="1" x14ac:dyDescent="0.4">
      <c r="A960" s="6">
        <v>2026</v>
      </c>
      <c r="B960" s="6">
        <f t="shared" si="115"/>
        <v>10</v>
      </c>
      <c r="C960" s="13" t="s">
        <v>20</v>
      </c>
      <c r="D960" s="2" t="s">
        <v>6</v>
      </c>
      <c r="E960" s="14" t="str">
        <f t="shared" si="114"/>
        <v>Paint Booth</v>
      </c>
      <c r="F960" s="22">
        <f t="shared" si="116"/>
        <v>16</v>
      </c>
      <c r="H960" s="5" t="str">
        <f ca="1">_xlfn.FORMULATEXT(표1[[#This Row],[Q''ty]])</f>
        <v>=F861</v>
      </c>
    </row>
    <row r="961" spans="1:8" ht="15" hidden="1" customHeight="1" x14ac:dyDescent="0.4">
      <c r="A961" s="6">
        <v>2026</v>
      </c>
      <c r="B961" s="6">
        <f t="shared" si="115"/>
        <v>10</v>
      </c>
      <c r="C961" s="13" t="s">
        <v>20</v>
      </c>
      <c r="D961" s="2" t="s">
        <v>6</v>
      </c>
      <c r="E961" s="14" t="str">
        <f t="shared" si="114"/>
        <v>Paint Line</v>
      </c>
      <c r="F961" s="22">
        <f t="shared" si="116"/>
        <v>8</v>
      </c>
      <c r="H961" s="5" t="str">
        <f ca="1">_xlfn.FORMULATEXT(표1[[#This Row],[Q''ty]])</f>
        <v>=F862</v>
      </c>
    </row>
    <row r="962" spans="1:8" ht="15" hidden="1" customHeight="1" x14ac:dyDescent="0.4">
      <c r="A962" s="6">
        <v>2026</v>
      </c>
      <c r="B962" s="6">
        <f t="shared" si="115"/>
        <v>10</v>
      </c>
      <c r="C962" s="13" t="s">
        <v>20</v>
      </c>
      <c r="D962" s="2" t="s">
        <v>6</v>
      </c>
      <c r="E962" s="14" t="str">
        <f t="shared" si="114"/>
        <v>Roll Bending Machine</v>
      </c>
      <c r="F962" s="22">
        <f t="shared" si="116"/>
        <v>6</v>
      </c>
      <c r="H962" s="5" t="str">
        <f ca="1">_xlfn.FORMULATEXT(표1[[#This Row],[Q''ty]])</f>
        <v>=F863</v>
      </c>
    </row>
    <row r="963" spans="1:8" ht="15" hidden="1" customHeight="1" x14ac:dyDescent="0.4">
      <c r="A963" s="6">
        <v>2026</v>
      </c>
      <c r="B963" s="6">
        <f t="shared" si="115"/>
        <v>10</v>
      </c>
      <c r="C963" s="13" t="s">
        <v>20</v>
      </c>
      <c r="D963" s="2" t="s">
        <v>6</v>
      </c>
      <c r="E963" s="14" t="str">
        <f t="shared" si="114"/>
        <v>L/W Machine</v>
      </c>
      <c r="F963" s="22">
        <f t="shared" si="116"/>
        <v>11</v>
      </c>
      <c r="H963" s="5" t="str">
        <f ca="1">_xlfn.FORMULATEXT(표1[[#This Row],[Q''ty]])</f>
        <v>=F864</v>
      </c>
    </row>
    <row r="964" spans="1:8" ht="15" hidden="1" customHeight="1" x14ac:dyDescent="0.4">
      <c r="A964" s="6">
        <v>2026</v>
      </c>
      <c r="B964" s="6">
        <f t="shared" si="115"/>
        <v>10</v>
      </c>
      <c r="C964" s="13" t="s">
        <v>20</v>
      </c>
      <c r="D964" s="2" t="s">
        <v>6</v>
      </c>
      <c r="E964" s="14" t="str">
        <f t="shared" si="114"/>
        <v>C/W Machine</v>
      </c>
      <c r="F964" s="22">
        <f t="shared" si="116"/>
        <v>15</v>
      </c>
      <c r="H964" s="5" t="str">
        <f ca="1">_xlfn.FORMULATEXT(표1[[#This Row],[Q''ty]])</f>
        <v>=F865</v>
      </c>
    </row>
    <row r="965" spans="1:8" ht="15" hidden="1" customHeight="1" x14ac:dyDescent="0.4">
      <c r="A965" s="6">
        <v>2026</v>
      </c>
      <c r="B965" s="6">
        <f t="shared" si="115"/>
        <v>10</v>
      </c>
      <c r="C965" s="13" t="s">
        <v>20</v>
      </c>
      <c r="D965" s="2" t="s">
        <v>12</v>
      </c>
      <c r="E965" s="14" t="str">
        <f t="shared" si="114"/>
        <v>BT GT</v>
      </c>
      <c r="F965" s="22">
        <v>74</v>
      </c>
      <c r="H965" s="5" t="e">
        <f ca="1">_xlfn.FORMULATEXT(표1[[#This Row],[Q''ty]])</f>
        <v>#N/A</v>
      </c>
    </row>
    <row r="966" spans="1:8" ht="15" hidden="1" customHeight="1" x14ac:dyDescent="0.4">
      <c r="A966" s="6">
        <v>2026</v>
      </c>
      <c r="B966" s="6">
        <f t="shared" si="115"/>
        <v>10</v>
      </c>
      <c r="C966" s="13" t="s">
        <v>20</v>
      </c>
      <c r="D966" s="2" t="s">
        <v>12</v>
      </c>
      <c r="E966" s="14" t="str">
        <f t="shared" si="114"/>
        <v>WT GT</v>
      </c>
      <c r="F966" s="22">
        <v>80</v>
      </c>
      <c r="H966" s="5" t="e">
        <f ca="1">_xlfn.FORMULATEXT(표1[[#This Row],[Q''ty]])</f>
        <v>#N/A</v>
      </c>
    </row>
    <row r="967" spans="1:8" ht="15" hidden="1" customHeight="1" x14ac:dyDescent="0.4">
      <c r="A967" s="6">
        <v>2026</v>
      </c>
      <c r="B967" s="6">
        <f t="shared" si="115"/>
        <v>10</v>
      </c>
      <c r="C967" s="13" t="s">
        <v>20</v>
      </c>
      <c r="D967" s="2" t="s">
        <v>12</v>
      </c>
      <c r="E967" s="14" t="str">
        <f t="shared" si="114"/>
        <v>Bending</v>
      </c>
      <c r="F967" s="22">
        <v>627</v>
      </c>
      <c r="H967" s="5" t="e">
        <f ca="1">_xlfn.FORMULATEXT(표1[[#This Row],[Q''ty]])</f>
        <v>#N/A</v>
      </c>
    </row>
    <row r="968" spans="1:8" ht="15" hidden="1" customHeight="1" x14ac:dyDescent="0.4">
      <c r="A968" s="6">
        <v>2026</v>
      </c>
      <c r="B968" s="6">
        <f t="shared" si="115"/>
        <v>10</v>
      </c>
      <c r="C968" s="13" t="s">
        <v>20</v>
      </c>
      <c r="D968" s="2" t="s">
        <v>12</v>
      </c>
      <c r="E968" s="14" t="str">
        <f t="shared" si="114"/>
        <v>L/W</v>
      </c>
      <c r="F968" s="22">
        <v>637</v>
      </c>
      <c r="H968" s="5" t="e">
        <f ca="1">_xlfn.FORMULATEXT(표1[[#This Row],[Q''ty]])</f>
        <v>#N/A</v>
      </c>
    </row>
    <row r="969" spans="1:8" ht="15" hidden="1" customHeight="1" thickBot="1" x14ac:dyDescent="0.45">
      <c r="A969" s="15">
        <v>2026</v>
      </c>
      <c r="B969" s="15">
        <f t="shared" si="115"/>
        <v>10</v>
      </c>
      <c r="C969" s="16" t="s">
        <v>20</v>
      </c>
      <c r="D969" s="17" t="s">
        <v>12</v>
      </c>
      <c r="E969" s="18" t="str">
        <f t="shared" si="114"/>
        <v>C/W</v>
      </c>
      <c r="F969" s="23">
        <v>595</v>
      </c>
      <c r="H969" s="5" t="e">
        <f ca="1">_xlfn.FORMULATEXT(표1[[#This Row],[Q''ty]])</f>
        <v>#N/A</v>
      </c>
    </row>
    <row r="970" spans="1:8" ht="15" hidden="1" customHeight="1" thickTop="1" x14ac:dyDescent="0.4">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hidden="1" customHeight="1" x14ac:dyDescent="0.4">
      <c r="A971" s="6">
        <v>2026</v>
      </c>
      <c r="B971" s="6">
        <f t="shared" si="115"/>
        <v>10</v>
      </c>
      <c r="C971" s="13" t="s">
        <v>21</v>
      </c>
      <c r="D971" s="2" t="s">
        <v>6</v>
      </c>
      <c r="E971" s="14" t="str">
        <f t="shared" si="114"/>
        <v>Paint Booth</v>
      </c>
      <c r="F971" s="22">
        <f t="shared" si="117"/>
        <v>4</v>
      </c>
      <c r="H971" s="5" t="str">
        <f ca="1">_xlfn.FORMULATEXT(표1[[#This Row],[Q''ty]])</f>
        <v>=F872</v>
      </c>
    </row>
    <row r="972" spans="1:8" ht="15" hidden="1" customHeight="1" x14ac:dyDescent="0.4">
      <c r="A972" s="6">
        <v>2026</v>
      </c>
      <c r="B972" s="6">
        <f t="shared" si="115"/>
        <v>10</v>
      </c>
      <c r="C972" s="13" t="s">
        <v>21</v>
      </c>
      <c r="D972" s="2" t="s">
        <v>6</v>
      </c>
      <c r="E972" s="14" t="str">
        <f t="shared" si="114"/>
        <v>Paint Line</v>
      </c>
      <c r="F972" s="22">
        <f t="shared" si="117"/>
        <v>4</v>
      </c>
      <c r="H972" s="5" t="str">
        <f ca="1">_xlfn.FORMULATEXT(표1[[#This Row],[Q''ty]])</f>
        <v>=F873</v>
      </c>
    </row>
    <row r="973" spans="1:8" ht="15" hidden="1" customHeight="1" x14ac:dyDescent="0.4">
      <c r="A973" s="6">
        <v>2026</v>
      </c>
      <c r="B973" s="6">
        <f t="shared" si="115"/>
        <v>10</v>
      </c>
      <c r="C973" s="13" t="s">
        <v>21</v>
      </c>
      <c r="D973" s="2" t="s">
        <v>6</v>
      </c>
      <c r="E973" s="14" t="str">
        <f t="shared" si="114"/>
        <v>Roll Bending Machine</v>
      </c>
      <c r="F973" s="22">
        <f t="shared" si="117"/>
        <v>3</v>
      </c>
      <c r="H973" s="5" t="str">
        <f ca="1">_xlfn.FORMULATEXT(표1[[#This Row],[Q''ty]])</f>
        <v>=F874</v>
      </c>
    </row>
    <row r="974" spans="1:8" ht="15" hidden="1" customHeight="1" x14ac:dyDescent="0.4">
      <c r="A974" s="6">
        <v>2026</v>
      </c>
      <c r="B974" s="6">
        <f t="shared" si="115"/>
        <v>10</v>
      </c>
      <c r="C974" s="13" t="s">
        <v>21</v>
      </c>
      <c r="D974" s="2" t="s">
        <v>6</v>
      </c>
      <c r="E974" s="14" t="str">
        <f t="shared" si="114"/>
        <v>L/W Machine</v>
      </c>
      <c r="F974" s="22">
        <f t="shared" si="117"/>
        <v>4</v>
      </c>
      <c r="H974" s="5" t="str">
        <f ca="1">_xlfn.FORMULATEXT(표1[[#This Row],[Q''ty]])</f>
        <v>=F875</v>
      </c>
    </row>
    <row r="975" spans="1:8" ht="15" hidden="1" customHeight="1" x14ac:dyDescent="0.4">
      <c r="A975" s="6">
        <v>2026</v>
      </c>
      <c r="B975" s="6">
        <f t="shared" si="115"/>
        <v>10</v>
      </c>
      <c r="C975" s="13" t="s">
        <v>21</v>
      </c>
      <c r="D975" s="2" t="s">
        <v>6</v>
      </c>
      <c r="E975" s="14" t="str">
        <f t="shared" si="114"/>
        <v>C/W Machine</v>
      </c>
      <c r="F975" s="22">
        <f t="shared" si="117"/>
        <v>6.5</v>
      </c>
      <c r="H975" s="5" t="str">
        <f ca="1">_xlfn.FORMULATEXT(표1[[#This Row],[Q''ty]])</f>
        <v>=F876</v>
      </c>
    </row>
    <row r="976" spans="1:8" ht="15" hidden="1" customHeight="1" x14ac:dyDescent="0.4">
      <c r="A976" s="6">
        <v>2026</v>
      </c>
      <c r="B976" s="6">
        <f t="shared" si="115"/>
        <v>10</v>
      </c>
      <c r="C976" s="13" t="s">
        <v>21</v>
      </c>
      <c r="D976" s="2" t="s">
        <v>12</v>
      </c>
      <c r="E976" s="14" t="str">
        <f t="shared" si="114"/>
        <v>BT GT</v>
      </c>
      <c r="F976" s="22">
        <v>15</v>
      </c>
      <c r="H976" s="5" t="e">
        <f ca="1">_xlfn.FORMULATEXT(표1[[#This Row],[Q''ty]])</f>
        <v>#N/A</v>
      </c>
    </row>
    <row r="977" spans="1:8" ht="15" hidden="1" customHeight="1" x14ac:dyDescent="0.4">
      <c r="A977" s="6">
        <v>2026</v>
      </c>
      <c r="B977" s="6">
        <f t="shared" si="115"/>
        <v>10</v>
      </c>
      <c r="C977" s="13" t="s">
        <v>21</v>
      </c>
      <c r="D977" s="2" t="s">
        <v>12</v>
      </c>
      <c r="E977" s="14" t="str">
        <f t="shared" si="114"/>
        <v>WT GT</v>
      </c>
      <c r="F977" s="22">
        <v>17</v>
      </c>
      <c r="H977" s="5" t="e">
        <f ca="1">_xlfn.FORMULATEXT(표1[[#This Row],[Q''ty]])</f>
        <v>#N/A</v>
      </c>
    </row>
    <row r="978" spans="1:8" ht="15" hidden="1" customHeight="1" x14ac:dyDescent="0.4">
      <c r="A978" s="6">
        <v>2026</v>
      </c>
      <c r="B978" s="6">
        <f t="shared" si="115"/>
        <v>10</v>
      </c>
      <c r="C978" s="13" t="s">
        <v>21</v>
      </c>
      <c r="D978" s="2" t="s">
        <v>12</v>
      </c>
      <c r="E978" s="14" t="str">
        <f t="shared" si="114"/>
        <v>Bending</v>
      </c>
      <c r="F978" s="22">
        <v>106</v>
      </c>
      <c r="H978" s="5" t="e">
        <f ca="1">_xlfn.FORMULATEXT(표1[[#This Row],[Q''ty]])</f>
        <v>#N/A</v>
      </c>
    </row>
    <row r="979" spans="1:8" ht="15" hidden="1" customHeight="1" x14ac:dyDescent="0.4">
      <c r="A979" s="6">
        <v>2026</v>
      </c>
      <c r="B979" s="6">
        <f t="shared" si="115"/>
        <v>10</v>
      </c>
      <c r="C979" s="13" t="s">
        <v>21</v>
      </c>
      <c r="D979" s="2" t="s">
        <v>12</v>
      </c>
      <c r="E979" s="14" t="str">
        <f t="shared" si="114"/>
        <v>L/W</v>
      </c>
      <c r="F979" s="22">
        <v>110</v>
      </c>
      <c r="H979" s="5" t="e">
        <f ca="1">_xlfn.FORMULATEXT(표1[[#This Row],[Q''ty]])</f>
        <v>#N/A</v>
      </c>
    </row>
    <row r="980" spans="1:8" ht="15" hidden="1" customHeight="1" thickBot="1" x14ac:dyDescent="0.45">
      <c r="A980" s="15">
        <v>2026</v>
      </c>
      <c r="B980" s="15">
        <f t="shared" si="115"/>
        <v>10</v>
      </c>
      <c r="C980" s="16" t="s">
        <v>21</v>
      </c>
      <c r="D980" s="17" t="s">
        <v>12</v>
      </c>
      <c r="E980" s="18" t="str">
        <f t="shared" si="114"/>
        <v>C/W</v>
      </c>
      <c r="F980" s="23">
        <v>121</v>
      </c>
      <c r="H980" s="5" t="e">
        <f ca="1">_xlfn.FORMULATEXT(표1[[#This Row],[Q''ty]])</f>
        <v>#N/A</v>
      </c>
    </row>
    <row r="981" spans="1:8" ht="15" hidden="1" customHeight="1" thickTop="1" x14ac:dyDescent="0.4">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hidden="1" customHeight="1" x14ac:dyDescent="0.4">
      <c r="A982" s="6">
        <v>2026</v>
      </c>
      <c r="B982" s="6">
        <f t="shared" si="115"/>
        <v>10</v>
      </c>
      <c r="C982" s="13" t="s">
        <v>22</v>
      </c>
      <c r="D982" s="2" t="s">
        <v>6</v>
      </c>
      <c r="E982" s="14" t="str">
        <f t="shared" si="114"/>
        <v>Paint Booth</v>
      </c>
      <c r="F982" s="22">
        <f t="shared" si="118"/>
        <v>6</v>
      </c>
      <c r="H982" s="5" t="str">
        <f ca="1">_xlfn.FORMULATEXT(표1[[#This Row],[Q''ty]])</f>
        <v>=F883</v>
      </c>
    </row>
    <row r="983" spans="1:8" ht="15" hidden="1" customHeight="1" x14ac:dyDescent="0.4">
      <c r="A983" s="6">
        <v>2026</v>
      </c>
      <c r="B983" s="6">
        <f t="shared" si="115"/>
        <v>10</v>
      </c>
      <c r="C983" s="13" t="s">
        <v>22</v>
      </c>
      <c r="D983" s="2" t="s">
        <v>6</v>
      </c>
      <c r="E983" s="14" t="str">
        <f t="shared" si="114"/>
        <v>Paint Line</v>
      </c>
      <c r="F983" s="22">
        <f t="shared" si="118"/>
        <v>4</v>
      </c>
      <c r="H983" s="5" t="str">
        <f ca="1">_xlfn.FORMULATEXT(표1[[#This Row],[Q''ty]])</f>
        <v>=F884</v>
      </c>
    </row>
    <row r="984" spans="1:8" ht="15" hidden="1" customHeight="1" x14ac:dyDescent="0.4">
      <c r="A984" s="6">
        <v>2026</v>
      </c>
      <c r="B984" s="6">
        <f t="shared" si="115"/>
        <v>10</v>
      </c>
      <c r="C984" s="13" t="s">
        <v>22</v>
      </c>
      <c r="D984" s="2" t="s">
        <v>6</v>
      </c>
      <c r="E984" s="14" t="str">
        <f t="shared" si="114"/>
        <v>Roll Bending Machine</v>
      </c>
      <c r="F984" s="22">
        <f t="shared" si="118"/>
        <v>4</v>
      </c>
      <c r="H984" s="5" t="str">
        <f ca="1">_xlfn.FORMULATEXT(표1[[#This Row],[Q''ty]])</f>
        <v>=F885</v>
      </c>
    </row>
    <row r="985" spans="1:8" ht="15" hidden="1" customHeight="1" x14ac:dyDescent="0.4">
      <c r="A985" s="6">
        <v>2026</v>
      </c>
      <c r="B985" s="6">
        <f t="shared" si="115"/>
        <v>10</v>
      </c>
      <c r="C985" s="13" t="s">
        <v>22</v>
      </c>
      <c r="D985" s="2" t="s">
        <v>6</v>
      </c>
      <c r="E985" s="14" t="str">
        <f t="shared" si="114"/>
        <v>L/W Machine</v>
      </c>
      <c r="F985" s="22">
        <f t="shared" si="118"/>
        <v>7</v>
      </c>
      <c r="H985" s="5" t="str">
        <f ca="1">_xlfn.FORMULATEXT(표1[[#This Row],[Q''ty]])</f>
        <v>=F886</v>
      </c>
    </row>
    <row r="986" spans="1:8" ht="15" hidden="1" customHeight="1" x14ac:dyDescent="0.4">
      <c r="A986" s="6">
        <v>2026</v>
      </c>
      <c r="B986" s="6">
        <f t="shared" si="115"/>
        <v>10</v>
      </c>
      <c r="C986" s="13" t="s">
        <v>22</v>
      </c>
      <c r="D986" s="2" t="s">
        <v>6</v>
      </c>
      <c r="E986" s="14" t="str">
        <f t="shared" si="114"/>
        <v>C/W Machine</v>
      </c>
      <c r="F986" s="22">
        <f t="shared" si="118"/>
        <v>12.5</v>
      </c>
      <c r="H986" s="5" t="str">
        <f ca="1">_xlfn.FORMULATEXT(표1[[#This Row],[Q''ty]])</f>
        <v>=F887</v>
      </c>
    </row>
    <row r="987" spans="1:8" ht="15" hidden="1" customHeight="1" x14ac:dyDescent="0.4">
      <c r="A987" s="6">
        <v>2026</v>
      </c>
      <c r="B987" s="6">
        <f t="shared" si="115"/>
        <v>10</v>
      </c>
      <c r="C987" s="13" t="s">
        <v>22</v>
      </c>
      <c r="D987" s="2" t="s">
        <v>12</v>
      </c>
      <c r="E987" s="14" t="str">
        <f t="shared" si="114"/>
        <v>BT GT</v>
      </c>
      <c r="F987" s="22">
        <v>6</v>
      </c>
      <c r="H987" s="5" t="e">
        <f ca="1">_xlfn.FORMULATEXT(표1[[#This Row],[Q''ty]])</f>
        <v>#N/A</v>
      </c>
    </row>
    <row r="988" spans="1:8" ht="15" hidden="1" customHeight="1" x14ac:dyDescent="0.4">
      <c r="A988" s="6">
        <v>2026</v>
      </c>
      <c r="B988" s="6">
        <f t="shared" si="115"/>
        <v>10</v>
      </c>
      <c r="C988" s="13" t="s">
        <v>22</v>
      </c>
      <c r="D988" s="2" t="s">
        <v>12</v>
      </c>
      <c r="E988" s="14" t="str">
        <f t="shared" si="114"/>
        <v>WT GT</v>
      </c>
      <c r="F988" s="22">
        <v>10</v>
      </c>
      <c r="H988" s="5" t="e">
        <f ca="1">_xlfn.FORMULATEXT(표1[[#This Row],[Q''ty]])</f>
        <v>#N/A</v>
      </c>
    </row>
    <row r="989" spans="1:8" ht="15" hidden="1" customHeight="1" x14ac:dyDescent="0.4">
      <c r="A989" s="6">
        <v>2026</v>
      </c>
      <c r="B989" s="6">
        <f t="shared" si="115"/>
        <v>10</v>
      </c>
      <c r="C989" s="13" t="s">
        <v>22</v>
      </c>
      <c r="D989" s="2" t="s">
        <v>12</v>
      </c>
      <c r="E989" s="14" t="str">
        <f t="shared" si="114"/>
        <v>Bending</v>
      </c>
      <c r="F989" s="22">
        <v>84</v>
      </c>
      <c r="H989" s="5" t="e">
        <f ca="1">_xlfn.FORMULATEXT(표1[[#This Row],[Q''ty]])</f>
        <v>#N/A</v>
      </c>
    </row>
    <row r="990" spans="1:8" ht="15" hidden="1" customHeight="1" x14ac:dyDescent="0.4">
      <c r="A990" s="6">
        <v>2026</v>
      </c>
      <c r="B990" s="6">
        <f t="shared" si="115"/>
        <v>10</v>
      </c>
      <c r="C990" s="13" t="s">
        <v>22</v>
      </c>
      <c r="D990" s="2" t="s">
        <v>12</v>
      </c>
      <c r="E990" s="14" t="str">
        <f t="shared" si="114"/>
        <v>L/W</v>
      </c>
      <c r="F990" s="22">
        <v>86</v>
      </c>
      <c r="H990" s="5" t="e">
        <f ca="1">_xlfn.FORMULATEXT(표1[[#This Row],[Q''ty]])</f>
        <v>#N/A</v>
      </c>
    </row>
    <row r="991" spans="1:8" ht="15" hidden="1" customHeight="1" thickBot="1" x14ac:dyDescent="0.45">
      <c r="A991" s="6">
        <v>2026</v>
      </c>
      <c r="B991" s="6">
        <f t="shared" si="115"/>
        <v>10</v>
      </c>
      <c r="C991" s="13" t="s">
        <v>22</v>
      </c>
      <c r="D991" s="2" t="s">
        <v>12</v>
      </c>
      <c r="E991" s="14" t="str">
        <f t="shared" si="114"/>
        <v>C/W</v>
      </c>
      <c r="F991" s="22">
        <v>130</v>
      </c>
      <c r="H991" s="5" t="e">
        <f ca="1">_xlfn.FORMULATEXT(표1[[#This Row],[Q''ty]])</f>
        <v>#N/A</v>
      </c>
    </row>
    <row r="992" spans="1:8" ht="15" hidden="1" customHeight="1" thickTop="1" x14ac:dyDescent="0.4">
      <c r="A992" s="9">
        <v>2026</v>
      </c>
      <c r="B992" s="9">
        <f>B893+1</f>
        <v>11</v>
      </c>
      <c r="C992" s="10" t="s">
        <v>28</v>
      </c>
      <c r="D992" s="11" t="s">
        <v>6</v>
      </c>
      <c r="E992" s="12" t="s">
        <v>7</v>
      </c>
      <c r="F992" s="21">
        <f t="shared" ref="F992:F997" si="119">F893</f>
        <v>15</v>
      </c>
      <c r="H992" s="5" t="str">
        <f ca="1">_xlfn.FORMULATEXT(표1[[#This Row],[Q''ty]])</f>
        <v>=F893</v>
      </c>
    </row>
    <row r="993" spans="1:10" s="2" customFormat="1" ht="15" hidden="1" customHeight="1" x14ac:dyDescent="0.4">
      <c r="A993" s="6">
        <v>2026</v>
      </c>
      <c r="B993" s="6">
        <f t="shared" ref="B993:B1056" si="120">B894+1</f>
        <v>11</v>
      </c>
      <c r="C993" s="13" t="s">
        <v>23</v>
      </c>
      <c r="D993" s="2" t="s">
        <v>6</v>
      </c>
      <c r="E993" s="14" t="s">
        <v>8</v>
      </c>
      <c r="F993" s="22">
        <f t="shared" si="119"/>
        <v>10</v>
      </c>
      <c r="H993" s="5" t="str">
        <f ca="1">_xlfn.FORMULATEXT(표1[[#This Row],[Q''ty]])</f>
        <v>=F894</v>
      </c>
      <c r="I993" s="26"/>
      <c r="J993" s="26"/>
    </row>
    <row r="994" spans="1:10" s="2" customFormat="1" ht="15" hidden="1" customHeight="1" x14ac:dyDescent="0.4">
      <c r="A994" s="6">
        <v>2026</v>
      </c>
      <c r="B994" s="6">
        <f t="shared" si="120"/>
        <v>11</v>
      </c>
      <c r="C994" s="13" t="s">
        <v>23</v>
      </c>
      <c r="D994" s="2" t="s">
        <v>6</v>
      </c>
      <c r="E994" s="14" t="s">
        <v>9</v>
      </c>
      <c r="F994" s="22">
        <f t="shared" si="119"/>
        <v>5</v>
      </c>
      <c r="H994" s="5" t="str">
        <f ca="1">_xlfn.FORMULATEXT(표1[[#This Row],[Q''ty]])</f>
        <v>=F895</v>
      </c>
      <c r="I994" s="26"/>
      <c r="J994" s="26"/>
    </row>
    <row r="995" spans="1:10" ht="15" hidden="1" customHeight="1" x14ac:dyDescent="0.4">
      <c r="A995" s="6">
        <v>2026</v>
      </c>
      <c r="B995" s="6">
        <f t="shared" si="120"/>
        <v>11</v>
      </c>
      <c r="C995" s="13" t="s">
        <v>23</v>
      </c>
      <c r="D995" s="2" t="s">
        <v>6</v>
      </c>
      <c r="E995" s="14" t="s">
        <v>27</v>
      </c>
      <c r="F995" s="22">
        <f t="shared" si="119"/>
        <v>6</v>
      </c>
      <c r="H995" s="5" t="str">
        <f ca="1">_xlfn.FORMULATEXT(표1[[#This Row],[Q''ty]])</f>
        <v>=F896</v>
      </c>
    </row>
    <row r="996" spans="1:10" ht="15" hidden="1" customHeight="1" x14ac:dyDescent="0.4">
      <c r="A996" s="6">
        <v>2026</v>
      </c>
      <c r="B996" s="6">
        <f t="shared" si="120"/>
        <v>11</v>
      </c>
      <c r="C996" s="13" t="s">
        <v>23</v>
      </c>
      <c r="D996" s="2" t="s">
        <v>6</v>
      </c>
      <c r="E996" s="14" t="s">
        <v>10</v>
      </c>
      <c r="F996" s="22">
        <f t="shared" si="119"/>
        <v>10</v>
      </c>
      <c r="H996" s="5" t="str">
        <f ca="1">_xlfn.FORMULATEXT(표1[[#This Row],[Q''ty]])</f>
        <v>=F897</v>
      </c>
    </row>
    <row r="997" spans="1:10" ht="15" hidden="1" customHeight="1" x14ac:dyDescent="0.4">
      <c r="A997" s="6">
        <v>2026</v>
      </c>
      <c r="B997" s="6">
        <f t="shared" si="120"/>
        <v>11</v>
      </c>
      <c r="C997" s="13" t="s">
        <v>23</v>
      </c>
      <c r="D997" s="2" t="s">
        <v>6</v>
      </c>
      <c r="E997" s="14" t="s">
        <v>11</v>
      </c>
      <c r="F997" s="22">
        <f t="shared" si="119"/>
        <v>10</v>
      </c>
      <c r="H997" s="5" t="str">
        <f ca="1">_xlfn.FORMULATEXT(표1[[#This Row],[Q''ty]])</f>
        <v>=F898</v>
      </c>
    </row>
    <row r="998" spans="1:10" ht="15" hidden="1" customHeight="1" x14ac:dyDescent="0.4">
      <c r="A998" s="6">
        <v>2026</v>
      </c>
      <c r="B998" s="6">
        <f t="shared" si="120"/>
        <v>11</v>
      </c>
      <c r="C998" s="13" t="s">
        <v>23</v>
      </c>
      <c r="D998" s="2" t="s">
        <v>12</v>
      </c>
      <c r="E998" s="14" t="s">
        <v>13</v>
      </c>
      <c r="F998" s="22">
        <v>9</v>
      </c>
      <c r="H998" s="5" t="e">
        <f ca="1">_xlfn.FORMULATEXT(표1[[#This Row],[Q''ty]])</f>
        <v>#N/A</v>
      </c>
    </row>
    <row r="999" spans="1:10" s="2" customFormat="1" ht="15" hidden="1" customHeight="1" x14ac:dyDescent="0.4">
      <c r="A999" s="6">
        <v>2026</v>
      </c>
      <c r="B999" s="6">
        <f t="shared" si="120"/>
        <v>11</v>
      </c>
      <c r="C999" s="13" t="s">
        <v>23</v>
      </c>
      <c r="D999" s="2" t="s">
        <v>12</v>
      </c>
      <c r="E999" s="14" t="s">
        <v>14</v>
      </c>
      <c r="F999" s="22">
        <v>11</v>
      </c>
      <c r="H999" s="5" t="e">
        <f ca="1">_xlfn.FORMULATEXT(표1[[#This Row],[Q''ty]])</f>
        <v>#N/A</v>
      </c>
      <c r="I999" s="26"/>
      <c r="J999" s="26"/>
    </row>
    <row r="1000" spans="1:10" ht="15" hidden="1" customHeight="1" x14ac:dyDescent="0.4">
      <c r="A1000" s="6">
        <v>2026</v>
      </c>
      <c r="B1000" s="6">
        <f t="shared" si="120"/>
        <v>11</v>
      </c>
      <c r="C1000" s="13" t="s">
        <v>23</v>
      </c>
      <c r="D1000" s="2" t="s">
        <v>12</v>
      </c>
      <c r="E1000" s="14" t="s">
        <v>15</v>
      </c>
      <c r="F1000" s="22">
        <v>204</v>
      </c>
      <c r="H1000" s="5" t="e">
        <f ca="1">_xlfn.FORMULATEXT(표1[[#This Row],[Q''ty]])</f>
        <v>#N/A</v>
      </c>
    </row>
    <row r="1001" spans="1:10" ht="15" hidden="1" customHeight="1" x14ac:dyDescent="0.4">
      <c r="A1001" s="6">
        <v>2026</v>
      </c>
      <c r="B1001" s="6">
        <f t="shared" si="120"/>
        <v>11</v>
      </c>
      <c r="C1001" s="13" t="s">
        <v>23</v>
      </c>
      <c r="D1001" s="2" t="s">
        <v>12</v>
      </c>
      <c r="E1001" s="14" t="s">
        <v>16</v>
      </c>
      <c r="F1001" s="22">
        <v>215</v>
      </c>
      <c r="H1001" s="5" t="e">
        <f ca="1">_xlfn.FORMULATEXT(표1[[#This Row],[Q''ty]])</f>
        <v>#N/A</v>
      </c>
    </row>
    <row r="1002" spans="1:10" ht="15" hidden="1" customHeight="1" thickBot="1" x14ac:dyDescent="0.45">
      <c r="A1002" s="15">
        <v>2026</v>
      </c>
      <c r="B1002" s="15">
        <f t="shared" si="120"/>
        <v>11</v>
      </c>
      <c r="C1002" s="16" t="s">
        <v>23</v>
      </c>
      <c r="D1002" s="17" t="s">
        <v>12</v>
      </c>
      <c r="E1002" s="18" t="s">
        <v>17</v>
      </c>
      <c r="F1002" s="23">
        <v>215</v>
      </c>
      <c r="H1002" s="5" t="e">
        <f ca="1">_xlfn.FORMULATEXT(표1[[#This Row],[Q''ty]])</f>
        <v>#N/A</v>
      </c>
    </row>
    <row r="1003" spans="1:10" ht="15" hidden="1" customHeight="1" thickTop="1" x14ac:dyDescent="0.4">
      <c r="A1003" s="9">
        <v>2026</v>
      </c>
      <c r="B1003" s="9">
        <f t="shared" si="120"/>
        <v>11</v>
      </c>
      <c r="C1003" s="10" t="s">
        <v>29</v>
      </c>
      <c r="D1003" s="11" t="s">
        <v>6</v>
      </c>
      <c r="E1003" s="12" t="s">
        <v>7</v>
      </c>
      <c r="F1003" s="21">
        <f t="shared" ref="F1003:F1008" si="121">F904</f>
        <v>14</v>
      </c>
      <c r="H1003" s="5" t="str">
        <f ca="1">_xlfn.FORMULATEXT(표1[[#This Row],[Q''ty]])</f>
        <v>=F904</v>
      </c>
    </row>
    <row r="1004" spans="1:10" s="2" customFormat="1" ht="15" hidden="1" customHeight="1" x14ac:dyDescent="0.4">
      <c r="A1004" s="6">
        <v>2026</v>
      </c>
      <c r="B1004" s="6">
        <f t="shared" si="120"/>
        <v>11</v>
      </c>
      <c r="C1004" s="13" t="s">
        <v>24</v>
      </c>
      <c r="D1004" s="2" t="s">
        <v>6</v>
      </c>
      <c r="E1004" s="14" t="s">
        <v>8</v>
      </c>
      <c r="F1004" s="22">
        <f t="shared" si="121"/>
        <v>8</v>
      </c>
      <c r="H1004" s="5" t="str">
        <f ca="1">_xlfn.FORMULATEXT(표1[[#This Row],[Q''ty]])</f>
        <v>=F905</v>
      </c>
      <c r="I1004" s="26"/>
      <c r="J1004" s="26"/>
    </row>
    <row r="1005" spans="1:10" s="2" customFormat="1" ht="15" hidden="1" customHeight="1" x14ac:dyDescent="0.4">
      <c r="A1005" s="6">
        <v>2026</v>
      </c>
      <c r="B1005" s="6">
        <f t="shared" si="120"/>
        <v>11</v>
      </c>
      <c r="C1005" s="13" t="s">
        <v>24</v>
      </c>
      <c r="D1005" s="2" t="s">
        <v>6</v>
      </c>
      <c r="E1005" s="14" t="s">
        <v>9</v>
      </c>
      <c r="F1005" s="22">
        <f t="shared" si="121"/>
        <v>4</v>
      </c>
      <c r="H1005" s="5" t="str">
        <f ca="1">_xlfn.FORMULATEXT(표1[[#This Row],[Q''ty]])</f>
        <v>=F906</v>
      </c>
      <c r="I1005" s="26"/>
      <c r="J1005" s="26"/>
    </row>
    <row r="1006" spans="1:10" ht="15" hidden="1" customHeight="1" x14ac:dyDescent="0.4">
      <c r="A1006" s="6">
        <v>2026</v>
      </c>
      <c r="B1006" s="6">
        <f t="shared" si="120"/>
        <v>11</v>
      </c>
      <c r="C1006" s="13" t="s">
        <v>24</v>
      </c>
      <c r="D1006" s="2" t="s">
        <v>6</v>
      </c>
      <c r="E1006" s="14" t="s">
        <v>27</v>
      </c>
      <c r="F1006" s="22">
        <f t="shared" si="121"/>
        <v>3</v>
      </c>
      <c r="H1006" s="5" t="str">
        <f ca="1">_xlfn.FORMULATEXT(표1[[#This Row],[Q''ty]])</f>
        <v>=F907</v>
      </c>
    </row>
    <row r="1007" spans="1:10" ht="15" hidden="1" customHeight="1" x14ac:dyDescent="0.4">
      <c r="A1007" s="6">
        <v>2026</v>
      </c>
      <c r="B1007" s="6">
        <f t="shared" si="120"/>
        <v>11</v>
      </c>
      <c r="C1007" s="13" t="s">
        <v>24</v>
      </c>
      <c r="D1007" s="2" t="s">
        <v>6</v>
      </c>
      <c r="E1007" s="14" t="s">
        <v>10</v>
      </c>
      <c r="F1007" s="22">
        <f t="shared" si="121"/>
        <v>6</v>
      </c>
      <c r="H1007" s="5" t="str">
        <f ca="1">_xlfn.FORMULATEXT(표1[[#This Row],[Q''ty]])</f>
        <v>=F908</v>
      </c>
    </row>
    <row r="1008" spans="1:10" ht="15" hidden="1" customHeight="1" x14ac:dyDescent="0.4">
      <c r="A1008" s="6">
        <v>2026</v>
      </c>
      <c r="B1008" s="6">
        <f t="shared" si="120"/>
        <v>11</v>
      </c>
      <c r="C1008" s="13" t="s">
        <v>24</v>
      </c>
      <c r="D1008" s="2" t="s">
        <v>6</v>
      </c>
      <c r="E1008" s="14" t="s">
        <v>11</v>
      </c>
      <c r="F1008" s="22">
        <f t="shared" si="121"/>
        <v>8.8000000000000007</v>
      </c>
      <c r="H1008" s="5" t="str">
        <f ca="1">_xlfn.FORMULATEXT(표1[[#This Row],[Q''ty]])</f>
        <v>=F909</v>
      </c>
    </row>
    <row r="1009" spans="1:10" ht="15" hidden="1" customHeight="1" x14ac:dyDescent="0.4">
      <c r="A1009" s="6">
        <v>2026</v>
      </c>
      <c r="B1009" s="6">
        <f t="shared" si="120"/>
        <v>11</v>
      </c>
      <c r="C1009" s="13" t="s">
        <v>24</v>
      </c>
      <c r="D1009" s="2" t="s">
        <v>12</v>
      </c>
      <c r="E1009" s="14" t="s">
        <v>13</v>
      </c>
      <c r="F1009" s="22">
        <v>9</v>
      </c>
      <c r="H1009" s="5" t="e">
        <f ca="1">_xlfn.FORMULATEXT(표1[[#This Row],[Q''ty]])</f>
        <v>#N/A</v>
      </c>
    </row>
    <row r="1010" spans="1:10" s="2" customFormat="1" ht="15" hidden="1" customHeight="1" x14ac:dyDescent="0.4">
      <c r="A1010" s="6">
        <v>2026</v>
      </c>
      <c r="B1010" s="6">
        <f t="shared" si="120"/>
        <v>11</v>
      </c>
      <c r="C1010" s="13" t="s">
        <v>24</v>
      </c>
      <c r="D1010" s="2" t="s">
        <v>12</v>
      </c>
      <c r="E1010" s="14" t="s">
        <v>14</v>
      </c>
      <c r="F1010" s="22">
        <v>11</v>
      </c>
      <c r="H1010" s="5" t="e">
        <f ca="1">_xlfn.FORMULATEXT(표1[[#This Row],[Q''ty]])</f>
        <v>#N/A</v>
      </c>
      <c r="I1010" s="26"/>
      <c r="J1010" s="26"/>
    </row>
    <row r="1011" spans="1:10" ht="15" hidden="1" customHeight="1" x14ac:dyDescent="0.4">
      <c r="A1011" s="6">
        <v>2026</v>
      </c>
      <c r="B1011" s="6">
        <f t="shared" si="120"/>
        <v>11</v>
      </c>
      <c r="C1011" s="13" t="s">
        <v>24</v>
      </c>
      <c r="D1011" s="2" t="s">
        <v>12</v>
      </c>
      <c r="E1011" s="14" t="s">
        <v>15</v>
      </c>
      <c r="F1011" s="22">
        <v>123</v>
      </c>
      <c r="H1011" s="5" t="e">
        <f ca="1">_xlfn.FORMULATEXT(표1[[#This Row],[Q''ty]])</f>
        <v>#N/A</v>
      </c>
    </row>
    <row r="1012" spans="1:10" ht="15" hidden="1" customHeight="1" x14ac:dyDescent="0.4">
      <c r="A1012" s="6">
        <v>2026</v>
      </c>
      <c r="B1012" s="6">
        <f t="shared" si="120"/>
        <v>11</v>
      </c>
      <c r="C1012" s="13" t="s">
        <v>24</v>
      </c>
      <c r="D1012" s="2" t="s">
        <v>12</v>
      </c>
      <c r="E1012" s="14" t="s">
        <v>16</v>
      </c>
      <c r="F1012" s="22">
        <v>124</v>
      </c>
      <c r="H1012" s="5" t="e">
        <f ca="1">_xlfn.FORMULATEXT(표1[[#This Row],[Q''ty]])</f>
        <v>#N/A</v>
      </c>
    </row>
    <row r="1013" spans="1:10" ht="15" hidden="1" customHeight="1" thickBot="1" x14ac:dyDescent="0.45">
      <c r="A1013" s="15">
        <v>2026</v>
      </c>
      <c r="B1013" s="15">
        <f t="shared" si="120"/>
        <v>11</v>
      </c>
      <c r="C1013" s="16" t="s">
        <v>24</v>
      </c>
      <c r="D1013" s="17" t="s">
        <v>12</v>
      </c>
      <c r="E1013" s="18" t="s">
        <v>17</v>
      </c>
      <c r="F1013" s="23">
        <v>111</v>
      </c>
      <c r="H1013" s="5" t="e">
        <f ca="1">_xlfn.FORMULATEXT(표1[[#This Row],[Q''ty]])</f>
        <v>#N/A</v>
      </c>
    </row>
    <row r="1014" spans="1:10" ht="15" hidden="1" customHeight="1" thickTop="1" x14ac:dyDescent="0.4">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10" ht="15" hidden="1" customHeight="1" x14ac:dyDescent="0.4">
      <c r="A1015" s="6">
        <v>2026</v>
      </c>
      <c r="B1015" s="6">
        <f t="shared" si="120"/>
        <v>11</v>
      </c>
      <c r="C1015" s="13" t="s">
        <v>18</v>
      </c>
      <c r="D1015" s="2" t="s">
        <v>6</v>
      </c>
      <c r="E1015" s="14" t="str">
        <f t="shared" si="122"/>
        <v>Paint Booth</v>
      </c>
      <c r="F1015" s="22">
        <f t="shared" si="122"/>
        <v>3</v>
      </c>
      <c r="H1015" s="5" t="str">
        <f ca="1">_xlfn.FORMULATEXT(표1[[#This Row],[Q''ty]])</f>
        <v>=F916</v>
      </c>
    </row>
    <row r="1016" spans="1:10" ht="15" hidden="1" customHeight="1" x14ac:dyDescent="0.4">
      <c r="A1016" s="6">
        <v>2026</v>
      </c>
      <c r="B1016" s="6">
        <f t="shared" si="120"/>
        <v>11</v>
      </c>
      <c r="C1016" s="13" t="s">
        <v>18</v>
      </c>
      <c r="D1016" s="2" t="s">
        <v>6</v>
      </c>
      <c r="E1016" s="14" t="str">
        <f t="shared" si="122"/>
        <v>Paint Line</v>
      </c>
      <c r="F1016" s="22">
        <f t="shared" si="122"/>
        <v>2</v>
      </c>
      <c r="H1016" s="5" t="str">
        <f ca="1">_xlfn.FORMULATEXT(표1[[#This Row],[Q''ty]])</f>
        <v>=F917</v>
      </c>
    </row>
    <row r="1017" spans="1:10" ht="15" hidden="1" customHeight="1" x14ac:dyDescent="0.4">
      <c r="A1017" s="6">
        <v>2026</v>
      </c>
      <c r="B1017" s="6">
        <f t="shared" si="120"/>
        <v>11</v>
      </c>
      <c r="C1017" s="13" t="s">
        <v>18</v>
      </c>
      <c r="D1017" s="2" t="s">
        <v>6</v>
      </c>
      <c r="E1017" s="14" t="str">
        <f t="shared" si="122"/>
        <v>Roll Bending Machine</v>
      </c>
      <c r="F1017" s="22">
        <f t="shared" si="122"/>
        <v>2</v>
      </c>
      <c r="H1017" s="5" t="str">
        <f ca="1">_xlfn.FORMULATEXT(표1[[#This Row],[Q''ty]])</f>
        <v>=F918</v>
      </c>
    </row>
    <row r="1018" spans="1:10" ht="15" hidden="1" customHeight="1" x14ac:dyDescent="0.4">
      <c r="A1018" s="6">
        <v>2026</v>
      </c>
      <c r="B1018" s="6">
        <f t="shared" si="120"/>
        <v>11</v>
      </c>
      <c r="C1018" s="13" t="s">
        <v>18</v>
      </c>
      <c r="D1018" s="2" t="s">
        <v>6</v>
      </c>
      <c r="E1018" s="14" t="str">
        <f t="shared" si="122"/>
        <v>L/W Machine</v>
      </c>
      <c r="F1018" s="22">
        <f t="shared" si="122"/>
        <v>2</v>
      </c>
      <c r="H1018" s="5" t="str">
        <f ca="1">_xlfn.FORMULATEXT(표1[[#This Row],[Q''ty]])</f>
        <v>=F919</v>
      </c>
    </row>
    <row r="1019" spans="1:10" ht="15" hidden="1" customHeight="1" x14ac:dyDescent="0.4">
      <c r="A1019" s="6">
        <v>2026</v>
      </c>
      <c r="B1019" s="6">
        <f t="shared" si="120"/>
        <v>11</v>
      </c>
      <c r="C1019" s="13" t="s">
        <v>18</v>
      </c>
      <c r="D1019" s="2" t="s">
        <v>6</v>
      </c>
      <c r="E1019" s="14" t="str">
        <f t="shared" si="122"/>
        <v>C/W Machine</v>
      </c>
      <c r="F1019" s="22">
        <f t="shared" si="122"/>
        <v>3</v>
      </c>
      <c r="H1019" s="5" t="str">
        <f ca="1">_xlfn.FORMULATEXT(표1[[#This Row],[Q''ty]])</f>
        <v>=F920</v>
      </c>
    </row>
    <row r="1020" spans="1:10" ht="15" hidden="1" customHeight="1" x14ac:dyDescent="0.4">
      <c r="A1020" s="6">
        <v>2026</v>
      </c>
      <c r="B1020" s="6">
        <f t="shared" si="120"/>
        <v>11</v>
      </c>
      <c r="C1020" s="13" t="s">
        <v>18</v>
      </c>
      <c r="D1020" s="2" t="s">
        <v>12</v>
      </c>
      <c r="E1020" s="14" t="str">
        <f t="shared" ref="E1020:E1035" si="123">E921</f>
        <v>BT GT</v>
      </c>
      <c r="F1020" s="22">
        <v>0</v>
      </c>
      <c r="H1020" s="5" t="e">
        <f ca="1">_xlfn.FORMULATEXT(표1[[#This Row],[Q''ty]])</f>
        <v>#N/A</v>
      </c>
    </row>
    <row r="1021" spans="1:10" ht="15" hidden="1" customHeight="1" x14ac:dyDescent="0.4">
      <c r="A1021" s="6">
        <v>2026</v>
      </c>
      <c r="B1021" s="6">
        <f t="shared" si="120"/>
        <v>11</v>
      </c>
      <c r="C1021" s="13" t="s">
        <v>18</v>
      </c>
      <c r="D1021" s="2" t="s">
        <v>12</v>
      </c>
      <c r="E1021" s="14" t="str">
        <f t="shared" si="123"/>
        <v>WT GT</v>
      </c>
      <c r="F1021" s="22">
        <v>0</v>
      </c>
      <c r="H1021" s="5" t="e">
        <f ca="1">_xlfn.FORMULATEXT(표1[[#This Row],[Q''ty]])</f>
        <v>#N/A</v>
      </c>
    </row>
    <row r="1022" spans="1:10" ht="15" hidden="1" customHeight="1" x14ac:dyDescent="0.4">
      <c r="A1022" s="6">
        <v>2026</v>
      </c>
      <c r="B1022" s="6">
        <f t="shared" si="120"/>
        <v>11</v>
      </c>
      <c r="C1022" s="13" t="s">
        <v>18</v>
      </c>
      <c r="D1022" s="2" t="s">
        <v>12</v>
      </c>
      <c r="E1022" s="14" t="str">
        <f t="shared" si="123"/>
        <v>Bending</v>
      </c>
      <c r="F1022" s="22">
        <v>22</v>
      </c>
      <c r="H1022" s="5" t="e">
        <f ca="1">_xlfn.FORMULATEXT(표1[[#This Row],[Q''ty]])</f>
        <v>#N/A</v>
      </c>
    </row>
    <row r="1023" spans="1:10" ht="15" hidden="1" customHeight="1" x14ac:dyDescent="0.4">
      <c r="A1023" s="6">
        <v>2026</v>
      </c>
      <c r="B1023" s="6">
        <f t="shared" si="120"/>
        <v>11</v>
      </c>
      <c r="C1023" s="13" t="s">
        <v>18</v>
      </c>
      <c r="D1023" s="2" t="s">
        <v>12</v>
      </c>
      <c r="E1023" s="14" t="str">
        <f t="shared" si="123"/>
        <v>L/W</v>
      </c>
      <c r="F1023" s="22">
        <v>24</v>
      </c>
      <c r="H1023" s="5" t="e">
        <f ca="1">_xlfn.FORMULATEXT(표1[[#This Row],[Q''ty]])</f>
        <v>#N/A</v>
      </c>
    </row>
    <row r="1024" spans="1:10" ht="15" hidden="1" customHeight="1" thickBot="1" x14ac:dyDescent="0.45">
      <c r="A1024" s="15">
        <v>2026</v>
      </c>
      <c r="B1024" s="15">
        <f t="shared" si="120"/>
        <v>11</v>
      </c>
      <c r="C1024" s="16" t="s">
        <v>18</v>
      </c>
      <c r="D1024" s="17" t="s">
        <v>12</v>
      </c>
      <c r="E1024" s="18" t="str">
        <f t="shared" si="123"/>
        <v>C/W</v>
      </c>
      <c r="F1024" s="23">
        <v>17.8</v>
      </c>
      <c r="H1024" s="5" t="e">
        <f ca="1">_xlfn.FORMULATEXT(표1[[#This Row],[Q''ty]])</f>
        <v>#N/A</v>
      </c>
    </row>
    <row r="1025" spans="1:8" ht="15" hidden="1" customHeight="1" thickTop="1" x14ac:dyDescent="0.4">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hidden="1" customHeight="1" x14ac:dyDescent="0.4">
      <c r="A1026" s="6">
        <v>2026</v>
      </c>
      <c r="B1026" s="6">
        <f t="shared" si="120"/>
        <v>11</v>
      </c>
      <c r="C1026" s="13" t="s">
        <v>19</v>
      </c>
      <c r="D1026" s="2" t="s">
        <v>6</v>
      </c>
      <c r="E1026" s="14" t="str">
        <f t="shared" si="123"/>
        <v>Paint Booth</v>
      </c>
      <c r="F1026" s="22">
        <f t="shared" si="124"/>
        <v>22</v>
      </c>
      <c r="H1026" s="5" t="str">
        <f ca="1">_xlfn.FORMULATEXT(표1[[#This Row],[Q''ty]])</f>
        <v>=F927</v>
      </c>
    </row>
    <row r="1027" spans="1:8" ht="15" hidden="1" customHeight="1" x14ac:dyDescent="0.4">
      <c r="A1027" s="6">
        <v>2026</v>
      </c>
      <c r="B1027" s="6">
        <f t="shared" si="120"/>
        <v>11</v>
      </c>
      <c r="C1027" s="13" t="s">
        <v>19</v>
      </c>
      <c r="D1027" s="2" t="s">
        <v>6</v>
      </c>
      <c r="E1027" s="14" t="str">
        <f t="shared" si="123"/>
        <v>Paint Line</v>
      </c>
      <c r="F1027" s="22">
        <f t="shared" si="124"/>
        <v>6</v>
      </c>
      <c r="H1027" s="5" t="str">
        <f ca="1">_xlfn.FORMULATEXT(표1[[#This Row],[Q''ty]])</f>
        <v>=F928</v>
      </c>
    </row>
    <row r="1028" spans="1:8" ht="15" hidden="1" customHeight="1" x14ac:dyDescent="0.4">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hidden="1" customHeight="1" x14ac:dyDescent="0.4">
      <c r="A1029" s="6">
        <v>2026</v>
      </c>
      <c r="B1029" s="6">
        <f t="shared" si="120"/>
        <v>11</v>
      </c>
      <c r="C1029" s="13" t="s">
        <v>19</v>
      </c>
      <c r="D1029" s="2" t="s">
        <v>6</v>
      </c>
      <c r="E1029" s="14" t="str">
        <f t="shared" si="123"/>
        <v>L/W Machine</v>
      </c>
      <c r="F1029" s="22">
        <f t="shared" si="124"/>
        <v>10</v>
      </c>
      <c r="H1029" s="5" t="str">
        <f ca="1">_xlfn.FORMULATEXT(표1[[#This Row],[Q''ty]])</f>
        <v>=F930</v>
      </c>
    </row>
    <row r="1030" spans="1:8" ht="15" hidden="1" customHeight="1" x14ac:dyDescent="0.4">
      <c r="A1030" s="6">
        <v>2026</v>
      </c>
      <c r="B1030" s="6">
        <f t="shared" si="120"/>
        <v>11</v>
      </c>
      <c r="C1030" s="13" t="s">
        <v>19</v>
      </c>
      <c r="D1030" s="2" t="s">
        <v>6</v>
      </c>
      <c r="E1030" s="14" t="str">
        <f t="shared" si="123"/>
        <v>C/W Machine</v>
      </c>
      <c r="F1030" s="22">
        <f t="shared" si="124"/>
        <v>12</v>
      </c>
      <c r="H1030" s="5" t="str">
        <f ca="1">_xlfn.FORMULATEXT(표1[[#This Row],[Q''ty]])</f>
        <v>=F931</v>
      </c>
    </row>
    <row r="1031" spans="1:8" ht="15" hidden="1" customHeight="1" x14ac:dyDescent="0.4">
      <c r="A1031" s="6">
        <v>2026</v>
      </c>
      <c r="B1031" s="6">
        <f t="shared" si="120"/>
        <v>11</v>
      </c>
      <c r="C1031" s="13" t="s">
        <v>19</v>
      </c>
      <c r="D1031" s="2" t="s">
        <v>12</v>
      </c>
      <c r="E1031" s="14" t="str">
        <f t="shared" si="123"/>
        <v>BT GT</v>
      </c>
      <c r="F1031" s="22">
        <v>38</v>
      </c>
      <c r="H1031" s="5" t="e">
        <f ca="1">_xlfn.FORMULATEXT(표1[[#This Row],[Q''ty]])</f>
        <v>#N/A</v>
      </c>
    </row>
    <row r="1032" spans="1:8" ht="15" hidden="1" customHeight="1" x14ac:dyDescent="0.4">
      <c r="A1032" s="6">
        <v>2026</v>
      </c>
      <c r="B1032" s="6">
        <f t="shared" si="120"/>
        <v>11</v>
      </c>
      <c r="C1032" s="13" t="s">
        <v>19</v>
      </c>
      <c r="D1032" s="2" t="s">
        <v>12</v>
      </c>
      <c r="E1032" s="14" t="str">
        <f t="shared" si="123"/>
        <v>WT GT</v>
      </c>
      <c r="F1032" s="22">
        <v>36</v>
      </c>
      <c r="H1032" s="5" t="e">
        <f ca="1">_xlfn.FORMULATEXT(표1[[#This Row],[Q''ty]])</f>
        <v>#N/A</v>
      </c>
    </row>
    <row r="1033" spans="1:8" ht="15" hidden="1" customHeight="1" x14ac:dyDescent="0.4">
      <c r="A1033" s="6">
        <v>2026</v>
      </c>
      <c r="B1033" s="6">
        <f t="shared" si="120"/>
        <v>11</v>
      </c>
      <c r="C1033" s="13" t="s">
        <v>19</v>
      </c>
      <c r="D1033" s="2" t="s">
        <v>12</v>
      </c>
      <c r="E1033" s="14" t="str">
        <f t="shared" si="123"/>
        <v>Bending</v>
      </c>
      <c r="F1033" s="22">
        <v>271</v>
      </c>
      <c r="H1033" s="5" t="e">
        <f ca="1">_xlfn.FORMULATEXT(표1[[#This Row],[Q''ty]])</f>
        <v>#N/A</v>
      </c>
    </row>
    <row r="1034" spans="1:8" ht="15" hidden="1" customHeight="1" x14ac:dyDescent="0.4">
      <c r="A1034" s="6">
        <v>2026</v>
      </c>
      <c r="B1034" s="6">
        <f t="shared" si="120"/>
        <v>11</v>
      </c>
      <c r="C1034" s="13" t="s">
        <v>19</v>
      </c>
      <c r="D1034" s="2" t="s">
        <v>12</v>
      </c>
      <c r="E1034" s="14" t="str">
        <f t="shared" si="123"/>
        <v>L/W</v>
      </c>
      <c r="F1034" s="22">
        <v>271</v>
      </c>
      <c r="H1034" s="5" t="e">
        <f ca="1">_xlfn.FORMULATEXT(표1[[#This Row],[Q''ty]])</f>
        <v>#N/A</v>
      </c>
    </row>
    <row r="1035" spans="1:8" ht="15" hidden="1" customHeight="1" thickBot="1" x14ac:dyDescent="0.45">
      <c r="A1035" s="15">
        <v>2026</v>
      </c>
      <c r="B1035" s="15">
        <f t="shared" si="120"/>
        <v>11</v>
      </c>
      <c r="C1035" s="16" t="s">
        <v>19</v>
      </c>
      <c r="D1035" s="17" t="s">
        <v>12</v>
      </c>
      <c r="E1035" s="18" t="str">
        <f t="shared" si="123"/>
        <v>C/W</v>
      </c>
      <c r="F1035" s="23">
        <v>302</v>
      </c>
      <c r="H1035" s="5" t="e">
        <f ca="1">_xlfn.FORMULATEXT(표1[[#This Row],[Q''ty]])</f>
        <v>#N/A</v>
      </c>
    </row>
    <row r="1036" spans="1:8" ht="15" hidden="1" customHeight="1" thickTop="1" x14ac:dyDescent="0.4">
      <c r="A1036" s="6">
        <v>2026</v>
      </c>
      <c r="B1036" s="6">
        <f t="shared" si="120"/>
        <v>11</v>
      </c>
      <c r="C1036" s="13" t="s">
        <v>25</v>
      </c>
      <c r="D1036" s="2" t="s">
        <v>6</v>
      </c>
      <c r="E1036" s="14" t="s">
        <v>7</v>
      </c>
      <c r="F1036" s="22">
        <f t="shared" ref="F1036:F1041" si="125">F937</f>
        <v>3</v>
      </c>
      <c r="H1036" s="5" t="str">
        <f ca="1">_xlfn.FORMULATEXT(표1[[#This Row],[Q''ty]])</f>
        <v>=F937</v>
      </c>
    </row>
    <row r="1037" spans="1:8" ht="15" hidden="1" customHeight="1" x14ac:dyDescent="0.4">
      <c r="A1037" s="6">
        <v>2026</v>
      </c>
      <c r="B1037" s="6">
        <f t="shared" si="120"/>
        <v>11</v>
      </c>
      <c r="C1037" s="13" t="s">
        <v>25</v>
      </c>
      <c r="D1037" s="2" t="s">
        <v>6</v>
      </c>
      <c r="E1037" s="14" t="s">
        <v>8</v>
      </c>
      <c r="F1037" s="22">
        <f t="shared" si="125"/>
        <v>3</v>
      </c>
      <c r="H1037" s="5" t="str">
        <f ca="1">_xlfn.FORMULATEXT(표1[[#This Row],[Q''ty]])</f>
        <v>=F938</v>
      </c>
    </row>
    <row r="1038" spans="1:8" ht="15" hidden="1" customHeight="1" x14ac:dyDescent="0.4">
      <c r="A1038" s="6">
        <v>2026</v>
      </c>
      <c r="B1038" s="6">
        <f t="shared" si="120"/>
        <v>11</v>
      </c>
      <c r="C1038" s="13" t="s">
        <v>25</v>
      </c>
      <c r="D1038" s="2" t="s">
        <v>6</v>
      </c>
      <c r="E1038" s="14" t="s">
        <v>9</v>
      </c>
      <c r="F1038" s="22">
        <f t="shared" si="125"/>
        <v>2</v>
      </c>
      <c r="H1038" s="5" t="str">
        <f ca="1">_xlfn.FORMULATEXT(표1[[#This Row],[Q''ty]])</f>
        <v>=F939</v>
      </c>
    </row>
    <row r="1039" spans="1:8" ht="15" hidden="1" customHeight="1" x14ac:dyDescent="0.4">
      <c r="A1039" s="6">
        <v>2026</v>
      </c>
      <c r="B1039" s="6">
        <f t="shared" si="120"/>
        <v>11</v>
      </c>
      <c r="C1039" s="13" t="s">
        <v>25</v>
      </c>
      <c r="D1039" s="2" t="s">
        <v>6</v>
      </c>
      <c r="E1039" s="14" t="s">
        <v>27</v>
      </c>
      <c r="F1039" s="22">
        <f t="shared" si="125"/>
        <v>2</v>
      </c>
      <c r="H1039" s="5" t="str">
        <f ca="1">_xlfn.FORMULATEXT(표1[[#This Row],[Q''ty]])</f>
        <v>=F940</v>
      </c>
    </row>
    <row r="1040" spans="1:8" ht="15" hidden="1" customHeight="1" x14ac:dyDescent="0.4">
      <c r="A1040" s="6">
        <v>2026</v>
      </c>
      <c r="B1040" s="6">
        <f t="shared" si="120"/>
        <v>11</v>
      </c>
      <c r="C1040" s="13" t="s">
        <v>25</v>
      </c>
      <c r="D1040" s="2" t="s">
        <v>6</v>
      </c>
      <c r="E1040" s="14" t="s">
        <v>10</v>
      </c>
      <c r="F1040" s="22">
        <f t="shared" si="125"/>
        <v>3</v>
      </c>
      <c r="H1040" s="5" t="str">
        <f ca="1">_xlfn.FORMULATEXT(표1[[#This Row],[Q''ty]])</f>
        <v>=F941</v>
      </c>
    </row>
    <row r="1041" spans="1:8" ht="15" hidden="1" customHeight="1" x14ac:dyDescent="0.4">
      <c r="A1041" s="6">
        <v>2026</v>
      </c>
      <c r="B1041" s="6">
        <f t="shared" si="120"/>
        <v>11</v>
      </c>
      <c r="C1041" s="13" t="s">
        <v>25</v>
      </c>
      <c r="D1041" s="2" t="s">
        <v>6</v>
      </c>
      <c r="E1041" s="14" t="s">
        <v>11</v>
      </c>
      <c r="F1041" s="22">
        <f t="shared" si="125"/>
        <v>4</v>
      </c>
      <c r="H1041" s="5" t="str">
        <f ca="1">_xlfn.FORMULATEXT(표1[[#This Row],[Q''ty]])</f>
        <v>=F942</v>
      </c>
    </row>
    <row r="1042" spans="1:8" ht="15" hidden="1" customHeight="1" x14ac:dyDescent="0.4">
      <c r="A1042" s="6">
        <v>2026</v>
      </c>
      <c r="B1042" s="6">
        <f t="shared" si="120"/>
        <v>11</v>
      </c>
      <c r="C1042" s="13" t="s">
        <v>25</v>
      </c>
      <c r="D1042" s="2" t="s">
        <v>12</v>
      </c>
      <c r="E1042" s="14" t="s">
        <v>13</v>
      </c>
      <c r="F1042" s="22">
        <v>0</v>
      </c>
      <c r="H1042" s="5" t="e">
        <f ca="1">_xlfn.FORMULATEXT(표1[[#This Row],[Q''ty]])</f>
        <v>#N/A</v>
      </c>
    </row>
    <row r="1043" spans="1:8" ht="15" hidden="1" customHeight="1" x14ac:dyDescent="0.4">
      <c r="A1043" s="6">
        <v>2026</v>
      </c>
      <c r="B1043" s="6">
        <f t="shared" si="120"/>
        <v>11</v>
      </c>
      <c r="C1043" s="13" t="s">
        <v>25</v>
      </c>
      <c r="D1043" s="2" t="s">
        <v>12</v>
      </c>
      <c r="E1043" s="14" t="s">
        <v>14</v>
      </c>
      <c r="F1043" s="22">
        <v>0</v>
      </c>
      <c r="H1043" s="5" t="e">
        <f ca="1">_xlfn.FORMULATEXT(표1[[#This Row],[Q''ty]])</f>
        <v>#N/A</v>
      </c>
    </row>
    <row r="1044" spans="1:8" ht="15" hidden="1" customHeight="1" x14ac:dyDescent="0.4">
      <c r="A1044" s="6">
        <v>2026</v>
      </c>
      <c r="B1044" s="6">
        <f t="shared" si="120"/>
        <v>11</v>
      </c>
      <c r="C1044" s="13" t="s">
        <v>25</v>
      </c>
      <c r="D1044" s="2" t="s">
        <v>12</v>
      </c>
      <c r="E1044" s="14" t="s">
        <v>15</v>
      </c>
      <c r="F1044" s="22">
        <v>0</v>
      </c>
      <c r="H1044" s="5" t="e">
        <f ca="1">_xlfn.FORMULATEXT(표1[[#This Row],[Q''ty]])</f>
        <v>#N/A</v>
      </c>
    </row>
    <row r="1045" spans="1:8" ht="15" hidden="1" customHeight="1" x14ac:dyDescent="0.4">
      <c r="A1045" s="6">
        <v>2026</v>
      </c>
      <c r="B1045" s="6">
        <f t="shared" si="120"/>
        <v>11</v>
      </c>
      <c r="C1045" s="13" t="s">
        <v>25</v>
      </c>
      <c r="D1045" s="2" t="s">
        <v>12</v>
      </c>
      <c r="E1045" s="14" t="s">
        <v>16</v>
      </c>
      <c r="F1045" s="22">
        <v>0</v>
      </c>
      <c r="H1045" s="5" t="e">
        <f ca="1">_xlfn.FORMULATEXT(표1[[#This Row],[Q''ty]])</f>
        <v>#N/A</v>
      </c>
    </row>
    <row r="1046" spans="1:8" ht="15" hidden="1" customHeight="1" thickBot="1" x14ac:dyDescent="0.45">
      <c r="A1046" s="15">
        <v>2026</v>
      </c>
      <c r="B1046" s="15">
        <f t="shared" si="120"/>
        <v>11</v>
      </c>
      <c r="C1046" s="16" t="s">
        <v>25</v>
      </c>
      <c r="D1046" s="17" t="s">
        <v>12</v>
      </c>
      <c r="E1046" s="18" t="s">
        <v>17</v>
      </c>
      <c r="F1046" s="23">
        <v>0</v>
      </c>
      <c r="H1046" s="5" t="e">
        <f ca="1">_xlfn.FORMULATEXT(표1[[#This Row],[Q''ty]])</f>
        <v>#N/A</v>
      </c>
    </row>
    <row r="1047" spans="1:8" ht="15" hidden="1" customHeight="1" thickTop="1" x14ac:dyDescent="0.4">
      <c r="A1047" s="6">
        <v>2026</v>
      </c>
      <c r="B1047" s="6">
        <f t="shared" si="120"/>
        <v>11</v>
      </c>
      <c r="C1047" s="13" t="s">
        <v>26</v>
      </c>
      <c r="D1047" s="2" t="s">
        <v>6</v>
      </c>
      <c r="E1047" s="14" t="s">
        <v>7</v>
      </c>
      <c r="F1047" s="22">
        <f t="shared" ref="F1047:F1052" si="126">F948</f>
        <v>6</v>
      </c>
      <c r="H1047" s="5" t="str">
        <f ca="1">_xlfn.FORMULATEXT(표1[[#This Row],[Q''ty]])</f>
        <v>=F948</v>
      </c>
    </row>
    <row r="1048" spans="1:8" ht="15" hidden="1" customHeight="1" x14ac:dyDescent="0.4">
      <c r="A1048" s="6">
        <v>2026</v>
      </c>
      <c r="B1048" s="6">
        <f t="shared" si="120"/>
        <v>11</v>
      </c>
      <c r="C1048" s="13" t="s">
        <v>26</v>
      </c>
      <c r="D1048" s="2" t="s">
        <v>6</v>
      </c>
      <c r="E1048" s="14" t="s">
        <v>8</v>
      </c>
      <c r="F1048" s="22">
        <f t="shared" si="126"/>
        <v>4</v>
      </c>
      <c r="H1048" s="5" t="str">
        <f ca="1">_xlfn.FORMULATEXT(표1[[#This Row],[Q''ty]])</f>
        <v>=F949</v>
      </c>
    </row>
    <row r="1049" spans="1:8" ht="15" hidden="1" customHeight="1" x14ac:dyDescent="0.4">
      <c r="A1049" s="6">
        <v>2026</v>
      </c>
      <c r="B1049" s="6">
        <f t="shared" si="120"/>
        <v>11</v>
      </c>
      <c r="C1049" s="13" t="s">
        <v>26</v>
      </c>
      <c r="D1049" s="2" t="s">
        <v>6</v>
      </c>
      <c r="E1049" s="14" t="s">
        <v>9</v>
      </c>
      <c r="F1049" s="22">
        <f t="shared" si="126"/>
        <v>2</v>
      </c>
      <c r="H1049" s="5" t="str">
        <f ca="1">_xlfn.FORMULATEXT(표1[[#This Row],[Q''ty]])</f>
        <v>=F950</v>
      </c>
    </row>
    <row r="1050" spans="1:8" ht="15" hidden="1" customHeight="1" x14ac:dyDescent="0.4">
      <c r="A1050" s="6">
        <v>2026</v>
      </c>
      <c r="B1050" s="6">
        <f t="shared" si="120"/>
        <v>11</v>
      </c>
      <c r="C1050" s="13" t="s">
        <v>26</v>
      </c>
      <c r="D1050" s="2" t="s">
        <v>6</v>
      </c>
      <c r="E1050" s="14" t="s">
        <v>27</v>
      </c>
      <c r="F1050" s="22">
        <f t="shared" si="126"/>
        <v>3</v>
      </c>
      <c r="H1050" s="5" t="str">
        <f ca="1">_xlfn.FORMULATEXT(표1[[#This Row],[Q''ty]])</f>
        <v>=F951</v>
      </c>
    </row>
    <row r="1051" spans="1:8" ht="15" hidden="1" customHeight="1" x14ac:dyDescent="0.4">
      <c r="A1051" s="6">
        <v>2026</v>
      </c>
      <c r="B1051" s="6">
        <f t="shared" si="120"/>
        <v>11</v>
      </c>
      <c r="C1051" s="13" t="s">
        <v>26</v>
      </c>
      <c r="D1051" s="2" t="s">
        <v>6</v>
      </c>
      <c r="E1051" s="14" t="s">
        <v>10</v>
      </c>
      <c r="F1051" s="22">
        <f t="shared" si="126"/>
        <v>4</v>
      </c>
      <c r="H1051" s="5" t="str">
        <f ca="1">_xlfn.FORMULATEXT(표1[[#This Row],[Q''ty]])</f>
        <v>=F952</v>
      </c>
    </row>
    <row r="1052" spans="1:8" ht="15" hidden="1" customHeight="1" x14ac:dyDescent="0.4">
      <c r="A1052" s="6">
        <v>2026</v>
      </c>
      <c r="B1052" s="6">
        <f t="shared" si="120"/>
        <v>11</v>
      </c>
      <c r="C1052" s="13" t="s">
        <v>26</v>
      </c>
      <c r="D1052" s="2" t="s">
        <v>6</v>
      </c>
      <c r="E1052" s="14" t="s">
        <v>11</v>
      </c>
      <c r="F1052" s="22">
        <f t="shared" si="126"/>
        <v>6</v>
      </c>
      <c r="H1052" s="5" t="str">
        <f ca="1">_xlfn.FORMULATEXT(표1[[#This Row],[Q''ty]])</f>
        <v>=F953</v>
      </c>
    </row>
    <row r="1053" spans="1:8" ht="15" hidden="1" customHeight="1" x14ac:dyDescent="0.4">
      <c r="A1053" s="6">
        <v>2026</v>
      </c>
      <c r="B1053" s="6">
        <f t="shared" si="120"/>
        <v>11</v>
      </c>
      <c r="C1053" s="13" t="s">
        <v>26</v>
      </c>
      <c r="D1053" s="2" t="s">
        <v>12</v>
      </c>
      <c r="E1053" s="14" t="str">
        <f t="shared" ref="E1053:E1090" si="127">E954</f>
        <v>BT GT</v>
      </c>
      <c r="F1053" s="22">
        <v>20</v>
      </c>
      <c r="H1053" s="5" t="e">
        <f ca="1">_xlfn.FORMULATEXT(표1[[#This Row],[Q''ty]])</f>
        <v>#N/A</v>
      </c>
    </row>
    <row r="1054" spans="1:8" ht="15" hidden="1" customHeight="1" x14ac:dyDescent="0.4">
      <c r="A1054" s="6">
        <v>2026</v>
      </c>
      <c r="B1054" s="6">
        <f t="shared" si="120"/>
        <v>11</v>
      </c>
      <c r="C1054" s="13" t="s">
        <v>26</v>
      </c>
      <c r="D1054" s="2" t="s">
        <v>12</v>
      </c>
      <c r="E1054" s="14" t="str">
        <f t="shared" si="127"/>
        <v>WT GT</v>
      </c>
      <c r="F1054" s="22">
        <v>22</v>
      </c>
      <c r="H1054" s="5" t="e">
        <f ca="1">_xlfn.FORMULATEXT(표1[[#This Row],[Q''ty]])</f>
        <v>#N/A</v>
      </c>
    </row>
    <row r="1055" spans="1:8" ht="15" hidden="1" customHeight="1" x14ac:dyDescent="0.4">
      <c r="A1055" s="6">
        <v>2026</v>
      </c>
      <c r="B1055" s="6">
        <f t="shared" si="120"/>
        <v>11</v>
      </c>
      <c r="C1055" s="13" t="s">
        <v>26</v>
      </c>
      <c r="D1055" s="2" t="s">
        <v>12</v>
      </c>
      <c r="E1055" s="14" t="str">
        <f t="shared" si="127"/>
        <v>Bending</v>
      </c>
      <c r="F1055" s="22">
        <v>157</v>
      </c>
      <c r="H1055" s="5" t="e">
        <f ca="1">_xlfn.FORMULATEXT(표1[[#This Row],[Q''ty]])</f>
        <v>#N/A</v>
      </c>
    </row>
    <row r="1056" spans="1:8" ht="15" hidden="1" customHeight="1" x14ac:dyDescent="0.4">
      <c r="A1056" s="6">
        <v>2026</v>
      </c>
      <c r="B1056" s="6">
        <f t="shared" si="120"/>
        <v>11</v>
      </c>
      <c r="C1056" s="13" t="s">
        <v>26</v>
      </c>
      <c r="D1056" s="2" t="s">
        <v>12</v>
      </c>
      <c r="E1056" s="14" t="str">
        <f t="shared" si="127"/>
        <v>L/W</v>
      </c>
      <c r="F1056" s="22">
        <v>158</v>
      </c>
      <c r="H1056" s="5" t="e">
        <f ca="1">_xlfn.FORMULATEXT(표1[[#This Row],[Q''ty]])</f>
        <v>#N/A</v>
      </c>
    </row>
    <row r="1057" spans="1:8" ht="15" hidden="1" customHeight="1" thickBot="1" x14ac:dyDescent="0.45">
      <c r="A1057" s="15">
        <v>2026</v>
      </c>
      <c r="B1057" s="15">
        <f t="shared" ref="B1057:B1090" si="128">B958+1</f>
        <v>11</v>
      </c>
      <c r="C1057" s="16" t="s">
        <v>26</v>
      </c>
      <c r="D1057" s="17" t="s">
        <v>12</v>
      </c>
      <c r="E1057" s="18" t="str">
        <f t="shared" si="127"/>
        <v>C/W</v>
      </c>
      <c r="F1057" s="23">
        <v>206.5</v>
      </c>
      <c r="H1057" s="5" t="e">
        <f ca="1">_xlfn.FORMULATEXT(표1[[#This Row],[Q''ty]])</f>
        <v>#N/A</v>
      </c>
    </row>
    <row r="1058" spans="1:8" ht="15" hidden="1" customHeight="1" thickTop="1" x14ac:dyDescent="0.4">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hidden="1" customHeight="1" x14ac:dyDescent="0.4">
      <c r="A1059" s="6">
        <v>2026</v>
      </c>
      <c r="B1059" s="6">
        <f t="shared" si="128"/>
        <v>11</v>
      </c>
      <c r="C1059" s="13" t="s">
        <v>20</v>
      </c>
      <c r="D1059" s="2" t="s">
        <v>6</v>
      </c>
      <c r="E1059" s="14" t="str">
        <f t="shared" si="127"/>
        <v>Paint Booth</v>
      </c>
      <c r="F1059" s="22">
        <f t="shared" si="129"/>
        <v>16</v>
      </c>
      <c r="H1059" s="5" t="str">
        <f ca="1">_xlfn.FORMULATEXT(표1[[#This Row],[Q''ty]])</f>
        <v>=F960</v>
      </c>
    </row>
    <row r="1060" spans="1:8" ht="15" hidden="1" customHeight="1" x14ac:dyDescent="0.4">
      <c r="A1060" s="6">
        <v>2026</v>
      </c>
      <c r="B1060" s="6">
        <f t="shared" si="128"/>
        <v>11</v>
      </c>
      <c r="C1060" s="13" t="s">
        <v>20</v>
      </c>
      <c r="D1060" s="2" t="s">
        <v>6</v>
      </c>
      <c r="E1060" s="14" t="str">
        <f t="shared" si="127"/>
        <v>Paint Line</v>
      </c>
      <c r="F1060" s="22">
        <f t="shared" si="129"/>
        <v>8</v>
      </c>
      <c r="H1060" s="5" t="str">
        <f ca="1">_xlfn.FORMULATEXT(표1[[#This Row],[Q''ty]])</f>
        <v>=F961</v>
      </c>
    </row>
    <row r="1061" spans="1:8" ht="15" hidden="1" customHeight="1" x14ac:dyDescent="0.4">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hidden="1" customHeight="1" x14ac:dyDescent="0.4">
      <c r="A1062" s="6">
        <v>2026</v>
      </c>
      <c r="B1062" s="6">
        <f t="shared" si="128"/>
        <v>11</v>
      </c>
      <c r="C1062" s="13" t="s">
        <v>20</v>
      </c>
      <c r="D1062" s="2" t="s">
        <v>6</v>
      </c>
      <c r="E1062" s="14" t="str">
        <f t="shared" si="127"/>
        <v>L/W Machine</v>
      </c>
      <c r="F1062" s="22">
        <f t="shared" si="129"/>
        <v>11</v>
      </c>
      <c r="H1062" s="5" t="str">
        <f ca="1">_xlfn.FORMULATEXT(표1[[#This Row],[Q''ty]])</f>
        <v>=F963</v>
      </c>
    </row>
    <row r="1063" spans="1:8" ht="15" hidden="1" customHeight="1" x14ac:dyDescent="0.4">
      <c r="A1063" s="6">
        <v>2026</v>
      </c>
      <c r="B1063" s="6">
        <f t="shared" si="128"/>
        <v>11</v>
      </c>
      <c r="C1063" s="13" t="s">
        <v>20</v>
      </c>
      <c r="D1063" s="2" t="s">
        <v>6</v>
      </c>
      <c r="E1063" s="14" t="str">
        <f t="shared" si="127"/>
        <v>C/W Machine</v>
      </c>
      <c r="F1063" s="22">
        <f t="shared" si="129"/>
        <v>15</v>
      </c>
      <c r="H1063" s="5" t="str">
        <f ca="1">_xlfn.FORMULATEXT(표1[[#This Row],[Q''ty]])</f>
        <v>=F964</v>
      </c>
    </row>
    <row r="1064" spans="1:8" ht="15" hidden="1" customHeight="1" x14ac:dyDescent="0.4">
      <c r="A1064" s="6">
        <v>2026</v>
      </c>
      <c r="B1064" s="6">
        <f t="shared" si="128"/>
        <v>11</v>
      </c>
      <c r="C1064" s="13" t="s">
        <v>20</v>
      </c>
      <c r="D1064" s="2" t="s">
        <v>12</v>
      </c>
      <c r="E1064" s="14" t="str">
        <f t="shared" si="127"/>
        <v>BT GT</v>
      </c>
      <c r="F1064" s="22">
        <v>70</v>
      </c>
      <c r="H1064" s="5" t="e">
        <f ca="1">_xlfn.FORMULATEXT(표1[[#This Row],[Q''ty]])</f>
        <v>#N/A</v>
      </c>
    </row>
    <row r="1065" spans="1:8" ht="15" hidden="1" customHeight="1" x14ac:dyDescent="0.4">
      <c r="A1065" s="6">
        <v>2026</v>
      </c>
      <c r="B1065" s="6">
        <f t="shared" si="128"/>
        <v>11</v>
      </c>
      <c r="C1065" s="13" t="s">
        <v>20</v>
      </c>
      <c r="D1065" s="2" t="s">
        <v>12</v>
      </c>
      <c r="E1065" s="14" t="str">
        <f t="shared" si="127"/>
        <v>WT GT</v>
      </c>
      <c r="F1065" s="22">
        <v>80</v>
      </c>
      <c r="H1065" s="5" t="e">
        <f ca="1">_xlfn.FORMULATEXT(표1[[#This Row],[Q''ty]])</f>
        <v>#N/A</v>
      </c>
    </row>
    <row r="1066" spans="1:8" ht="15" hidden="1" customHeight="1" x14ac:dyDescent="0.4">
      <c r="A1066" s="6">
        <v>2026</v>
      </c>
      <c r="B1066" s="6">
        <f t="shared" si="128"/>
        <v>11</v>
      </c>
      <c r="C1066" s="13" t="s">
        <v>20</v>
      </c>
      <c r="D1066" s="2" t="s">
        <v>12</v>
      </c>
      <c r="E1066" s="14" t="str">
        <f t="shared" si="127"/>
        <v>Bending</v>
      </c>
      <c r="F1066" s="22">
        <v>639</v>
      </c>
      <c r="H1066" s="5" t="e">
        <f ca="1">_xlfn.FORMULATEXT(표1[[#This Row],[Q''ty]])</f>
        <v>#N/A</v>
      </c>
    </row>
    <row r="1067" spans="1:8" ht="15" hidden="1" customHeight="1" x14ac:dyDescent="0.4">
      <c r="A1067" s="6">
        <v>2026</v>
      </c>
      <c r="B1067" s="6">
        <f t="shared" si="128"/>
        <v>11</v>
      </c>
      <c r="C1067" s="13" t="s">
        <v>20</v>
      </c>
      <c r="D1067" s="2" t="s">
        <v>12</v>
      </c>
      <c r="E1067" s="14" t="str">
        <f t="shared" si="127"/>
        <v>L/W</v>
      </c>
      <c r="F1067" s="22">
        <v>637</v>
      </c>
      <c r="H1067" s="5" t="e">
        <f ca="1">_xlfn.FORMULATEXT(표1[[#This Row],[Q''ty]])</f>
        <v>#N/A</v>
      </c>
    </row>
    <row r="1068" spans="1:8" ht="15" hidden="1" customHeight="1" thickBot="1" x14ac:dyDescent="0.45">
      <c r="A1068" s="15">
        <v>2026</v>
      </c>
      <c r="B1068" s="15">
        <f t="shared" si="128"/>
        <v>11</v>
      </c>
      <c r="C1068" s="16" t="s">
        <v>20</v>
      </c>
      <c r="D1068" s="17" t="s">
        <v>12</v>
      </c>
      <c r="E1068" s="18" t="str">
        <f t="shared" si="127"/>
        <v>C/W</v>
      </c>
      <c r="F1068" s="23">
        <v>543</v>
      </c>
      <c r="H1068" s="5" t="e">
        <f ca="1">_xlfn.FORMULATEXT(표1[[#This Row],[Q''ty]])</f>
        <v>#N/A</v>
      </c>
    </row>
    <row r="1069" spans="1:8" ht="15" hidden="1" customHeight="1" thickTop="1" x14ac:dyDescent="0.4">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hidden="1" customHeight="1" x14ac:dyDescent="0.4">
      <c r="A1070" s="6">
        <v>2026</v>
      </c>
      <c r="B1070" s="6">
        <f t="shared" si="128"/>
        <v>11</v>
      </c>
      <c r="C1070" s="13" t="s">
        <v>21</v>
      </c>
      <c r="D1070" s="2" t="s">
        <v>6</v>
      </c>
      <c r="E1070" s="14" t="str">
        <f t="shared" si="127"/>
        <v>Paint Booth</v>
      </c>
      <c r="F1070" s="22">
        <f t="shared" si="130"/>
        <v>4</v>
      </c>
      <c r="H1070" s="5" t="str">
        <f ca="1">_xlfn.FORMULATEXT(표1[[#This Row],[Q''ty]])</f>
        <v>=F971</v>
      </c>
    </row>
    <row r="1071" spans="1:8" ht="15" hidden="1" customHeight="1" x14ac:dyDescent="0.4">
      <c r="A1071" s="6">
        <v>2026</v>
      </c>
      <c r="B1071" s="6">
        <f t="shared" si="128"/>
        <v>11</v>
      </c>
      <c r="C1071" s="13" t="s">
        <v>21</v>
      </c>
      <c r="D1071" s="2" t="s">
        <v>6</v>
      </c>
      <c r="E1071" s="14" t="str">
        <f t="shared" si="127"/>
        <v>Paint Line</v>
      </c>
      <c r="F1071" s="22">
        <f t="shared" si="130"/>
        <v>4</v>
      </c>
      <c r="H1071" s="5" t="str">
        <f ca="1">_xlfn.FORMULATEXT(표1[[#This Row],[Q''ty]])</f>
        <v>=F972</v>
      </c>
    </row>
    <row r="1072" spans="1:8" ht="15" hidden="1" customHeight="1" x14ac:dyDescent="0.4">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hidden="1" customHeight="1" x14ac:dyDescent="0.4">
      <c r="A1073" s="6">
        <v>2026</v>
      </c>
      <c r="B1073" s="6">
        <f t="shared" si="128"/>
        <v>11</v>
      </c>
      <c r="C1073" s="13" t="s">
        <v>21</v>
      </c>
      <c r="D1073" s="2" t="s">
        <v>6</v>
      </c>
      <c r="E1073" s="14" t="str">
        <f t="shared" si="127"/>
        <v>L/W Machine</v>
      </c>
      <c r="F1073" s="22">
        <f t="shared" si="130"/>
        <v>4</v>
      </c>
      <c r="H1073" s="5" t="str">
        <f ca="1">_xlfn.FORMULATEXT(표1[[#This Row],[Q''ty]])</f>
        <v>=F974</v>
      </c>
    </row>
    <row r="1074" spans="1:8" ht="15" hidden="1" customHeight="1" x14ac:dyDescent="0.4">
      <c r="A1074" s="6">
        <v>2026</v>
      </c>
      <c r="B1074" s="6">
        <f t="shared" si="128"/>
        <v>11</v>
      </c>
      <c r="C1074" s="13" t="s">
        <v>21</v>
      </c>
      <c r="D1074" s="2" t="s">
        <v>6</v>
      </c>
      <c r="E1074" s="14" t="str">
        <f t="shared" si="127"/>
        <v>C/W Machine</v>
      </c>
      <c r="F1074" s="22">
        <f t="shared" si="130"/>
        <v>6.5</v>
      </c>
      <c r="H1074" s="5" t="str">
        <f ca="1">_xlfn.FORMULATEXT(표1[[#This Row],[Q''ty]])</f>
        <v>=F975</v>
      </c>
    </row>
    <row r="1075" spans="1:8" ht="15" hidden="1" customHeight="1" x14ac:dyDescent="0.4">
      <c r="A1075" s="6">
        <v>2026</v>
      </c>
      <c r="B1075" s="6">
        <f t="shared" si="128"/>
        <v>11</v>
      </c>
      <c r="C1075" s="13" t="s">
        <v>21</v>
      </c>
      <c r="D1075" s="2" t="s">
        <v>12</v>
      </c>
      <c r="E1075" s="14" t="str">
        <f t="shared" si="127"/>
        <v>BT GT</v>
      </c>
      <c r="F1075" s="22">
        <v>16</v>
      </c>
      <c r="H1075" s="5" t="e">
        <f ca="1">_xlfn.FORMULATEXT(표1[[#This Row],[Q''ty]])</f>
        <v>#N/A</v>
      </c>
    </row>
    <row r="1076" spans="1:8" ht="15" hidden="1" customHeight="1" x14ac:dyDescent="0.4">
      <c r="A1076" s="6">
        <v>2026</v>
      </c>
      <c r="B1076" s="6">
        <f t="shared" si="128"/>
        <v>11</v>
      </c>
      <c r="C1076" s="13" t="s">
        <v>21</v>
      </c>
      <c r="D1076" s="2" t="s">
        <v>12</v>
      </c>
      <c r="E1076" s="14" t="str">
        <f t="shared" si="127"/>
        <v>WT GT</v>
      </c>
      <c r="F1076" s="22">
        <v>13</v>
      </c>
      <c r="H1076" s="5" t="e">
        <f ca="1">_xlfn.FORMULATEXT(표1[[#This Row],[Q''ty]])</f>
        <v>#N/A</v>
      </c>
    </row>
    <row r="1077" spans="1:8" ht="15" hidden="1" customHeight="1" x14ac:dyDescent="0.4">
      <c r="A1077" s="6">
        <v>2026</v>
      </c>
      <c r="B1077" s="6">
        <f t="shared" si="128"/>
        <v>11</v>
      </c>
      <c r="C1077" s="13" t="s">
        <v>21</v>
      </c>
      <c r="D1077" s="2" t="s">
        <v>12</v>
      </c>
      <c r="E1077" s="14" t="str">
        <f t="shared" si="127"/>
        <v>Bending</v>
      </c>
      <c r="F1077" s="22">
        <v>110</v>
      </c>
      <c r="H1077" s="5" t="e">
        <f ca="1">_xlfn.FORMULATEXT(표1[[#This Row],[Q''ty]])</f>
        <v>#N/A</v>
      </c>
    </row>
    <row r="1078" spans="1:8" ht="15" hidden="1" customHeight="1" x14ac:dyDescent="0.4">
      <c r="A1078" s="6">
        <v>2026</v>
      </c>
      <c r="B1078" s="6">
        <f t="shared" si="128"/>
        <v>11</v>
      </c>
      <c r="C1078" s="13" t="s">
        <v>21</v>
      </c>
      <c r="D1078" s="2" t="s">
        <v>12</v>
      </c>
      <c r="E1078" s="14" t="str">
        <f t="shared" si="127"/>
        <v>L/W</v>
      </c>
      <c r="F1078" s="22">
        <v>110</v>
      </c>
      <c r="H1078" s="5" t="e">
        <f ca="1">_xlfn.FORMULATEXT(표1[[#This Row],[Q''ty]])</f>
        <v>#N/A</v>
      </c>
    </row>
    <row r="1079" spans="1:8" ht="15" hidden="1" customHeight="1" thickBot="1" x14ac:dyDescent="0.45">
      <c r="A1079" s="15">
        <v>2026</v>
      </c>
      <c r="B1079" s="15">
        <f t="shared" si="128"/>
        <v>11</v>
      </c>
      <c r="C1079" s="16" t="s">
        <v>21</v>
      </c>
      <c r="D1079" s="17" t="s">
        <v>12</v>
      </c>
      <c r="E1079" s="18" t="str">
        <f t="shared" si="127"/>
        <v>C/W</v>
      </c>
      <c r="F1079" s="23">
        <v>139</v>
      </c>
      <c r="H1079" s="5" t="e">
        <f ca="1">_xlfn.FORMULATEXT(표1[[#This Row],[Q''ty]])</f>
        <v>#N/A</v>
      </c>
    </row>
    <row r="1080" spans="1:8" ht="15" hidden="1" customHeight="1" thickTop="1" x14ac:dyDescent="0.4">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hidden="1" customHeight="1" x14ac:dyDescent="0.4">
      <c r="A1081" s="6">
        <v>2026</v>
      </c>
      <c r="B1081" s="6">
        <f t="shared" si="128"/>
        <v>11</v>
      </c>
      <c r="C1081" s="13" t="s">
        <v>22</v>
      </c>
      <c r="D1081" s="2" t="s">
        <v>6</v>
      </c>
      <c r="E1081" s="14" t="str">
        <f t="shared" si="127"/>
        <v>Paint Booth</v>
      </c>
      <c r="F1081" s="22">
        <f t="shared" si="131"/>
        <v>6</v>
      </c>
      <c r="H1081" s="5" t="str">
        <f ca="1">_xlfn.FORMULATEXT(표1[[#This Row],[Q''ty]])</f>
        <v>=F982</v>
      </c>
    </row>
    <row r="1082" spans="1:8" ht="15" hidden="1" customHeight="1" x14ac:dyDescent="0.4">
      <c r="A1082" s="6">
        <v>2026</v>
      </c>
      <c r="B1082" s="6">
        <f t="shared" si="128"/>
        <v>11</v>
      </c>
      <c r="C1082" s="13" t="s">
        <v>22</v>
      </c>
      <c r="D1082" s="2" t="s">
        <v>6</v>
      </c>
      <c r="E1082" s="14" t="str">
        <f t="shared" si="127"/>
        <v>Paint Line</v>
      </c>
      <c r="F1082" s="22">
        <f t="shared" si="131"/>
        <v>4</v>
      </c>
      <c r="H1082" s="5" t="str">
        <f ca="1">_xlfn.FORMULATEXT(표1[[#This Row],[Q''ty]])</f>
        <v>=F983</v>
      </c>
    </row>
    <row r="1083" spans="1:8" ht="15" hidden="1" customHeight="1" x14ac:dyDescent="0.4">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hidden="1" customHeight="1" x14ac:dyDescent="0.4">
      <c r="A1084" s="6">
        <v>2026</v>
      </c>
      <c r="B1084" s="6">
        <f t="shared" si="128"/>
        <v>11</v>
      </c>
      <c r="C1084" s="13" t="s">
        <v>22</v>
      </c>
      <c r="D1084" s="2" t="s">
        <v>6</v>
      </c>
      <c r="E1084" s="14" t="str">
        <f t="shared" si="127"/>
        <v>L/W Machine</v>
      </c>
      <c r="F1084" s="22">
        <f t="shared" si="131"/>
        <v>7</v>
      </c>
      <c r="H1084" s="5" t="str">
        <f ca="1">_xlfn.FORMULATEXT(표1[[#This Row],[Q''ty]])</f>
        <v>=F985</v>
      </c>
    </row>
    <row r="1085" spans="1:8" ht="15" hidden="1" customHeight="1" x14ac:dyDescent="0.4">
      <c r="A1085" s="6">
        <v>2026</v>
      </c>
      <c r="B1085" s="6">
        <f t="shared" si="128"/>
        <v>11</v>
      </c>
      <c r="C1085" s="13" t="s">
        <v>22</v>
      </c>
      <c r="D1085" s="2" t="s">
        <v>6</v>
      </c>
      <c r="E1085" s="14" t="str">
        <f t="shared" si="127"/>
        <v>C/W Machine</v>
      </c>
      <c r="F1085" s="22">
        <f t="shared" si="131"/>
        <v>12.5</v>
      </c>
      <c r="H1085" s="5" t="str">
        <f ca="1">_xlfn.FORMULATEXT(표1[[#This Row],[Q''ty]])</f>
        <v>=F986</v>
      </c>
    </row>
    <row r="1086" spans="1:8" ht="15" hidden="1" customHeight="1" x14ac:dyDescent="0.4">
      <c r="A1086" s="6">
        <v>2026</v>
      </c>
      <c r="B1086" s="6">
        <f t="shared" si="128"/>
        <v>11</v>
      </c>
      <c r="C1086" s="13" t="s">
        <v>22</v>
      </c>
      <c r="D1086" s="2" t="s">
        <v>12</v>
      </c>
      <c r="E1086" s="14" t="str">
        <f t="shared" si="127"/>
        <v>BT GT</v>
      </c>
      <c r="F1086" s="22">
        <v>9</v>
      </c>
      <c r="H1086" s="5" t="e">
        <f ca="1">_xlfn.FORMULATEXT(표1[[#This Row],[Q''ty]])</f>
        <v>#N/A</v>
      </c>
    </row>
    <row r="1087" spans="1:8" ht="15" hidden="1" customHeight="1" x14ac:dyDescent="0.4">
      <c r="A1087" s="6">
        <v>2026</v>
      </c>
      <c r="B1087" s="6">
        <f t="shared" si="128"/>
        <v>11</v>
      </c>
      <c r="C1087" s="13" t="s">
        <v>22</v>
      </c>
      <c r="D1087" s="2" t="s">
        <v>12</v>
      </c>
      <c r="E1087" s="14" t="str">
        <f t="shared" si="127"/>
        <v>WT GT</v>
      </c>
      <c r="F1087" s="22">
        <v>11</v>
      </c>
      <c r="H1087" s="5" t="e">
        <f ca="1">_xlfn.FORMULATEXT(표1[[#This Row],[Q''ty]])</f>
        <v>#N/A</v>
      </c>
    </row>
    <row r="1088" spans="1:8" ht="15" hidden="1" customHeight="1" x14ac:dyDescent="0.4">
      <c r="A1088" s="6">
        <v>2026</v>
      </c>
      <c r="B1088" s="6">
        <f t="shared" si="128"/>
        <v>11</v>
      </c>
      <c r="C1088" s="13" t="s">
        <v>22</v>
      </c>
      <c r="D1088" s="2" t="s">
        <v>12</v>
      </c>
      <c r="E1088" s="14" t="str">
        <f t="shared" si="127"/>
        <v>Bending</v>
      </c>
      <c r="F1088" s="22">
        <v>80</v>
      </c>
      <c r="H1088" s="5" t="e">
        <f ca="1">_xlfn.FORMULATEXT(표1[[#This Row],[Q''ty]])</f>
        <v>#N/A</v>
      </c>
    </row>
    <row r="1089" spans="1:10" ht="15" hidden="1" customHeight="1" x14ac:dyDescent="0.4">
      <c r="A1089" s="6">
        <v>2026</v>
      </c>
      <c r="B1089" s="6">
        <f t="shared" si="128"/>
        <v>11</v>
      </c>
      <c r="C1089" s="13" t="s">
        <v>22</v>
      </c>
      <c r="D1089" s="2" t="s">
        <v>12</v>
      </c>
      <c r="E1089" s="14" t="str">
        <f t="shared" si="127"/>
        <v>L/W</v>
      </c>
      <c r="F1089" s="22">
        <v>85</v>
      </c>
      <c r="H1089" s="5" t="e">
        <f ca="1">_xlfn.FORMULATEXT(표1[[#This Row],[Q''ty]])</f>
        <v>#N/A</v>
      </c>
    </row>
    <row r="1090" spans="1:10" ht="15" hidden="1" customHeight="1" thickBot="1" x14ac:dyDescent="0.45">
      <c r="A1090" s="6">
        <v>2026</v>
      </c>
      <c r="B1090" s="6">
        <f t="shared" si="128"/>
        <v>11</v>
      </c>
      <c r="C1090" s="13" t="s">
        <v>22</v>
      </c>
      <c r="D1090" s="2" t="s">
        <v>12</v>
      </c>
      <c r="E1090" s="14" t="str">
        <f t="shared" si="127"/>
        <v>C/W</v>
      </c>
      <c r="F1090" s="22">
        <v>101</v>
      </c>
      <c r="H1090" s="5" t="e">
        <f ca="1">_xlfn.FORMULATEXT(표1[[#This Row],[Q''ty]])</f>
        <v>#N/A</v>
      </c>
    </row>
    <row r="1091" spans="1:10" ht="15" hidden="1" customHeight="1" thickTop="1" x14ac:dyDescent="0.4">
      <c r="A1091" s="9">
        <v>2026</v>
      </c>
      <c r="B1091" s="9">
        <f>B992+1</f>
        <v>12</v>
      </c>
      <c r="C1091" s="10" t="s">
        <v>28</v>
      </c>
      <c r="D1091" s="11" t="s">
        <v>6</v>
      </c>
      <c r="E1091" s="12" t="s">
        <v>7</v>
      </c>
      <c r="F1091" s="21">
        <f t="shared" ref="F1091:F1096" si="132">F992</f>
        <v>15</v>
      </c>
      <c r="H1091" s="5" t="str">
        <f ca="1">_xlfn.FORMULATEXT(표1[[#This Row],[Q''ty]])</f>
        <v>=F992</v>
      </c>
    </row>
    <row r="1092" spans="1:10" s="2" customFormat="1" ht="15" hidden="1" customHeight="1" x14ac:dyDescent="0.4">
      <c r="A1092" s="6">
        <v>2026</v>
      </c>
      <c r="B1092" s="6">
        <f t="shared" ref="B1092:B1155" si="133">B993+1</f>
        <v>12</v>
      </c>
      <c r="C1092" s="13" t="s">
        <v>23</v>
      </c>
      <c r="D1092" s="2" t="s">
        <v>6</v>
      </c>
      <c r="E1092" s="14" t="s">
        <v>8</v>
      </c>
      <c r="F1092" s="22">
        <f t="shared" si="132"/>
        <v>10</v>
      </c>
      <c r="H1092" s="5" t="str">
        <f ca="1">_xlfn.FORMULATEXT(표1[[#This Row],[Q''ty]])</f>
        <v>=F993</v>
      </c>
      <c r="I1092" s="26"/>
      <c r="J1092" s="26"/>
    </row>
    <row r="1093" spans="1:10" s="2" customFormat="1" ht="15" hidden="1" customHeight="1" x14ac:dyDescent="0.4">
      <c r="A1093" s="6">
        <v>2026</v>
      </c>
      <c r="B1093" s="6">
        <f t="shared" si="133"/>
        <v>12</v>
      </c>
      <c r="C1093" s="13" t="s">
        <v>23</v>
      </c>
      <c r="D1093" s="2" t="s">
        <v>6</v>
      </c>
      <c r="E1093" s="14" t="s">
        <v>9</v>
      </c>
      <c r="F1093" s="22">
        <f t="shared" si="132"/>
        <v>5</v>
      </c>
      <c r="H1093" s="5" t="str">
        <f ca="1">_xlfn.FORMULATEXT(표1[[#This Row],[Q''ty]])</f>
        <v>=F994</v>
      </c>
      <c r="I1093" s="26"/>
      <c r="J1093" s="26"/>
    </row>
    <row r="1094" spans="1:10" ht="15" hidden="1" customHeight="1" x14ac:dyDescent="0.4">
      <c r="A1094" s="6">
        <v>2026</v>
      </c>
      <c r="B1094" s="6">
        <f t="shared" si="133"/>
        <v>12</v>
      </c>
      <c r="C1094" s="13" t="s">
        <v>23</v>
      </c>
      <c r="D1094" s="2" t="s">
        <v>6</v>
      </c>
      <c r="E1094" s="14" t="s">
        <v>27</v>
      </c>
      <c r="F1094" s="22">
        <f t="shared" si="132"/>
        <v>6</v>
      </c>
      <c r="H1094" s="5" t="str">
        <f ca="1">_xlfn.FORMULATEXT(표1[[#This Row],[Q''ty]])</f>
        <v>=F995</v>
      </c>
    </row>
    <row r="1095" spans="1:10" ht="15" hidden="1" customHeight="1" x14ac:dyDescent="0.4">
      <c r="A1095" s="6">
        <v>2026</v>
      </c>
      <c r="B1095" s="6">
        <f t="shared" si="133"/>
        <v>12</v>
      </c>
      <c r="C1095" s="13" t="s">
        <v>23</v>
      </c>
      <c r="D1095" s="2" t="s">
        <v>6</v>
      </c>
      <c r="E1095" s="14" t="s">
        <v>10</v>
      </c>
      <c r="F1095" s="22">
        <f t="shared" si="132"/>
        <v>10</v>
      </c>
      <c r="H1095" s="5" t="str">
        <f ca="1">_xlfn.FORMULATEXT(표1[[#This Row],[Q''ty]])</f>
        <v>=F996</v>
      </c>
    </row>
    <row r="1096" spans="1:10" ht="15" hidden="1" customHeight="1" x14ac:dyDescent="0.4">
      <c r="A1096" s="6">
        <v>2026</v>
      </c>
      <c r="B1096" s="6">
        <f t="shared" si="133"/>
        <v>12</v>
      </c>
      <c r="C1096" s="13" t="s">
        <v>23</v>
      </c>
      <c r="D1096" s="2" t="s">
        <v>6</v>
      </c>
      <c r="E1096" s="14" t="s">
        <v>11</v>
      </c>
      <c r="F1096" s="22">
        <f t="shared" si="132"/>
        <v>10</v>
      </c>
      <c r="H1096" s="5" t="str">
        <f ca="1">_xlfn.FORMULATEXT(표1[[#This Row],[Q''ty]])</f>
        <v>=F997</v>
      </c>
    </row>
    <row r="1097" spans="1:10" ht="15" hidden="1" customHeight="1" x14ac:dyDescent="0.4">
      <c r="A1097" s="6">
        <v>2026</v>
      </c>
      <c r="B1097" s="6">
        <f t="shared" si="133"/>
        <v>12</v>
      </c>
      <c r="C1097" s="13" t="s">
        <v>23</v>
      </c>
      <c r="D1097" s="2" t="s">
        <v>12</v>
      </c>
      <c r="E1097" s="14" t="s">
        <v>13</v>
      </c>
      <c r="F1097" s="22">
        <v>16</v>
      </c>
      <c r="H1097" s="5" t="e">
        <f ca="1">_xlfn.FORMULATEXT(표1[[#This Row],[Q''ty]])</f>
        <v>#N/A</v>
      </c>
    </row>
    <row r="1098" spans="1:10" s="2" customFormat="1" ht="15" hidden="1" customHeight="1" x14ac:dyDescent="0.4">
      <c r="A1098" s="6">
        <v>2026</v>
      </c>
      <c r="B1098" s="6">
        <f t="shared" si="133"/>
        <v>12</v>
      </c>
      <c r="C1098" s="13" t="s">
        <v>23</v>
      </c>
      <c r="D1098" s="2" t="s">
        <v>12</v>
      </c>
      <c r="E1098" s="14" t="s">
        <v>14</v>
      </c>
      <c r="F1098" s="22">
        <v>10</v>
      </c>
      <c r="H1098" s="5" t="e">
        <f ca="1">_xlfn.FORMULATEXT(표1[[#This Row],[Q''ty]])</f>
        <v>#N/A</v>
      </c>
      <c r="I1098" s="26"/>
      <c r="J1098" s="26"/>
    </row>
    <row r="1099" spans="1:10" ht="15" hidden="1" customHeight="1" x14ac:dyDescent="0.4">
      <c r="A1099" s="6">
        <v>2026</v>
      </c>
      <c r="B1099" s="6">
        <f t="shared" si="133"/>
        <v>12</v>
      </c>
      <c r="C1099" s="13" t="s">
        <v>23</v>
      </c>
      <c r="D1099" s="2" t="s">
        <v>12</v>
      </c>
      <c r="E1099" s="14" t="s">
        <v>15</v>
      </c>
      <c r="F1099" s="22">
        <v>204</v>
      </c>
      <c r="H1099" s="5" t="e">
        <f ca="1">_xlfn.FORMULATEXT(표1[[#This Row],[Q''ty]])</f>
        <v>#N/A</v>
      </c>
    </row>
    <row r="1100" spans="1:10" ht="15" hidden="1" customHeight="1" x14ac:dyDescent="0.4">
      <c r="A1100" s="6">
        <v>2026</v>
      </c>
      <c r="B1100" s="6">
        <f t="shared" si="133"/>
        <v>12</v>
      </c>
      <c r="C1100" s="13" t="s">
        <v>23</v>
      </c>
      <c r="D1100" s="2" t="s">
        <v>12</v>
      </c>
      <c r="E1100" s="14" t="s">
        <v>16</v>
      </c>
      <c r="F1100" s="22">
        <v>200</v>
      </c>
      <c r="H1100" s="5" t="e">
        <f ca="1">_xlfn.FORMULATEXT(표1[[#This Row],[Q''ty]])</f>
        <v>#N/A</v>
      </c>
    </row>
    <row r="1101" spans="1:10" ht="15" hidden="1" customHeight="1" thickBot="1" x14ac:dyDescent="0.45">
      <c r="A1101" s="15">
        <v>2026</v>
      </c>
      <c r="B1101" s="15">
        <f t="shared" si="133"/>
        <v>12</v>
      </c>
      <c r="C1101" s="16" t="s">
        <v>23</v>
      </c>
      <c r="D1101" s="17" t="s">
        <v>12</v>
      </c>
      <c r="E1101" s="18" t="s">
        <v>17</v>
      </c>
      <c r="F1101" s="23">
        <v>253</v>
      </c>
      <c r="H1101" s="5" t="e">
        <f ca="1">_xlfn.FORMULATEXT(표1[[#This Row],[Q''ty]])</f>
        <v>#N/A</v>
      </c>
    </row>
    <row r="1102" spans="1:10" ht="15" hidden="1" customHeight="1" thickTop="1" x14ac:dyDescent="0.4">
      <c r="A1102" s="9">
        <v>2026</v>
      </c>
      <c r="B1102" s="9">
        <f t="shared" si="133"/>
        <v>12</v>
      </c>
      <c r="C1102" s="10" t="s">
        <v>29</v>
      </c>
      <c r="D1102" s="11" t="s">
        <v>6</v>
      </c>
      <c r="E1102" s="12" t="s">
        <v>7</v>
      </c>
      <c r="F1102" s="21">
        <f t="shared" ref="F1102:F1107" si="134">F1003</f>
        <v>14</v>
      </c>
      <c r="H1102" s="5" t="str">
        <f ca="1">_xlfn.FORMULATEXT(표1[[#This Row],[Q''ty]])</f>
        <v>=F1003</v>
      </c>
    </row>
    <row r="1103" spans="1:10" s="2" customFormat="1" ht="15" hidden="1" customHeight="1" x14ac:dyDescent="0.4">
      <c r="A1103" s="6">
        <v>2026</v>
      </c>
      <c r="B1103" s="6">
        <f t="shared" si="133"/>
        <v>12</v>
      </c>
      <c r="C1103" s="13" t="s">
        <v>24</v>
      </c>
      <c r="D1103" s="2" t="s">
        <v>6</v>
      </c>
      <c r="E1103" s="14" t="s">
        <v>8</v>
      </c>
      <c r="F1103" s="22">
        <f t="shared" si="134"/>
        <v>8</v>
      </c>
      <c r="H1103" s="5" t="str">
        <f ca="1">_xlfn.FORMULATEXT(표1[[#This Row],[Q''ty]])</f>
        <v>=F1004</v>
      </c>
      <c r="I1103" s="26"/>
      <c r="J1103" s="26"/>
    </row>
    <row r="1104" spans="1:10" s="2" customFormat="1" ht="15" hidden="1" customHeight="1" x14ac:dyDescent="0.4">
      <c r="A1104" s="6">
        <v>2026</v>
      </c>
      <c r="B1104" s="6">
        <f t="shared" si="133"/>
        <v>12</v>
      </c>
      <c r="C1104" s="13" t="s">
        <v>24</v>
      </c>
      <c r="D1104" s="2" t="s">
        <v>6</v>
      </c>
      <c r="E1104" s="14" t="s">
        <v>9</v>
      </c>
      <c r="F1104" s="22">
        <f t="shared" si="134"/>
        <v>4</v>
      </c>
      <c r="H1104" s="5" t="str">
        <f ca="1">_xlfn.FORMULATEXT(표1[[#This Row],[Q''ty]])</f>
        <v>=F1005</v>
      </c>
      <c r="I1104" s="26"/>
      <c r="J1104" s="26"/>
    </row>
    <row r="1105" spans="1:10" ht="15" hidden="1" customHeight="1" x14ac:dyDescent="0.4">
      <c r="A1105" s="6">
        <v>2026</v>
      </c>
      <c r="B1105" s="6">
        <f t="shared" si="133"/>
        <v>12</v>
      </c>
      <c r="C1105" s="13" t="s">
        <v>24</v>
      </c>
      <c r="D1105" s="2" t="s">
        <v>6</v>
      </c>
      <c r="E1105" s="14" t="s">
        <v>27</v>
      </c>
      <c r="F1105" s="22">
        <f t="shared" si="134"/>
        <v>3</v>
      </c>
      <c r="H1105" s="5" t="str">
        <f ca="1">_xlfn.FORMULATEXT(표1[[#This Row],[Q''ty]])</f>
        <v>=F1006</v>
      </c>
    </row>
    <row r="1106" spans="1:10" ht="15" hidden="1" customHeight="1" x14ac:dyDescent="0.4">
      <c r="A1106" s="6">
        <v>2026</v>
      </c>
      <c r="B1106" s="6">
        <f t="shared" si="133"/>
        <v>12</v>
      </c>
      <c r="C1106" s="13" t="s">
        <v>24</v>
      </c>
      <c r="D1106" s="2" t="s">
        <v>6</v>
      </c>
      <c r="E1106" s="14" t="s">
        <v>10</v>
      </c>
      <c r="F1106" s="22">
        <f t="shared" si="134"/>
        <v>6</v>
      </c>
      <c r="H1106" s="5" t="str">
        <f ca="1">_xlfn.FORMULATEXT(표1[[#This Row],[Q''ty]])</f>
        <v>=F1007</v>
      </c>
    </row>
    <row r="1107" spans="1:10" ht="15" hidden="1" customHeight="1" x14ac:dyDescent="0.4">
      <c r="A1107" s="6">
        <v>2026</v>
      </c>
      <c r="B1107" s="6">
        <f t="shared" si="133"/>
        <v>12</v>
      </c>
      <c r="C1107" s="13" t="s">
        <v>24</v>
      </c>
      <c r="D1107" s="2" t="s">
        <v>6</v>
      </c>
      <c r="E1107" s="14" t="s">
        <v>11</v>
      </c>
      <c r="F1107" s="22">
        <f t="shared" si="134"/>
        <v>8.8000000000000007</v>
      </c>
      <c r="H1107" s="5" t="str">
        <f ca="1">_xlfn.FORMULATEXT(표1[[#This Row],[Q''ty]])</f>
        <v>=F1008</v>
      </c>
    </row>
    <row r="1108" spans="1:10" ht="15" hidden="1" customHeight="1" x14ac:dyDescent="0.4">
      <c r="A1108" s="6">
        <v>2026</v>
      </c>
      <c r="B1108" s="6">
        <f t="shared" si="133"/>
        <v>12</v>
      </c>
      <c r="C1108" s="13" t="s">
        <v>24</v>
      </c>
      <c r="D1108" s="2" t="s">
        <v>12</v>
      </c>
      <c r="E1108" s="14" t="s">
        <v>13</v>
      </c>
      <c r="F1108" s="22">
        <v>9</v>
      </c>
      <c r="H1108" s="5" t="e">
        <f ca="1">_xlfn.FORMULATEXT(표1[[#This Row],[Q''ty]])</f>
        <v>#N/A</v>
      </c>
    </row>
    <row r="1109" spans="1:10" s="2" customFormat="1" ht="15" hidden="1" customHeight="1" x14ac:dyDescent="0.4">
      <c r="A1109" s="6">
        <v>2026</v>
      </c>
      <c r="B1109" s="6">
        <f t="shared" si="133"/>
        <v>12</v>
      </c>
      <c r="C1109" s="13" t="s">
        <v>24</v>
      </c>
      <c r="D1109" s="2" t="s">
        <v>12</v>
      </c>
      <c r="E1109" s="14" t="s">
        <v>14</v>
      </c>
      <c r="F1109" s="22">
        <v>7</v>
      </c>
      <c r="H1109" s="5" t="e">
        <f ca="1">_xlfn.FORMULATEXT(표1[[#This Row],[Q''ty]])</f>
        <v>#N/A</v>
      </c>
      <c r="I1109" s="26"/>
      <c r="J1109" s="26"/>
    </row>
    <row r="1110" spans="1:10" ht="15" hidden="1" customHeight="1" x14ac:dyDescent="0.4">
      <c r="A1110" s="6">
        <v>2026</v>
      </c>
      <c r="B1110" s="6">
        <f t="shared" si="133"/>
        <v>12</v>
      </c>
      <c r="C1110" s="13" t="s">
        <v>24</v>
      </c>
      <c r="D1110" s="2" t="s">
        <v>12</v>
      </c>
      <c r="E1110" s="14" t="s">
        <v>15</v>
      </c>
      <c r="F1110" s="22">
        <v>133</v>
      </c>
      <c r="H1110" s="5" t="e">
        <f ca="1">_xlfn.FORMULATEXT(표1[[#This Row],[Q''ty]])</f>
        <v>#N/A</v>
      </c>
    </row>
    <row r="1111" spans="1:10" ht="15" hidden="1" customHeight="1" x14ac:dyDescent="0.4">
      <c r="A1111" s="6">
        <v>2026</v>
      </c>
      <c r="B1111" s="6">
        <f t="shared" si="133"/>
        <v>12</v>
      </c>
      <c r="C1111" s="13" t="s">
        <v>24</v>
      </c>
      <c r="D1111" s="2" t="s">
        <v>12</v>
      </c>
      <c r="E1111" s="14" t="s">
        <v>16</v>
      </c>
      <c r="F1111" s="22">
        <v>128</v>
      </c>
      <c r="H1111" s="5" t="e">
        <f ca="1">_xlfn.FORMULATEXT(표1[[#This Row],[Q''ty]])</f>
        <v>#N/A</v>
      </c>
    </row>
    <row r="1112" spans="1:10" ht="15" hidden="1" customHeight="1" thickBot="1" x14ac:dyDescent="0.45">
      <c r="A1112" s="15">
        <v>2026</v>
      </c>
      <c r="B1112" s="15">
        <f t="shared" si="133"/>
        <v>12</v>
      </c>
      <c r="C1112" s="16" t="s">
        <v>24</v>
      </c>
      <c r="D1112" s="17" t="s">
        <v>12</v>
      </c>
      <c r="E1112" s="18" t="s">
        <v>17</v>
      </c>
      <c r="F1112" s="23">
        <v>126</v>
      </c>
      <c r="H1112" s="5" t="e">
        <f ca="1">_xlfn.FORMULATEXT(표1[[#This Row],[Q''ty]])</f>
        <v>#N/A</v>
      </c>
    </row>
    <row r="1113" spans="1:10" ht="15" hidden="1" customHeight="1" thickTop="1" x14ac:dyDescent="0.4">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10" ht="15" hidden="1" customHeight="1" x14ac:dyDescent="0.4">
      <c r="A1114" s="6">
        <v>2026</v>
      </c>
      <c r="B1114" s="6">
        <f t="shared" si="133"/>
        <v>12</v>
      </c>
      <c r="C1114" s="13" t="s">
        <v>18</v>
      </c>
      <c r="D1114" s="2" t="s">
        <v>6</v>
      </c>
      <c r="E1114" s="14" t="str">
        <f t="shared" si="135"/>
        <v>Paint Booth</v>
      </c>
      <c r="F1114" s="22">
        <f t="shared" si="135"/>
        <v>3</v>
      </c>
      <c r="H1114" s="5" t="str">
        <f ca="1">_xlfn.FORMULATEXT(표1[[#This Row],[Q''ty]])</f>
        <v>=F1015</v>
      </c>
    </row>
    <row r="1115" spans="1:10" ht="15" hidden="1" customHeight="1" x14ac:dyDescent="0.4">
      <c r="A1115" s="6">
        <v>2026</v>
      </c>
      <c r="B1115" s="6">
        <f t="shared" si="133"/>
        <v>12</v>
      </c>
      <c r="C1115" s="13" t="s">
        <v>18</v>
      </c>
      <c r="D1115" s="2" t="s">
        <v>6</v>
      </c>
      <c r="E1115" s="14" t="str">
        <f t="shared" si="135"/>
        <v>Paint Line</v>
      </c>
      <c r="F1115" s="22">
        <f t="shared" si="135"/>
        <v>2</v>
      </c>
      <c r="H1115" s="5" t="str">
        <f ca="1">_xlfn.FORMULATEXT(표1[[#This Row],[Q''ty]])</f>
        <v>=F1016</v>
      </c>
    </row>
    <row r="1116" spans="1:10" ht="15" hidden="1" customHeight="1" x14ac:dyDescent="0.4">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10" ht="15" hidden="1" customHeight="1" x14ac:dyDescent="0.4">
      <c r="A1117" s="6">
        <v>2026</v>
      </c>
      <c r="B1117" s="6">
        <f t="shared" si="133"/>
        <v>12</v>
      </c>
      <c r="C1117" s="13" t="s">
        <v>18</v>
      </c>
      <c r="D1117" s="2" t="s">
        <v>6</v>
      </c>
      <c r="E1117" s="14" t="str">
        <f t="shared" si="135"/>
        <v>L/W Machine</v>
      </c>
      <c r="F1117" s="22">
        <f t="shared" si="135"/>
        <v>2</v>
      </c>
      <c r="H1117" s="5" t="str">
        <f ca="1">_xlfn.FORMULATEXT(표1[[#This Row],[Q''ty]])</f>
        <v>=F1018</v>
      </c>
    </row>
    <row r="1118" spans="1:10" ht="15" hidden="1" customHeight="1" x14ac:dyDescent="0.4">
      <c r="A1118" s="6">
        <v>2026</v>
      </c>
      <c r="B1118" s="6">
        <f t="shared" si="133"/>
        <v>12</v>
      </c>
      <c r="C1118" s="13" t="s">
        <v>18</v>
      </c>
      <c r="D1118" s="2" t="s">
        <v>6</v>
      </c>
      <c r="E1118" s="14" t="str">
        <f t="shared" si="135"/>
        <v>C/W Machine</v>
      </c>
      <c r="F1118" s="22">
        <f t="shared" si="135"/>
        <v>3</v>
      </c>
      <c r="H1118" s="5" t="str">
        <f ca="1">_xlfn.FORMULATEXT(표1[[#This Row],[Q''ty]])</f>
        <v>=F1019</v>
      </c>
    </row>
    <row r="1119" spans="1:10" ht="15" hidden="1" customHeight="1" x14ac:dyDescent="0.4">
      <c r="A1119" s="6">
        <v>2026</v>
      </c>
      <c r="B1119" s="6">
        <f t="shared" si="133"/>
        <v>12</v>
      </c>
      <c r="C1119" s="13" t="s">
        <v>18</v>
      </c>
      <c r="D1119" s="2" t="s">
        <v>12</v>
      </c>
      <c r="E1119" s="14" t="str">
        <f t="shared" ref="E1119:E1134" si="136">E1020</f>
        <v>BT GT</v>
      </c>
      <c r="F1119" s="22">
        <v>0</v>
      </c>
      <c r="H1119" s="5" t="e">
        <f ca="1">_xlfn.FORMULATEXT(표1[[#This Row],[Q''ty]])</f>
        <v>#N/A</v>
      </c>
    </row>
    <row r="1120" spans="1:10" ht="15" hidden="1" customHeight="1" x14ac:dyDescent="0.4">
      <c r="A1120" s="6">
        <v>2026</v>
      </c>
      <c r="B1120" s="6">
        <f t="shared" si="133"/>
        <v>12</v>
      </c>
      <c r="C1120" s="13" t="s">
        <v>18</v>
      </c>
      <c r="D1120" s="2" t="s">
        <v>12</v>
      </c>
      <c r="E1120" s="14" t="str">
        <f t="shared" si="136"/>
        <v>WT GT</v>
      </c>
      <c r="F1120" s="22">
        <v>0</v>
      </c>
      <c r="H1120" s="5" t="e">
        <f ca="1">_xlfn.FORMULATEXT(표1[[#This Row],[Q''ty]])</f>
        <v>#N/A</v>
      </c>
    </row>
    <row r="1121" spans="1:8" ht="15" hidden="1" customHeight="1" x14ac:dyDescent="0.4">
      <c r="A1121" s="6">
        <v>2026</v>
      </c>
      <c r="B1121" s="6">
        <f t="shared" si="133"/>
        <v>12</v>
      </c>
      <c r="C1121" s="13" t="s">
        <v>18</v>
      </c>
      <c r="D1121" s="2" t="s">
        <v>12</v>
      </c>
      <c r="E1121" s="14" t="str">
        <f t="shared" si="136"/>
        <v>Bending</v>
      </c>
      <c r="F1121" s="22">
        <v>26</v>
      </c>
      <c r="H1121" s="5" t="e">
        <f ca="1">_xlfn.FORMULATEXT(표1[[#This Row],[Q''ty]])</f>
        <v>#N/A</v>
      </c>
    </row>
    <row r="1122" spans="1:8" ht="15" hidden="1" customHeight="1" x14ac:dyDescent="0.4">
      <c r="A1122" s="6">
        <v>2026</v>
      </c>
      <c r="B1122" s="6">
        <f t="shared" si="133"/>
        <v>12</v>
      </c>
      <c r="C1122" s="13" t="s">
        <v>18</v>
      </c>
      <c r="D1122" s="2" t="s">
        <v>12</v>
      </c>
      <c r="E1122" s="14" t="str">
        <f t="shared" si="136"/>
        <v>L/W</v>
      </c>
      <c r="F1122" s="22">
        <v>23.5</v>
      </c>
      <c r="H1122" s="5" t="e">
        <f ca="1">_xlfn.FORMULATEXT(표1[[#This Row],[Q''ty]])</f>
        <v>#N/A</v>
      </c>
    </row>
    <row r="1123" spans="1:8" ht="15" hidden="1" customHeight="1" thickBot="1" x14ac:dyDescent="0.45">
      <c r="A1123" s="15">
        <v>2026</v>
      </c>
      <c r="B1123" s="15">
        <f t="shared" si="133"/>
        <v>12</v>
      </c>
      <c r="C1123" s="16" t="s">
        <v>18</v>
      </c>
      <c r="D1123" s="17" t="s">
        <v>12</v>
      </c>
      <c r="E1123" s="18" t="str">
        <f t="shared" si="136"/>
        <v>C/W</v>
      </c>
      <c r="F1123" s="23">
        <v>24.7</v>
      </c>
      <c r="H1123" s="5" t="e">
        <f ca="1">_xlfn.FORMULATEXT(표1[[#This Row],[Q''ty]])</f>
        <v>#N/A</v>
      </c>
    </row>
    <row r="1124" spans="1:8" ht="15" hidden="1" customHeight="1" thickTop="1" x14ac:dyDescent="0.4">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hidden="1" customHeight="1" x14ac:dyDescent="0.4">
      <c r="A1125" s="6">
        <v>2026</v>
      </c>
      <c r="B1125" s="6">
        <f t="shared" si="133"/>
        <v>12</v>
      </c>
      <c r="C1125" s="13" t="s">
        <v>19</v>
      </c>
      <c r="D1125" s="2" t="s">
        <v>6</v>
      </c>
      <c r="E1125" s="14" t="str">
        <f t="shared" si="136"/>
        <v>Paint Booth</v>
      </c>
      <c r="F1125" s="22">
        <f t="shared" si="137"/>
        <v>22</v>
      </c>
      <c r="H1125" s="5" t="str">
        <f ca="1">_xlfn.FORMULATEXT(표1[[#This Row],[Q''ty]])</f>
        <v>=F1026</v>
      </c>
    </row>
    <row r="1126" spans="1:8" ht="15" hidden="1" customHeight="1" x14ac:dyDescent="0.4">
      <c r="A1126" s="6">
        <v>2026</v>
      </c>
      <c r="B1126" s="6">
        <f t="shared" si="133"/>
        <v>12</v>
      </c>
      <c r="C1126" s="13" t="s">
        <v>19</v>
      </c>
      <c r="D1126" s="2" t="s">
        <v>6</v>
      </c>
      <c r="E1126" s="14" t="str">
        <f t="shared" si="136"/>
        <v>Paint Line</v>
      </c>
      <c r="F1126" s="22">
        <f t="shared" si="137"/>
        <v>6</v>
      </c>
      <c r="H1126" s="5" t="str">
        <f ca="1">_xlfn.FORMULATEXT(표1[[#This Row],[Q''ty]])</f>
        <v>=F1027</v>
      </c>
    </row>
    <row r="1127" spans="1:8" ht="15" hidden="1" customHeight="1" x14ac:dyDescent="0.4">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hidden="1" customHeight="1" x14ac:dyDescent="0.4">
      <c r="A1128" s="6">
        <v>2026</v>
      </c>
      <c r="B1128" s="6">
        <f t="shared" si="133"/>
        <v>12</v>
      </c>
      <c r="C1128" s="13" t="s">
        <v>19</v>
      </c>
      <c r="D1128" s="2" t="s">
        <v>6</v>
      </c>
      <c r="E1128" s="14" t="str">
        <f t="shared" si="136"/>
        <v>L/W Machine</v>
      </c>
      <c r="F1128" s="22">
        <f t="shared" si="137"/>
        <v>10</v>
      </c>
      <c r="H1128" s="5" t="str">
        <f ca="1">_xlfn.FORMULATEXT(표1[[#This Row],[Q''ty]])</f>
        <v>=F1029</v>
      </c>
    </row>
    <row r="1129" spans="1:8" ht="15" hidden="1" customHeight="1" x14ac:dyDescent="0.4">
      <c r="A1129" s="6">
        <v>2026</v>
      </c>
      <c r="B1129" s="6">
        <f t="shared" si="133"/>
        <v>12</v>
      </c>
      <c r="C1129" s="13" t="s">
        <v>19</v>
      </c>
      <c r="D1129" s="2" t="s">
        <v>6</v>
      </c>
      <c r="E1129" s="14" t="str">
        <f t="shared" si="136"/>
        <v>C/W Machine</v>
      </c>
      <c r="F1129" s="22">
        <f t="shared" si="137"/>
        <v>12</v>
      </c>
      <c r="H1129" s="5" t="str">
        <f ca="1">_xlfn.FORMULATEXT(표1[[#This Row],[Q''ty]])</f>
        <v>=F1030</v>
      </c>
    </row>
    <row r="1130" spans="1:8" ht="15" hidden="1" customHeight="1" x14ac:dyDescent="0.4">
      <c r="A1130" s="6">
        <v>2026</v>
      </c>
      <c r="B1130" s="6">
        <f t="shared" si="133"/>
        <v>12</v>
      </c>
      <c r="C1130" s="13" t="s">
        <v>19</v>
      </c>
      <c r="D1130" s="2" t="s">
        <v>12</v>
      </c>
      <c r="E1130" s="14" t="str">
        <f t="shared" si="136"/>
        <v>BT GT</v>
      </c>
      <c r="F1130" s="22">
        <v>38</v>
      </c>
      <c r="H1130" s="5" t="e">
        <f ca="1">_xlfn.FORMULATEXT(표1[[#This Row],[Q''ty]])</f>
        <v>#N/A</v>
      </c>
    </row>
    <row r="1131" spans="1:8" ht="15" hidden="1" customHeight="1" x14ac:dyDescent="0.4">
      <c r="A1131" s="6">
        <v>2026</v>
      </c>
      <c r="B1131" s="6">
        <f t="shared" si="133"/>
        <v>12</v>
      </c>
      <c r="C1131" s="13" t="s">
        <v>19</v>
      </c>
      <c r="D1131" s="2" t="s">
        <v>12</v>
      </c>
      <c r="E1131" s="14" t="str">
        <f t="shared" si="136"/>
        <v>WT GT</v>
      </c>
      <c r="F1131" s="22">
        <v>38</v>
      </c>
      <c r="H1131" s="5" t="e">
        <f ca="1">_xlfn.FORMULATEXT(표1[[#This Row],[Q''ty]])</f>
        <v>#N/A</v>
      </c>
    </row>
    <row r="1132" spans="1:8" ht="15" hidden="1" customHeight="1" x14ac:dyDescent="0.4">
      <c r="A1132" s="6">
        <v>2026</v>
      </c>
      <c r="B1132" s="6">
        <f t="shared" si="133"/>
        <v>12</v>
      </c>
      <c r="C1132" s="13" t="s">
        <v>19</v>
      </c>
      <c r="D1132" s="2" t="s">
        <v>12</v>
      </c>
      <c r="E1132" s="14" t="str">
        <f t="shared" si="136"/>
        <v>Bending</v>
      </c>
      <c r="F1132" s="22">
        <v>268</v>
      </c>
      <c r="H1132" s="5" t="e">
        <f ca="1">_xlfn.FORMULATEXT(표1[[#This Row],[Q''ty]])</f>
        <v>#N/A</v>
      </c>
    </row>
    <row r="1133" spans="1:8" ht="15" hidden="1" customHeight="1" x14ac:dyDescent="0.4">
      <c r="A1133" s="6">
        <v>2026</v>
      </c>
      <c r="B1133" s="6">
        <f t="shared" si="133"/>
        <v>12</v>
      </c>
      <c r="C1133" s="13" t="s">
        <v>19</v>
      </c>
      <c r="D1133" s="2" t="s">
        <v>12</v>
      </c>
      <c r="E1133" s="14" t="str">
        <f t="shared" si="136"/>
        <v>L/W</v>
      </c>
      <c r="F1133" s="22">
        <v>268</v>
      </c>
      <c r="H1133" s="5" t="e">
        <f ca="1">_xlfn.FORMULATEXT(표1[[#This Row],[Q''ty]])</f>
        <v>#N/A</v>
      </c>
    </row>
    <row r="1134" spans="1:8" ht="15" hidden="1" customHeight="1" thickBot="1" x14ac:dyDescent="0.45">
      <c r="A1134" s="15">
        <v>2026</v>
      </c>
      <c r="B1134" s="15">
        <f t="shared" si="133"/>
        <v>12</v>
      </c>
      <c r="C1134" s="16" t="s">
        <v>19</v>
      </c>
      <c r="D1134" s="17" t="s">
        <v>12</v>
      </c>
      <c r="E1134" s="18" t="str">
        <f t="shared" si="136"/>
        <v>C/W</v>
      </c>
      <c r="F1134" s="23">
        <v>295</v>
      </c>
      <c r="H1134" s="5" t="e">
        <f ca="1">_xlfn.FORMULATEXT(표1[[#This Row],[Q''ty]])</f>
        <v>#N/A</v>
      </c>
    </row>
    <row r="1135" spans="1:8" ht="15" hidden="1" customHeight="1" thickTop="1" x14ac:dyDescent="0.4">
      <c r="A1135" s="6">
        <v>2026</v>
      </c>
      <c r="B1135" s="6">
        <f t="shared" si="133"/>
        <v>12</v>
      </c>
      <c r="C1135" s="13" t="s">
        <v>25</v>
      </c>
      <c r="D1135" s="2" t="s">
        <v>6</v>
      </c>
      <c r="E1135" s="14" t="s">
        <v>7</v>
      </c>
      <c r="F1135" s="22">
        <f t="shared" ref="F1135:F1140" si="138">F1036</f>
        <v>3</v>
      </c>
      <c r="H1135" s="5" t="str">
        <f ca="1">_xlfn.FORMULATEXT(표1[[#This Row],[Q''ty]])</f>
        <v>=F1036</v>
      </c>
    </row>
    <row r="1136" spans="1:8" ht="15" hidden="1" customHeight="1" x14ac:dyDescent="0.4">
      <c r="A1136" s="6">
        <v>2026</v>
      </c>
      <c r="B1136" s="6">
        <f t="shared" si="133"/>
        <v>12</v>
      </c>
      <c r="C1136" s="13" t="s">
        <v>25</v>
      </c>
      <c r="D1136" s="2" t="s">
        <v>6</v>
      </c>
      <c r="E1136" s="14" t="s">
        <v>8</v>
      </c>
      <c r="F1136" s="22">
        <f t="shared" si="138"/>
        <v>3</v>
      </c>
      <c r="H1136" s="5" t="str">
        <f ca="1">_xlfn.FORMULATEXT(표1[[#This Row],[Q''ty]])</f>
        <v>=F1037</v>
      </c>
    </row>
    <row r="1137" spans="1:8" ht="15" hidden="1" customHeight="1" x14ac:dyDescent="0.4">
      <c r="A1137" s="6">
        <v>2026</v>
      </c>
      <c r="B1137" s="6">
        <f t="shared" si="133"/>
        <v>12</v>
      </c>
      <c r="C1137" s="13" t="s">
        <v>25</v>
      </c>
      <c r="D1137" s="2" t="s">
        <v>6</v>
      </c>
      <c r="E1137" s="14" t="s">
        <v>9</v>
      </c>
      <c r="F1137" s="22">
        <f t="shared" si="138"/>
        <v>2</v>
      </c>
      <c r="H1137" s="5" t="str">
        <f ca="1">_xlfn.FORMULATEXT(표1[[#This Row],[Q''ty]])</f>
        <v>=F1038</v>
      </c>
    </row>
    <row r="1138" spans="1:8" ht="15" hidden="1" customHeight="1" x14ac:dyDescent="0.4">
      <c r="A1138" s="6">
        <v>2026</v>
      </c>
      <c r="B1138" s="6">
        <f t="shared" si="133"/>
        <v>12</v>
      </c>
      <c r="C1138" s="13" t="s">
        <v>25</v>
      </c>
      <c r="D1138" s="2" t="s">
        <v>6</v>
      </c>
      <c r="E1138" s="14" t="s">
        <v>27</v>
      </c>
      <c r="F1138" s="22">
        <f t="shared" si="138"/>
        <v>2</v>
      </c>
      <c r="H1138" s="5" t="str">
        <f ca="1">_xlfn.FORMULATEXT(표1[[#This Row],[Q''ty]])</f>
        <v>=F1039</v>
      </c>
    </row>
    <row r="1139" spans="1:8" ht="15" hidden="1" customHeight="1" x14ac:dyDescent="0.4">
      <c r="A1139" s="6">
        <v>2026</v>
      </c>
      <c r="B1139" s="6">
        <f t="shared" si="133"/>
        <v>12</v>
      </c>
      <c r="C1139" s="13" t="s">
        <v>25</v>
      </c>
      <c r="D1139" s="2" t="s">
        <v>6</v>
      </c>
      <c r="E1139" s="14" t="s">
        <v>10</v>
      </c>
      <c r="F1139" s="22">
        <f t="shared" si="138"/>
        <v>3</v>
      </c>
      <c r="H1139" s="5" t="str">
        <f ca="1">_xlfn.FORMULATEXT(표1[[#This Row],[Q''ty]])</f>
        <v>=F1040</v>
      </c>
    </row>
    <row r="1140" spans="1:8" ht="15" hidden="1" customHeight="1" x14ac:dyDescent="0.4">
      <c r="A1140" s="6">
        <v>2026</v>
      </c>
      <c r="B1140" s="6">
        <f t="shared" si="133"/>
        <v>12</v>
      </c>
      <c r="C1140" s="13" t="s">
        <v>25</v>
      </c>
      <c r="D1140" s="2" t="s">
        <v>6</v>
      </c>
      <c r="E1140" s="14" t="s">
        <v>11</v>
      </c>
      <c r="F1140" s="22">
        <f t="shared" si="138"/>
        <v>4</v>
      </c>
      <c r="H1140" s="5" t="str">
        <f ca="1">_xlfn.FORMULATEXT(표1[[#This Row],[Q''ty]])</f>
        <v>=F1041</v>
      </c>
    </row>
    <row r="1141" spans="1:8" ht="15" hidden="1" customHeight="1" x14ac:dyDescent="0.4">
      <c r="A1141" s="6">
        <v>2026</v>
      </c>
      <c r="B1141" s="6">
        <f t="shared" si="133"/>
        <v>12</v>
      </c>
      <c r="C1141" s="13" t="s">
        <v>25</v>
      </c>
      <c r="D1141" s="2" t="s">
        <v>12</v>
      </c>
      <c r="E1141" s="14" t="s">
        <v>13</v>
      </c>
      <c r="F1141" s="22">
        <v>0</v>
      </c>
      <c r="H1141" s="5" t="e">
        <f ca="1">_xlfn.FORMULATEXT(표1[[#This Row],[Q''ty]])</f>
        <v>#N/A</v>
      </c>
    </row>
    <row r="1142" spans="1:8" ht="15" hidden="1" customHeight="1" x14ac:dyDescent="0.4">
      <c r="A1142" s="6">
        <v>2026</v>
      </c>
      <c r="B1142" s="6">
        <f t="shared" si="133"/>
        <v>12</v>
      </c>
      <c r="C1142" s="13" t="s">
        <v>25</v>
      </c>
      <c r="D1142" s="2" t="s">
        <v>12</v>
      </c>
      <c r="E1142" s="14" t="s">
        <v>14</v>
      </c>
      <c r="F1142" s="22">
        <v>0</v>
      </c>
      <c r="H1142" s="5" t="e">
        <f ca="1">_xlfn.FORMULATEXT(표1[[#This Row],[Q''ty]])</f>
        <v>#N/A</v>
      </c>
    </row>
    <row r="1143" spans="1:8" ht="15" hidden="1" customHeight="1" x14ac:dyDescent="0.4">
      <c r="A1143" s="6">
        <v>2026</v>
      </c>
      <c r="B1143" s="6">
        <f t="shared" si="133"/>
        <v>12</v>
      </c>
      <c r="C1143" s="13" t="s">
        <v>25</v>
      </c>
      <c r="D1143" s="2" t="s">
        <v>12</v>
      </c>
      <c r="E1143" s="14" t="s">
        <v>15</v>
      </c>
      <c r="F1143" s="22">
        <v>0</v>
      </c>
      <c r="H1143" s="5" t="e">
        <f ca="1">_xlfn.FORMULATEXT(표1[[#This Row],[Q''ty]])</f>
        <v>#N/A</v>
      </c>
    </row>
    <row r="1144" spans="1:8" ht="15" hidden="1" customHeight="1" x14ac:dyDescent="0.4">
      <c r="A1144" s="6">
        <v>2026</v>
      </c>
      <c r="B1144" s="6">
        <f t="shared" si="133"/>
        <v>12</v>
      </c>
      <c r="C1144" s="13" t="s">
        <v>25</v>
      </c>
      <c r="D1144" s="2" t="s">
        <v>12</v>
      </c>
      <c r="E1144" s="14" t="s">
        <v>16</v>
      </c>
      <c r="F1144" s="22">
        <v>0</v>
      </c>
      <c r="H1144" s="5" t="e">
        <f ca="1">_xlfn.FORMULATEXT(표1[[#This Row],[Q''ty]])</f>
        <v>#N/A</v>
      </c>
    </row>
    <row r="1145" spans="1:8" ht="15" hidden="1" customHeight="1" thickBot="1" x14ac:dyDescent="0.45">
      <c r="A1145" s="15">
        <v>2026</v>
      </c>
      <c r="B1145" s="15">
        <f t="shared" si="133"/>
        <v>12</v>
      </c>
      <c r="C1145" s="16" t="s">
        <v>25</v>
      </c>
      <c r="D1145" s="17" t="s">
        <v>12</v>
      </c>
      <c r="E1145" s="18" t="s">
        <v>17</v>
      </c>
      <c r="F1145" s="23">
        <v>0</v>
      </c>
      <c r="H1145" s="5" t="e">
        <f ca="1">_xlfn.FORMULATEXT(표1[[#This Row],[Q''ty]])</f>
        <v>#N/A</v>
      </c>
    </row>
    <row r="1146" spans="1:8" ht="15" hidden="1" customHeight="1" thickTop="1" x14ac:dyDescent="0.4">
      <c r="A1146" s="6">
        <v>2026</v>
      </c>
      <c r="B1146" s="6">
        <f t="shared" si="133"/>
        <v>12</v>
      </c>
      <c r="C1146" s="13" t="s">
        <v>26</v>
      </c>
      <c r="D1146" s="2" t="s">
        <v>6</v>
      </c>
      <c r="E1146" s="14" t="s">
        <v>7</v>
      </c>
      <c r="F1146" s="22">
        <f t="shared" ref="F1146:F1151" si="139">F1047</f>
        <v>6</v>
      </c>
      <c r="H1146" s="5" t="str">
        <f ca="1">_xlfn.FORMULATEXT(표1[[#This Row],[Q''ty]])</f>
        <v>=F1047</v>
      </c>
    </row>
    <row r="1147" spans="1:8" ht="15" hidden="1" customHeight="1" x14ac:dyDescent="0.4">
      <c r="A1147" s="6">
        <v>2026</v>
      </c>
      <c r="B1147" s="6">
        <f t="shared" si="133"/>
        <v>12</v>
      </c>
      <c r="C1147" s="13" t="s">
        <v>26</v>
      </c>
      <c r="D1147" s="2" t="s">
        <v>6</v>
      </c>
      <c r="E1147" s="14" t="s">
        <v>8</v>
      </c>
      <c r="F1147" s="22">
        <f t="shared" si="139"/>
        <v>4</v>
      </c>
      <c r="H1147" s="5" t="str">
        <f ca="1">_xlfn.FORMULATEXT(표1[[#This Row],[Q''ty]])</f>
        <v>=F1048</v>
      </c>
    </row>
    <row r="1148" spans="1:8" ht="15" hidden="1" customHeight="1" x14ac:dyDescent="0.4">
      <c r="A1148" s="6">
        <v>2026</v>
      </c>
      <c r="B1148" s="6">
        <f t="shared" si="133"/>
        <v>12</v>
      </c>
      <c r="C1148" s="13" t="s">
        <v>26</v>
      </c>
      <c r="D1148" s="2" t="s">
        <v>6</v>
      </c>
      <c r="E1148" s="14" t="s">
        <v>9</v>
      </c>
      <c r="F1148" s="22">
        <f t="shared" si="139"/>
        <v>2</v>
      </c>
      <c r="H1148" s="5" t="str">
        <f ca="1">_xlfn.FORMULATEXT(표1[[#This Row],[Q''ty]])</f>
        <v>=F1049</v>
      </c>
    </row>
    <row r="1149" spans="1:8" ht="15" hidden="1" customHeight="1" x14ac:dyDescent="0.4">
      <c r="A1149" s="6">
        <v>2026</v>
      </c>
      <c r="B1149" s="6">
        <f t="shared" si="133"/>
        <v>12</v>
      </c>
      <c r="C1149" s="13" t="s">
        <v>26</v>
      </c>
      <c r="D1149" s="2" t="s">
        <v>6</v>
      </c>
      <c r="E1149" s="14" t="s">
        <v>27</v>
      </c>
      <c r="F1149" s="22">
        <f t="shared" si="139"/>
        <v>3</v>
      </c>
      <c r="H1149" s="5" t="str">
        <f ca="1">_xlfn.FORMULATEXT(표1[[#This Row],[Q''ty]])</f>
        <v>=F1050</v>
      </c>
    </row>
    <row r="1150" spans="1:8" ht="15" hidden="1" customHeight="1" x14ac:dyDescent="0.4">
      <c r="A1150" s="6">
        <v>2026</v>
      </c>
      <c r="B1150" s="6">
        <f t="shared" si="133"/>
        <v>12</v>
      </c>
      <c r="C1150" s="13" t="s">
        <v>26</v>
      </c>
      <c r="D1150" s="2" t="s">
        <v>6</v>
      </c>
      <c r="E1150" s="14" t="s">
        <v>10</v>
      </c>
      <c r="F1150" s="22">
        <f t="shared" si="139"/>
        <v>4</v>
      </c>
      <c r="H1150" s="5" t="str">
        <f ca="1">_xlfn.FORMULATEXT(표1[[#This Row],[Q''ty]])</f>
        <v>=F1051</v>
      </c>
    </row>
    <row r="1151" spans="1:8" ht="15" hidden="1" customHeight="1" x14ac:dyDescent="0.4">
      <c r="A1151" s="6">
        <v>2026</v>
      </c>
      <c r="B1151" s="6">
        <f t="shared" si="133"/>
        <v>12</v>
      </c>
      <c r="C1151" s="13" t="s">
        <v>26</v>
      </c>
      <c r="D1151" s="2" t="s">
        <v>6</v>
      </c>
      <c r="E1151" s="14" t="s">
        <v>11</v>
      </c>
      <c r="F1151" s="22">
        <f t="shared" si="139"/>
        <v>6</v>
      </c>
      <c r="H1151" s="5" t="str">
        <f ca="1">_xlfn.FORMULATEXT(표1[[#This Row],[Q''ty]])</f>
        <v>=F1052</v>
      </c>
    </row>
    <row r="1152" spans="1:8" ht="15" hidden="1" customHeight="1" x14ac:dyDescent="0.4">
      <c r="A1152" s="6">
        <v>2026</v>
      </c>
      <c r="B1152" s="6">
        <f t="shared" si="133"/>
        <v>12</v>
      </c>
      <c r="C1152" s="13" t="s">
        <v>26</v>
      </c>
      <c r="D1152" s="2" t="s">
        <v>12</v>
      </c>
      <c r="E1152" s="14" t="str">
        <f t="shared" ref="E1152:E1189" si="140">E1053</f>
        <v>BT GT</v>
      </c>
      <c r="F1152" s="22">
        <v>0</v>
      </c>
      <c r="H1152" s="5" t="e">
        <f ca="1">_xlfn.FORMULATEXT(표1[[#This Row],[Q''ty]])</f>
        <v>#N/A</v>
      </c>
    </row>
    <row r="1153" spans="1:8" ht="15" hidden="1" customHeight="1" x14ac:dyDescent="0.4">
      <c r="A1153" s="6">
        <v>2026</v>
      </c>
      <c r="B1153" s="6">
        <f t="shared" si="133"/>
        <v>12</v>
      </c>
      <c r="C1153" s="13" t="s">
        <v>26</v>
      </c>
      <c r="D1153" s="2" t="s">
        <v>12</v>
      </c>
      <c r="E1153" s="14" t="str">
        <f t="shared" si="140"/>
        <v>WT GT</v>
      </c>
      <c r="F1153" s="22">
        <v>0</v>
      </c>
      <c r="H1153" s="5" t="e">
        <f ca="1">_xlfn.FORMULATEXT(표1[[#This Row],[Q''ty]])</f>
        <v>#N/A</v>
      </c>
    </row>
    <row r="1154" spans="1:8" ht="15" hidden="1" customHeight="1" x14ac:dyDescent="0.4">
      <c r="A1154" s="6">
        <v>2026</v>
      </c>
      <c r="B1154" s="6">
        <f t="shared" si="133"/>
        <v>12</v>
      </c>
      <c r="C1154" s="13" t="s">
        <v>26</v>
      </c>
      <c r="D1154" s="2" t="s">
        <v>12</v>
      </c>
      <c r="E1154" s="14" t="str">
        <f t="shared" si="140"/>
        <v>Bending</v>
      </c>
      <c r="F1154" s="22">
        <v>0</v>
      </c>
      <c r="H1154" s="5" t="e">
        <f ca="1">_xlfn.FORMULATEXT(표1[[#This Row],[Q''ty]])</f>
        <v>#N/A</v>
      </c>
    </row>
    <row r="1155" spans="1:8" ht="15" hidden="1" customHeight="1" x14ac:dyDescent="0.4">
      <c r="A1155" s="6">
        <v>2026</v>
      </c>
      <c r="B1155" s="6">
        <f t="shared" si="133"/>
        <v>12</v>
      </c>
      <c r="C1155" s="13" t="s">
        <v>26</v>
      </c>
      <c r="D1155" s="2" t="s">
        <v>12</v>
      </c>
      <c r="E1155" s="14" t="str">
        <f t="shared" si="140"/>
        <v>L/W</v>
      </c>
      <c r="F1155" s="22">
        <v>0</v>
      </c>
      <c r="H1155" s="5" t="e">
        <f ca="1">_xlfn.FORMULATEXT(표1[[#This Row],[Q''ty]])</f>
        <v>#N/A</v>
      </c>
    </row>
    <row r="1156" spans="1:8" ht="15" hidden="1" customHeight="1" thickBot="1" x14ac:dyDescent="0.45">
      <c r="A1156" s="15">
        <v>2026</v>
      </c>
      <c r="B1156" s="15">
        <f t="shared" ref="B1156:B1189" si="141">B1057+1</f>
        <v>12</v>
      </c>
      <c r="C1156" s="16" t="s">
        <v>26</v>
      </c>
      <c r="D1156" s="17" t="s">
        <v>12</v>
      </c>
      <c r="E1156" s="18" t="str">
        <f t="shared" si="140"/>
        <v>C/W</v>
      </c>
      <c r="F1156" s="23">
        <v>0</v>
      </c>
      <c r="H1156" s="5" t="e">
        <f ca="1">_xlfn.FORMULATEXT(표1[[#This Row],[Q''ty]])</f>
        <v>#N/A</v>
      </c>
    </row>
    <row r="1157" spans="1:8" ht="15" hidden="1" customHeight="1" thickTop="1" x14ac:dyDescent="0.4">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hidden="1" customHeight="1" x14ac:dyDescent="0.4">
      <c r="A1158" s="6">
        <v>2026</v>
      </c>
      <c r="B1158" s="6">
        <f t="shared" si="141"/>
        <v>12</v>
      </c>
      <c r="C1158" s="13" t="s">
        <v>20</v>
      </c>
      <c r="D1158" s="2" t="s">
        <v>6</v>
      </c>
      <c r="E1158" s="14" t="str">
        <f t="shared" si="140"/>
        <v>Paint Booth</v>
      </c>
      <c r="F1158" s="22">
        <f t="shared" si="142"/>
        <v>16</v>
      </c>
      <c r="H1158" s="5" t="str">
        <f ca="1">_xlfn.FORMULATEXT(표1[[#This Row],[Q''ty]])</f>
        <v>=F1059</v>
      </c>
    </row>
    <row r="1159" spans="1:8" ht="15" hidden="1" customHeight="1" x14ac:dyDescent="0.4">
      <c r="A1159" s="6">
        <v>2026</v>
      </c>
      <c r="B1159" s="6">
        <f t="shared" si="141"/>
        <v>12</v>
      </c>
      <c r="C1159" s="13" t="s">
        <v>20</v>
      </c>
      <c r="D1159" s="2" t="s">
        <v>6</v>
      </c>
      <c r="E1159" s="14" t="str">
        <f t="shared" si="140"/>
        <v>Paint Line</v>
      </c>
      <c r="F1159" s="22">
        <f t="shared" si="142"/>
        <v>8</v>
      </c>
      <c r="H1159" s="5" t="str">
        <f ca="1">_xlfn.FORMULATEXT(표1[[#This Row],[Q''ty]])</f>
        <v>=F1060</v>
      </c>
    </row>
    <row r="1160" spans="1:8" ht="15" hidden="1" customHeight="1" x14ac:dyDescent="0.4">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hidden="1" customHeight="1" x14ac:dyDescent="0.4">
      <c r="A1161" s="6">
        <v>2026</v>
      </c>
      <c r="B1161" s="6">
        <f t="shared" si="141"/>
        <v>12</v>
      </c>
      <c r="C1161" s="13" t="s">
        <v>20</v>
      </c>
      <c r="D1161" s="2" t="s">
        <v>6</v>
      </c>
      <c r="E1161" s="14" t="str">
        <f t="shared" si="140"/>
        <v>L/W Machine</v>
      </c>
      <c r="F1161" s="22">
        <f t="shared" si="142"/>
        <v>11</v>
      </c>
      <c r="H1161" s="5" t="str">
        <f ca="1">_xlfn.FORMULATEXT(표1[[#This Row],[Q''ty]])</f>
        <v>=F1062</v>
      </c>
    </row>
    <row r="1162" spans="1:8" ht="15" hidden="1" customHeight="1" x14ac:dyDescent="0.4">
      <c r="A1162" s="6">
        <v>2026</v>
      </c>
      <c r="B1162" s="6">
        <f t="shared" si="141"/>
        <v>12</v>
      </c>
      <c r="C1162" s="13" t="s">
        <v>20</v>
      </c>
      <c r="D1162" s="2" t="s">
        <v>6</v>
      </c>
      <c r="E1162" s="14" t="str">
        <f t="shared" si="140"/>
        <v>C/W Machine</v>
      </c>
      <c r="F1162" s="22">
        <f t="shared" si="142"/>
        <v>15</v>
      </c>
      <c r="H1162" s="5" t="str">
        <f ca="1">_xlfn.FORMULATEXT(표1[[#This Row],[Q''ty]])</f>
        <v>=F1063</v>
      </c>
    </row>
    <row r="1163" spans="1:8" ht="15" hidden="1" customHeight="1" x14ac:dyDescent="0.4">
      <c r="A1163" s="6">
        <v>2026</v>
      </c>
      <c r="B1163" s="6">
        <f t="shared" si="141"/>
        <v>12</v>
      </c>
      <c r="C1163" s="13" t="s">
        <v>20</v>
      </c>
      <c r="D1163" s="2" t="s">
        <v>12</v>
      </c>
      <c r="E1163" s="14" t="str">
        <f t="shared" si="140"/>
        <v>BT GT</v>
      </c>
      <c r="F1163" s="22">
        <v>61</v>
      </c>
      <c r="H1163" s="5" t="e">
        <f ca="1">_xlfn.FORMULATEXT(표1[[#This Row],[Q''ty]])</f>
        <v>#N/A</v>
      </c>
    </row>
    <row r="1164" spans="1:8" ht="15" hidden="1" customHeight="1" x14ac:dyDescent="0.4">
      <c r="A1164" s="6">
        <v>2026</v>
      </c>
      <c r="B1164" s="6">
        <f t="shared" si="141"/>
        <v>12</v>
      </c>
      <c r="C1164" s="13" t="s">
        <v>20</v>
      </c>
      <c r="D1164" s="2" t="s">
        <v>12</v>
      </c>
      <c r="E1164" s="14" t="str">
        <f t="shared" si="140"/>
        <v>WT GT</v>
      </c>
      <c r="F1164" s="22">
        <v>66</v>
      </c>
      <c r="H1164" s="5" t="e">
        <f ca="1">_xlfn.FORMULATEXT(표1[[#This Row],[Q''ty]])</f>
        <v>#N/A</v>
      </c>
    </row>
    <row r="1165" spans="1:8" ht="15" hidden="1" customHeight="1" x14ac:dyDescent="0.4">
      <c r="A1165" s="6">
        <v>2026</v>
      </c>
      <c r="B1165" s="6">
        <f t="shared" si="141"/>
        <v>12</v>
      </c>
      <c r="C1165" s="13" t="s">
        <v>20</v>
      </c>
      <c r="D1165" s="2" t="s">
        <v>12</v>
      </c>
      <c r="E1165" s="14" t="str">
        <f t="shared" si="140"/>
        <v>Bending</v>
      </c>
      <c r="F1165" s="22">
        <v>592</v>
      </c>
      <c r="H1165" s="5" t="e">
        <f ca="1">_xlfn.FORMULATEXT(표1[[#This Row],[Q''ty]])</f>
        <v>#N/A</v>
      </c>
    </row>
    <row r="1166" spans="1:8" ht="15" hidden="1" customHeight="1" x14ac:dyDescent="0.4">
      <c r="A1166" s="6">
        <v>2026</v>
      </c>
      <c r="B1166" s="6">
        <f t="shared" si="141"/>
        <v>12</v>
      </c>
      <c r="C1166" s="13" t="s">
        <v>20</v>
      </c>
      <c r="D1166" s="2" t="s">
        <v>12</v>
      </c>
      <c r="E1166" s="14" t="str">
        <f t="shared" si="140"/>
        <v>L/W</v>
      </c>
      <c r="F1166" s="22">
        <v>614</v>
      </c>
      <c r="H1166" s="5" t="e">
        <f ca="1">_xlfn.FORMULATEXT(표1[[#This Row],[Q''ty]])</f>
        <v>#N/A</v>
      </c>
    </row>
    <row r="1167" spans="1:8" ht="15" hidden="1" customHeight="1" thickBot="1" x14ac:dyDescent="0.45">
      <c r="A1167" s="15">
        <v>2026</v>
      </c>
      <c r="B1167" s="15">
        <f t="shared" si="141"/>
        <v>12</v>
      </c>
      <c r="C1167" s="16" t="s">
        <v>20</v>
      </c>
      <c r="D1167" s="17" t="s">
        <v>12</v>
      </c>
      <c r="E1167" s="18" t="str">
        <f t="shared" si="140"/>
        <v>C/W</v>
      </c>
      <c r="F1167" s="23">
        <v>541</v>
      </c>
      <c r="H1167" s="5" t="e">
        <f ca="1">_xlfn.FORMULATEXT(표1[[#This Row],[Q''ty]])</f>
        <v>#N/A</v>
      </c>
    </row>
    <row r="1168" spans="1:8" ht="15" hidden="1" customHeight="1" thickTop="1" x14ac:dyDescent="0.4">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hidden="1" customHeight="1" x14ac:dyDescent="0.4">
      <c r="A1169" s="6">
        <v>2026</v>
      </c>
      <c r="B1169" s="6">
        <f t="shared" si="141"/>
        <v>12</v>
      </c>
      <c r="C1169" s="13" t="s">
        <v>21</v>
      </c>
      <c r="D1169" s="2" t="s">
        <v>6</v>
      </c>
      <c r="E1169" s="14" t="str">
        <f t="shared" si="140"/>
        <v>Paint Booth</v>
      </c>
      <c r="F1169" s="22">
        <f t="shared" si="143"/>
        <v>4</v>
      </c>
      <c r="H1169" s="5" t="str">
        <f ca="1">_xlfn.FORMULATEXT(표1[[#This Row],[Q''ty]])</f>
        <v>=F1070</v>
      </c>
    </row>
    <row r="1170" spans="1:8" ht="15" hidden="1" customHeight="1" x14ac:dyDescent="0.4">
      <c r="A1170" s="6">
        <v>2026</v>
      </c>
      <c r="B1170" s="6">
        <f t="shared" si="141"/>
        <v>12</v>
      </c>
      <c r="C1170" s="13" t="s">
        <v>21</v>
      </c>
      <c r="D1170" s="2" t="s">
        <v>6</v>
      </c>
      <c r="E1170" s="14" t="str">
        <f t="shared" si="140"/>
        <v>Paint Line</v>
      </c>
      <c r="F1170" s="22">
        <f t="shared" si="143"/>
        <v>4</v>
      </c>
      <c r="H1170" s="5" t="str">
        <f ca="1">_xlfn.FORMULATEXT(표1[[#This Row],[Q''ty]])</f>
        <v>=F1071</v>
      </c>
    </row>
    <row r="1171" spans="1:8" ht="15" hidden="1" customHeight="1" x14ac:dyDescent="0.4">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hidden="1" customHeight="1" x14ac:dyDescent="0.4">
      <c r="A1172" s="6">
        <v>2026</v>
      </c>
      <c r="B1172" s="6">
        <f t="shared" si="141"/>
        <v>12</v>
      </c>
      <c r="C1172" s="13" t="s">
        <v>21</v>
      </c>
      <c r="D1172" s="2" t="s">
        <v>6</v>
      </c>
      <c r="E1172" s="14" t="str">
        <f t="shared" si="140"/>
        <v>L/W Machine</v>
      </c>
      <c r="F1172" s="22">
        <f t="shared" si="143"/>
        <v>4</v>
      </c>
      <c r="H1172" s="5" t="str">
        <f ca="1">_xlfn.FORMULATEXT(표1[[#This Row],[Q''ty]])</f>
        <v>=F1073</v>
      </c>
    </row>
    <row r="1173" spans="1:8" ht="15" hidden="1" customHeight="1" x14ac:dyDescent="0.4">
      <c r="A1173" s="6">
        <v>2026</v>
      </c>
      <c r="B1173" s="6">
        <f t="shared" si="141"/>
        <v>12</v>
      </c>
      <c r="C1173" s="13" t="s">
        <v>21</v>
      </c>
      <c r="D1173" s="2" t="s">
        <v>6</v>
      </c>
      <c r="E1173" s="14" t="str">
        <f t="shared" si="140"/>
        <v>C/W Machine</v>
      </c>
      <c r="F1173" s="22">
        <f t="shared" si="143"/>
        <v>6.5</v>
      </c>
      <c r="H1173" s="5" t="str">
        <f ca="1">_xlfn.FORMULATEXT(표1[[#This Row],[Q''ty]])</f>
        <v>=F1074</v>
      </c>
    </row>
    <row r="1174" spans="1:8" ht="15" hidden="1" customHeight="1" x14ac:dyDescent="0.4">
      <c r="A1174" s="6">
        <v>2026</v>
      </c>
      <c r="B1174" s="6">
        <f t="shared" si="141"/>
        <v>12</v>
      </c>
      <c r="C1174" s="13" t="s">
        <v>21</v>
      </c>
      <c r="D1174" s="2" t="s">
        <v>12</v>
      </c>
      <c r="E1174" s="14" t="str">
        <f t="shared" si="140"/>
        <v>BT GT</v>
      </c>
      <c r="F1174" s="22">
        <v>16</v>
      </c>
      <c r="H1174" s="5" t="e">
        <f ca="1">_xlfn.FORMULATEXT(표1[[#This Row],[Q''ty]])</f>
        <v>#N/A</v>
      </c>
    </row>
    <row r="1175" spans="1:8" ht="15" hidden="1" customHeight="1" x14ac:dyDescent="0.4">
      <c r="A1175" s="6">
        <v>2026</v>
      </c>
      <c r="B1175" s="6">
        <f t="shared" si="141"/>
        <v>12</v>
      </c>
      <c r="C1175" s="13" t="s">
        <v>21</v>
      </c>
      <c r="D1175" s="2" t="s">
        <v>12</v>
      </c>
      <c r="E1175" s="14" t="str">
        <f t="shared" si="140"/>
        <v>WT GT</v>
      </c>
      <c r="F1175" s="22">
        <v>16</v>
      </c>
      <c r="H1175" s="5" t="e">
        <f ca="1">_xlfn.FORMULATEXT(표1[[#This Row],[Q''ty]])</f>
        <v>#N/A</v>
      </c>
    </row>
    <row r="1176" spans="1:8" ht="15" hidden="1" customHeight="1" x14ac:dyDescent="0.4">
      <c r="A1176" s="6">
        <v>2026</v>
      </c>
      <c r="B1176" s="6">
        <f t="shared" si="141"/>
        <v>12</v>
      </c>
      <c r="C1176" s="13" t="s">
        <v>21</v>
      </c>
      <c r="D1176" s="2" t="s">
        <v>12</v>
      </c>
      <c r="E1176" s="14" t="str">
        <f t="shared" si="140"/>
        <v>Bending</v>
      </c>
      <c r="F1176" s="22">
        <v>121</v>
      </c>
      <c r="H1176" s="5" t="e">
        <f ca="1">_xlfn.FORMULATEXT(표1[[#This Row],[Q''ty]])</f>
        <v>#N/A</v>
      </c>
    </row>
    <row r="1177" spans="1:8" ht="15" hidden="1" customHeight="1" x14ac:dyDescent="0.4">
      <c r="A1177" s="6">
        <v>2026</v>
      </c>
      <c r="B1177" s="6">
        <f t="shared" si="141"/>
        <v>12</v>
      </c>
      <c r="C1177" s="13" t="s">
        <v>21</v>
      </c>
      <c r="D1177" s="2" t="s">
        <v>12</v>
      </c>
      <c r="E1177" s="14" t="str">
        <f t="shared" si="140"/>
        <v>L/W</v>
      </c>
      <c r="F1177" s="22">
        <v>114</v>
      </c>
      <c r="H1177" s="5" t="e">
        <f ca="1">_xlfn.FORMULATEXT(표1[[#This Row],[Q''ty]])</f>
        <v>#N/A</v>
      </c>
    </row>
    <row r="1178" spans="1:8" ht="15" hidden="1" customHeight="1" thickBot="1" x14ac:dyDescent="0.45">
      <c r="A1178" s="15">
        <v>2026</v>
      </c>
      <c r="B1178" s="15">
        <f t="shared" si="141"/>
        <v>12</v>
      </c>
      <c r="C1178" s="16" t="s">
        <v>21</v>
      </c>
      <c r="D1178" s="17" t="s">
        <v>12</v>
      </c>
      <c r="E1178" s="18" t="str">
        <f t="shared" si="140"/>
        <v>C/W</v>
      </c>
      <c r="F1178" s="23">
        <v>133</v>
      </c>
      <c r="H1178" s="5" t="e">
        <f ca="1">_xlfn.FORMULATEXT(표1[[#This Row],[Q''ty]])</f>
        <v>#N/A</v>
      </c>
    </row>
    <row r="1179" spans="1:8" ht="15" hidden="1" customHeight="1" thickTop="1" x14ac:dyDescent="0.4">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hidden="1" customHeight="1" x14ac:dyDescent="0.4">
      <c r="A1180" s="6">
        <v>2026</v>
      </c>
      <c r="B1180" s="6">
        <f t="shared" si="141"/>
        <v>12</v>
      </c>
      <c r="C1180" s="13" t="s">
        <v>22</v>
      </c>
      <c r="D1180" s="2" t="s">
        <v>6</v>
      </c>
      <c r="E1180" s="14" t="str">
        <f t="shared" si="140"/>
        <v>Paint Booth</v>
      </c>
      <c r="F1180" s="22">
        <f t="shared" si="144"/>
        <v>6</v>
      </c>
      <c r="H1180" s="5" t="str">
        <f ca="1">_xlfn.FORMULATEXT(표1[[#This Row],[Q''ty]])</f>
        <v>=F1081</v>
      </c>
    </row>
    <row r="1181" spans="1:8" ht="15" hidden="1" customHeight="1" x14ac:dyDescent="0.4">
      <c r="A1181" s="6">
        <v>2026</v>
      </c>
      <c r="B1181" s="6">
        <f t="shared" si="141"/>
        <v>12</v>
      </c>
      <c r="C1181" s="13" t="s">
        <v>22</v>
      </c>
      <c r="D1181" s="2" t="s">
        <v>6</v>
      </c>
      <c r="E1181" s="14" t="str">
        <f t="shared" si="140"/>
        <v>Paint Line</v>
      </c>
      <c r="F1181" s="22">
        <f t="shared" si="144"/>
        <v>4</v>
      </c>
      <c r="H1181" s="5" t="str">
        <f ca="1">_xlfn.FORMULATEXT(표1[[#This Row],[Q''ty]])</f>
        <v>=F1082</v>
      </c>
    </row>
    <row r="1182" spans="1:8" ht="15" hidden="1" customHeight="1" x14ac:dyDescent="0.4">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hidden="1" customHeight="1" x14ac:dyDescent="0.4">
      <c r="A1183" s="6">
        <v>2026</v>
      </c>
      <c r="B1183" s="6">
        <f t="shared" si="141"/>
        <v>12</v>
      </c>
      <c r="C1183" s="13" t="s">
        <v>22</v>
      </c>
      <c r="D1183" s="2" t="s">
        <v>6</v>
      </c>
      <c r="E1183" s="14" t="str">
        <f t="shared" si="140"/>
        <v>L/W Machine</v>
      </c>
      <c r="F1183" s="22">
        <f t="shared" si="144"/>
        <v>7</v>
      </c>
      <c r="H1183" s="5" t="str">
        <f ca="1">_xlfn.FORMULATEXT(표1[[#This Row],[Q''ty]])</f>
        <v>=F1084</v>
      </c>
    </row>
    <row r="1184" spans="1:8" ht="15" hidden="1" customHeight="1" x14ac:dyDescent="0.4">
      <c r="A1184" s="6">
        <v>2026</v>
      </c>
      <c r="B1184" s="6">
        <f t="shared" si="141"/>
        <v>12</v>
      </c>
      <c r="C1184" s="13" t="s">
        <v>22</v>
      </c>
      <c r="D1184" s="2" t="s">
        <v>6</v>
      </c>
      <c r="E1184" s="14" t="str">
        <f t="shared" si="140"/>
        <v>C/W Machine</v>
      </c>
      <c r="F1184" s="22">
        <f t="shared" si="144"/>
        <v>12.5</v>
      </c>
      <c r="H1184" s="5" t="str">
        <f ca="1">_xlfn.FORMULATEXT(표1[[#This Row],[Q''ty]])</f>
        <v>=F1085</v>
      </c>
    </row>
    <row r="1185" spans="1:10" ht="15" hidden="1" customHeight="1" x14ac:dyDescent="0.4">
      <c r="A1185" s="6">
        <v>2026</v>
      </c>
      <c r="B1185" s="6">
        <f t="shared" si="141"/>
        <v>12</v>
      </c>
      <c r="C1185" s="13" t="s">
        <v>22</v>
      </c>
      <c r="D1185" s="2" t="s">
        <v>12</v>
      </c>
      <c r="E1185" s="14" t="str">
        <f t="shared" si="140"/>
        <v>BT GT</v>
      </c>
      <c r="F1185" s="22">
        <v>13</v>
      </c>
      <c r="H1185" s="5" t="e">
        <f ca="1">_xlfn.FORMULATEXT(표1[[#This Row],[Q''ty]])</f>
        <v>#N/A</v>
      </c>
    </row>
    <row r="1186" spans="1:10" ht="15" hidden="1" customHeight="1" x14ac:dyDescent="0.4">
      <c r="A1186" s="6">
        <v>2026</v>
      </c>
      <c r="B1186" s="6">
        <f t="shared" si="141"/>
        <v>12</v>
      </c>
      <c r="C1186" s="13" t="s">
        <v>22</v>
      </c>
      <c r="D1186" s="2" t="s">
        <v>12</v>
      </c>
      <c r="E1186" s="14" t="str">
        <f t="shared" si="140"/>
        <v>WT GT</v>
      </c>
      <c r="F1186" s="22">
        <v>9</v>
      </c>
      <c r="H1186" s="5" t="e">
        <f ca="1">_xlfn.FORMULATEXT(표1[[#This Row],[Q''ty]])</f>
        <v>#N/A</v>
      </c>
    </row>
    <row r="1187" spans="1:10" ht="15" hidden="1" customHeight="1" x14ac:dyDescent="0.4">
      <c r="A1187" s="6">
        <v>2026</v>
      </c>
      <c r="B1187" s="6">
        <f t="shared" si="141"/>
        <v>12</v>
      </c>
      <c r="C1187" s="13" t="s">
        <v>22</v>
      </c>
      <c r="D1187" s="2" t="s">
        <v>12</v>
      </c>
      <c r="E1187" s="14" t="str">
        <f t="shared" si="140"/>
        <v>Bending</v>
      </c>
      <c r="F1187" s="22">
        <v>62</v>
      </c>
      <c r="H1187" s="5" t="e">
        <f ca="1">_xlfn.FORMULATEXT(표1[[#This Row],[Q''ty]])</f>
        <v>#N/A</v>
      </c>
    </row>
    <row r="1188" spans="1:10" ht="15" hidden="1" customHeight="1" x14ac:dyDescent="0.4">
      <c r="A1188" s="6">
        <v>2026</v>
      </c>
      <c r="B1188" s="6">
        <f t="shared" si="141"/>
        <v>12</v>
      </c>
      <c r="C1188" s="13" t="s">
        <v>22</v>
      </c>
      <c r="D1188" s="2" t="s">
        <v>12</v>
      </c>
      <c r="E1188" s="14" t="str">
        <f t="shared" si="140"/>
        <v>L/W</v>
      </c>
      <c r="F1188" s="22">
        <v>59</v>
      </c>
      <c r="H1188" s="5" t="e">
        <f ca="1">_xlfn.FORMULATEXT(표1[[#This Row],[Q''ty]])</f>
        <v>#N/A</v>
      </c>
    </row>
    <row r="1189" spans="1:10" ht="15" hidden="1" customHeight="1" thickBot="1" x14ac:dyDescent="0.45">
      <c r="A1189" s="6">
        <v>2026</v>
      </c>
      <c r="B1189" s="6">
        <f t="shared" si="141"/>
        <v>12</v>
      </c>
      <c r="C1189" s="13" t="s">
        <v>22</v>
      </c>
      <c r="D1189" s="2" t="s">
        <v>12</v>
      </c>
      <c r="E1189" s="14" t="str">
        <f t="shared" si="140"/>
        <v>C/W</v>
      </c>
      <c r="F1189" s="22">
        <v>55</v>
      </c>
      <c r="H1189" s="5" t="e">
        <f ca="1">_xlfn.FORMULATEXT(표1[[#This Row],[Q''ty]])</f>
        <v>#N/A</v>
      </c>
    </row>
    <row r="1190" spans="1:10" ht="15" hidden="1" customHeight="1" thickTop="1" x14ac:dyDescent="0.4">
      <c r="A1190" s="9">
        <v>2026</v>
      </c>
      <c r="B1190" s="9">
        <f>B1091+1</f>
        <v>13</v>
      </c>
      <c r="C1190" s="10" t="s">
        <v>28</v>
      </c>
      <c r="D1190" s="11" t="s">
        <v>6</v>
      </c>
      <c r="E1190" s="12" t="s">
        <v>7</v>
      </c>
      <c r="F1190" s="21">
        <f t="shared" ref="F1190:F1195" si="145">F1091</f>
        <v>15</v>
      </c>
      <c r="H1190" s="5" t="str">
        <f ca="1">_xlfn.FORMULATEXT(표1[[#This Row],[Q''ty]])</f>
        <v>=F1091</v>
      </c>
    </row>
    <row r="1191" spans="1:10" s="2" customFormat="1" ht="15" hidden="1" customHeight="1" x14ac:dyDescent="0.4">
      <c r="A1191" s="6">
        <v>2026</v>
      </c>
      <c r="B1191" s="6">
        <f t="shared" ref="B1191:B1254" si="146">B1092+1</f>
        <v>13</v>
      </c>
      <c r="C1191" s="13" t="s">
        <v>23</v>
      </c>
      <c r="D1191" s="2" t="s">
        <v>6</v>
      </c>
      <c r="E1191" s="14" t="s">
        <v>8</v>
      </c>
      <c r="F1191" s="22">
        <f t="shared" si="145"/>
        <v>10</v>
      </c>
      <c r="H1191" s="5" t="str">
        <f ca="1">_xlfn.FORMULATEXT(표1[[#This Row],[Q''ty]])</f>
        <v>=F1092</v>
      </c>
      <c r="I1191" s="26"/>
      <c r="J1191" s="26"/>
    </row>
    <row r="1192" spans="1:10" s="2" customFormat="1" ht="15" hidden="1" customHeight="1" x14ac:dyDescent="0.4">
      <c r="A1192" s="6">
        <v>2026</v>
      </c>
      <c r="B1192" s="6">
        <f t="shared" si="146"/>
        <v>13</v>
      </c>
      <c r="C1192" s="13" t="s">
        <v>23</v>
      </c>
      <c r="D1192" s="2" t="s">
        <v>6</v>
      </c>
      <c r="E1192" s="14" t="s">
        <v>9</v>
      </c>
      <c r="F1192" s="22">
        <f t="shared" si="145"/>
        <v>5</v>
      </c>
      <c r="H1192" s="5" t="str">
        <f ca="1">_xlfn.FORMULATEXT(표1[[#This Row],[Q''ty]])</f>
        <v>=F1093</v>
      </c>
      <c r="I1192" s="26"/>
      <c r="J1192" s="26"/>
    </row>
    <row r="1193" spans="1:10" ht="15" hidden="1" customHeight="1" x14ac:dyDescent="0.4">
      <c r="A1193" s="6">
        <v>2026</v>
      </c>
      <c r="B1193" s="6">
        <f t="shared" si="146"/>
        <v>13</v>
      </c>
      <c r="C1193" s="13" t="s">
        <v>23</v>
      </c>
      <c r="D1193" s="2" t="s">
        <v>6</v>
      </c>
      <c r="E1193" s="14" t="s">
        <v>27</v>
      </c>
      <c r="F1193" s="22">
        <f t="shared" si="145"/>
        <v>6</v>
      </c>
      <c r="H1193" s="5" t="str">
        <f ca="1">_xlfn.FORMULATEXT(표1[[#This Row],[Q''ty]])</f>
        <v>=F1094</v>
      </c>
    </row>
    <row r="1194" spans="1:10" ht="15" hidden="1" customHeight="1" x14ac:dyDescent="0.4">
      <c r="A1194" s="6">
        <v>2026</v>
      </c>
      <c r="B1194" s="6">
        <f t="shared" si="146"/>
        <v>13</v>
      </c>
      <c r="C1194" s="13" t="s">
        <v>23</v>
      </c>
      <c r="D1194" s="2" t="s">
        <v>6</v>
      </c>
      <c r="E1194" s="14" t="s">
        <v>10</v>
      </c>
      <c r="F1194" s="22">
        <f t="shared" si="145"/>
        <v>10</v>
      </c>
      <c r="H1194" s="5" t="str">
        <f ca="1">_xlfn.FORMULATEXT(표1[[#This Row],[Q''ty]])</f>
        <v>=F1095</v>
      </c>
    </row>
    <row r="1195" spans="1:10" ht="15" hidden="1" customHeight="1" x14ac:dyDescent="0.4">
      <c r="A1195" s="6">
        <v>2026</v>
      </c>
      <c r="B1195" s="6">
        <f t="shared" si="146"/>
        <v>13</v>
      </c>
      <c r="C1195" s="13" t="s">
        <v>23</v>
      </c>
      <c r="D1195" s="2" t="s">
        <v>6</v>
      </c>
      <c r="E1195" s="14" t="s">
        <v>11</v>
      </c>
      <c r="F1195" s="22">
        <f t="shared" si="145"/>
        <v>10</v>
      </c>
      <c r="H1195" s="5" t="str">
        <f ca="1">_xlfn.FORMULATEXT(표1[[#This Row],[Q''ty]])</f>
        <v>=F1096</v>
      </c>
    </row>
    <row r="1196" spans="1:10" ht="15" hidden="1" customHeight="1" thickTop="1" x14ac:dyDescent="0.4">
      <c r="A1196" s="6">
        <v>2026</v>
      </c>
      <c r="B1196" s="6">
        <f t="shared" si="146"/>
        <v>13</v>
      </c>
      <c r="C1196" s="13" t="s">
        <v>23</v>
      </c>
      <c r="D1196" s="2" t="s">
        <v>12</v>
      </c>
      <c r="E1196" s="14" t="s">
        <v>13</v>
      </c>
      <c r="F1196" s="22">
        <v>13</v>
      </c>
      <c r="H1196" s="5" t="e">
        <f ca="1">_xlfn.FORMULATEXT(표1[[#This Row],[Q''ty]])</f>
        <v>#N/A</v>
      </c>
      <c r="I1196" s="28">
        <v>46111</v>
      </c>
      <c r="J1196" s="28">
        <v>46111</v>
      </c>
    </row>
    <row r="1197" spans="1:10" s="2" customFormat="1" ht="15" hidden="1" customHeight="1" x14ac:dyDescent="0.4">
      <c r="A1197" s="6">
        <v>2026</v>
      </c>
      <c r="B1197" s="6">
        <f t="shared" si="146"/>
        <v>13</v>
      </c>
      <c r="C1197" s="13" t="s">
        <v>23</v>
      </c>
      <c r="D1197" s="2" t="s">
        <v>12</v>
      </c>
      <c r="E1197" s="14" t="s">
        <v>14</v>
      </c>
      <c r="F1197" s="22">
        <v>13</v>
      </c>
      <c r="H1197" s="5" t="e">
        <f ca="1">_xlfn.FORMULATEXT(표1[[#This Row],[Q''ty]])</f>
        <v>#N/A</v>
      </c>
      <c r="I1197" s="28">
        <v>46111</v>
      </c>
      <c r="J1197" s="28">
        <v>46111</v>
      </c>
    </row>
    <row r="1198" spans="1:10" ht="15" hidden="1" customHeight="1" x14ac:dyDescent="0.4">
      <c r="A1198" s="6">
        <v>2026</v>
      </c>
      <c r="B1198" s="6">
        <f t="shared" si="146"/>
        <v>13</v>
      </c>
      <c r="C1198" s="13" t="s">
        <v>23</v>
      </c>
      <c r="D1198" s="2" t="s">
        <v>12</v>
      </c>
      <c r="E1198" s="14" t="s">
        <v>15</v>
      </c>
      <c r="F1198" s="22">
        <v>184</v>
      </c>
      <c r="H1198" s="5" t="e">
        <f ca="1">_xlfn.FORMULATEXT(표1[[#This Row],[Q''ty]])</f>
        <v>#N/A</v>
      </c>
      <c r="I1198" s="28">
        <v>46111</v>
      </c>
      <c r="J1198" s="28">
        <v>46111</v>
      </c>
    </row>
    <row r="1199" spans="1:10" ht="15" hidden="1" customHeight="1" x14ac:dyDescent="0.4">
      <c r="A1199" s="6">
        <v>2026</v>
      </c>
      <c r="B1199" s="6">
        <f t="shared" si="146"/>
        <v>13</v>
      </c>
      <c r="C1199" s="13" t="s">
        <v>23</v>
      </c>
      <c r="D1199" s="2" t="s">
        <v>12</v>
      </c>
      <c r="E1199" s="14" t="s">
        <v>16</v>
      </c>
      <c r="F1199" s="22">
        <v>186</v>
      </c>
      <c r="H1199" s="5" t="e">
        <f ca="1">_xlfn.FORMULATEXT(표1[[#This Row],[Q''ty]])</f>
        <v>#N/A</v>
      </c>
      <c r="I1199" s="28">
        <v>46111</v>
      </c>
      <c r="J1199" s="28">
        <v>46111</v>
      </c>
    </row>
    <row r="1200" spans="1:10" ht="15" hidden="1" customHeight="1" thickBot="1" x14ac:dyDescent="0.45">
      <c r="A1200" s="15">
        <v>2026</v>
      </c>
      <c r="B1200" s="15">
        <f t="shared" si="146"/>
        <v>13</v>
      </c>
      <c r="C1200" s="16" t="s">
        <v>23</v>
      </c>
      <c r="D1200" s="17" t="s">
        <v>12</v>
      </c>
      <c r="E1200" s="18" t="s">
        <v>17</v>
      </c>
      <c r="F1200" s="23">
        <v>201</v>
      </c>
      <c r="H1200" s="5" t="e">
        <f ca="1">_xlfn.FORMULATEXT(표1[[#This Row],[Q''ty]])</f>
        <v>#N/A</v>
      </c>
      <c r="I1200" s="28">
        <v>46111</v>
      </c>
      <c r="J1200" s="28">
        <v>46111</v>
      </c>
    </row>
    <row r="1201" spans="1:10" ht="15" hidden="1" customHeight="1" thickTop="1" x14ac:dyDescent="0.4">
      <c r="A1201" s="9">
        <v>2026</v>
      </c>
      <c r="B1201" s="9">
        <f t="shared" si="146"/>
        <v>13</v>
      </c>
      <c r="C1201" s="10" t="s">
        <v>29</v>
      </c>
      <c r="D1201" s="11" t="s">
        <v>6</v>
      </c>
      <c r="E1201" s="12" t="s">
        <v>7</v>
      </c>
      <c r="F1201" s="21">
        <f t="shared" ref="F1201:F1206" si="147">F1102</f>
        <v>14</v>
      </c>
      <c r="H1201" s="5" t="str">
        <f ca="1">_xlfn.FORMULATEXT(표1[[#This Row],[Q''ty]])</f>
        <v>=F1102</v>
      </c>
    </row>
    <row r="1202" spans="1:10" s="2" customFormat="1" ht="15" hidden="1" customHeight="1" x14ac:dyDescent="0.4">
      <c r="A1202" s="6">
        <v>2026</v>
      </c>
      <c r="B1202" s="6">
        <f t="shared" si="146"/>
        <v>13</v>
      </c>
      <c r="C1202" s="13" t="s">
        <v>24</v>
      </c>
      <c r="D1202" s="2" t="s">
        <v>6</v>
      </c>
      <c r="E1202" s="14" t="s">
        <v>8</v>
      </c>
      <c r="F1202" s="22">
        <f t="shared" si="147"/>
        <v>8</v>
      </c>
      <c r="H1202" s="5" t="str">
        <f ca="1">_xlfn.FORMULATEXT(표1[[#This Row],[Q''ty]])</f>
        <v>=F1103</v>
      </c>
      <c r="I1202" s="26"/>
      <c r="J1202" s="26"/>
    </row>
    <row r="1203" spans="1:10" s="2" customFormat="1" ht="15" hidden="1" customHeight="1" x14ac:dyDescent="0.4">
      <c r="A1203" s="6">
        <v>2026</v>
      </c>
      <c r="B1203" s="6">
        <f t="shared" si="146"/>
        <v>13</v>
      </c>
      <c r="C1203" s="13" t="s">
        <v>24</v>
      </c>
      <c r="D1203" s="2" t="s">
        <v>6</v>
      </c>
      <c r="E1203" s="14" t="s">
        <v>9</v>
      </c>
      <c r="F1203" s="22">
        <f t="shared" si="147"/>
        <v>4</v>
      </c>
      <c r="H1203" s="5" t="str">
        <f ca="1">_xlfn.FORMULATEXT(표1[[#This Row],[Q''ty]])</f>
        <v>=F1104</v>
      </c>
      <c r="I1203" s="26"/>
      <c r="J1203" s="26"/>
    </row>
    <row r="1204" spans="1:10" ht="15" hidden="1" customHeight="1" x14ac:dyDescent="0.4">
      <c r="A1204" s="6">
        <v>2026</v>
      </c>
      <c r="B1204" s="6">
        <f t="shared" si="146"/>
        <v>13</v>
      </c>
      <c r="C1204" s="13" t="s">
        <v>24</v>
      </c>
      <c r="D1204" s="2" t="s">
        <v>6</v>
      </c>
      <c r="E1204" s="14" t="s">
        <v>27</v>
      </c>
      <c r="F1204" s="22">
        <f t="shared" si="147"/>
        <v>3</v>
      </c>
      <c r="H1204" s="5" t="str">
        <f ca="1">_xlfn.FORMULATEXT(표1[[#This Row],[Q''ty]])</f>
        <v>=F1105</v>
      </c>
    </row>
    <row r="1205" spans="1:10" ht="15" hidden="1" customHeight="1" x14ac:dyDescent="0.4">
      <c r="A1205" s="6">
        <v>2026</v>
      </c>
      <c r="B1205" s="6">
        <f t="shared" si="146"/>
        <v>13</v>
      </c>
      <c r="C1205" s="13" t="s">
        <v>24</v>
      </c>
      <c r="D1205" s="2" t="s">
        <v>6</v>
      </c>
      <c r="E1205" s="14" t="s">
        <v>10</v>
      </c>
      <c r="F1205" s="22">
        <f t="shared" si="147"/>
        <v>6</v>
      </c>
      <c r="H1205" s="5" t="str">
        <f ca="1">_xlfn.FORMULATEXT(표1[[#This Row],[Q''ty]])</f>
        <v>=F1106</v>
      </c>
    </row>
    <row r="1206" spans="1:10" ht="15" hidden="1" customHeight="1" x14ac:dyDescent="0.4">
      <c r="A1206" s="6">
        <v>2026</v>
      </c>
      <c r="B1206" s="6">
        <f t="shared" si="146"/>
        <v>13</v>
      </c>
      <c r="C1206" s="13" t="s">
        <v>24</v>
      </c>
      <c r="D1206" s="2" t="s">
        <v>6</v>
      </c>
      <c r="E1206" s="14" t="s">
        <v>11</v>
      </c>
      <c r="F1206" s="22">
        <f t="shared" si="147"/>
        <v>8.8000000000000007</v>
      </c>
      <c r="H1206" s="5" t="str">
        <f ca="1">_xlfn.FORMULATEXT(표1[[#This Row],[Q''ty]])</f>
        <v>=F1107</v>
      </c>
    </row>
    <row r="1207" spans="1:10" ht="15" hidden="1" customHeight="1" thickTop="1" x14ac:dyDescent="0.4">
      <c r="A1207" s="6">
        <v>2026</v>
      </c>
      <c r="B1207" s="6">
        <f t="shared" si="146"/>
        <v>13</v>
      </c>
      <c r="C1207" s="13" t="s">
        <v>24</v>
      </c>
      <c r="D1207" s="2" t="s">
        <v>12</v>
      </c>
      <c r="E1207" s="14" t="s">
        <v>13</v>
      </c>
      <c r="F1207" s="22">
        <v>13</v>
      </c>
      <c r="H1207" s="5" t="e">
        <f ca="1">_xlfn.FORMULATEXT(표1[[#This Row],[Q''ty]])</f>
        <v>#N/A</v>
      </c>
      <c r="I1207" s="28">
        <v>46111</v>
      </c>
      <c r="J1207" s="28">
        <v>46111</v>
      </c>
    </row>
    <row r="1208" spans="1:10" s="2" customFormat="1" ht="15" hidden="1" customHeight="1" x14ac:dyDescent="0.4">
      <c r="A1208" s="6">
        <v>2026</v>
      </c>
      <c r="B1208" s="6">
        <f t="shared" si="146"/>
        <v>13</v>
      </c>
      <c r="C1208" s="13" t="s">
        <v>24</v>
      </c>
      <c r="D1208" s="2" t="s">
        <v>12</v>
      </c>
      <c r="E1208" s="14" t="s">
        <v>14</v>
      </c>
      <c r="F1208" s="22">
        <v>15</v>
      </c>
      <c r="H1208" s="5" t="e">
        <f ca="1">_xlfn.FORMULATEXT(표1[[#This Row],[Q''ty]])</f>
        <v>#N/A</v>
      </c>
      <c r="I1208" s="28">
        <v>46111</v>
      </c>
      <c r="J1208" s="28">
        <v>46111</v>
      </c>
    </row>
    <row r="1209" spans="1:10" ht="15" hidden="1" customHeight="1" x14ac:dyDescent="0.4">
      <c r="A1209" s="6">
        <v>2026</v>
      </c>
      <c r="B1209" s="6">
        <f t="shared" si="146"/>
        <v>13</v>
      </c>
      <c r="C1209" s="13" t="s">
        <v>24</v>
      </c>
      <c r="D1209" s="2" t="s">
        <v>12</v>
      </c>
      <c r="E1209" s="14" t="s">
        <v>15</v>
      </c>
      <c r="F1209" s="22">
        <v>113</v>
      </c>
      <c r="H1209" s="5" t="e">
        <f ca="1">_xlfn.FORMULATEXT(표1[[#This Row],[Q''ty]])</f>
        <v>#N/A</v>
      </c>
      <c r="I1209" s="28">
        <v>46111</v>
      </c>
      <c r="J1209" s="28">
        <v>46111</v>
      </c>
    </row>
    <row r="1210" spans="1:10" ht="15" hidden="1" customHeight="1" x14ac:dyDescent="0.4">
      <c r="A1210" s="6">
        <v>2026</v>
      </c>
      <c r="B1210" s="6">
        <f t="shared" si="146"/>
        <v>13</v>
      </c>
      <c r="C1210" s="13" t="s">
        <v>24</v>
      </c>
      <c r="D1210" s="2" t="s">
        <v>12</v>
      </c>
      <c r="E1210" s="14" t="s">
        <v>16</v>
      </c>
      <c r="F1210" s="22">
        <v>113</v>
      </c>
      <c r="H1210" s="5" t="e">
        <f ca="1">_xlfn.FORMULATEXT(표1[[#This Row],[Q''ty]])</f>
        <v>#N/A</v>
      </c>
      <c r="I1210" s="28">
        <v>46111</v>
      </c>
      <c r="J1210" s="28">
        <v>46111</v>
      </c>
    </row>
    <row r="1211" spans="1:10" ht="15" hidden="1" customHeight="1" thickBot="1" x14ac:dyDescent="0.45">
      <c r="A1211" s="15">
        <v>2026</v>
      </c>
      <c r="B1211" s="15">
        <f t="shared" si="146"/>
        <v>13</v>
      </c>
      <c r="C1211" s="16" t="s">
        <v>24</v>
      </c>
      <c r="D1211" s="17" t="s">
        <v>12</v>
      </c>
      <c r="E1211" s="18" t="s">
        <v>17</v>
      </c>
      <c r="F1211" s="23">
        <v>109</v>
      </c>
      <c r="H1211" s="5" t="e">
        <f ca="1">_xlfn.FORMULATEXT(표1[[#This Row],[Q''ty]])</f>
        <v>#N/A</v>
      </c>
      <c r="I1211" s="28">
        <v>46111</v>
      </c>
      <c r="J1211" s="28">
        <v>46111</v>
      </c>
    </row>
    <row r="1212" spans="1:10" ht="15" hidden="1" customHeight="1" thickTop="1" x14ac:dyDescent="0.4">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10" ht="15" hidden="1" customHeight="1" x14ac:dyDescent="0.4">
      <c r="A1213" s="6">
        <v>2026</v>
      </c>
      <c r="B1213" s="6">
        <f t="shared" si="146"/>
        <v>13</v>
      </c>
      <c r="C1213" s="13" t="s">
        <v>18</v>
      </c>
      <c r="D1213" s="2" t="s">
        <v>6</v>
      </c>
      <c r="E1213" s="14" t="str">
        <f t="shared" si="148"/>
        <v>Paint Booth</v>
      </c>
      <c r="F1213" s="22">
        <f t="shared" si="148"/>
        <v>3</v>
      </c>
      <c r="H1213" s="5" t="str">
        <f ca="1">_xlfn.FORMULATEXT(표1[[#This Row],[Q''ty]])</f>
        <v>=F1114</v>
      </c>
    </row>
    <row r="1214" spans="1:10" ht="15" hidden="1" customHeight="1" x14ac:dyDescent="0.4">
      <c r="A1214" s="6">
        <v>2026</v>
      </c>
      <c r="B1214" s="6">
        <f t="shared" si="146"/>
        <v>13</v>
      </c>
      <c r="C1214" s="13" t="s">
        <v>18</v>
      </c>
      <c r="D1214" s="2" t="s">
        <v>6</v>
      </c>
      <c r="E1214" s="14" t="str">
        <f t="shared" si="148"/>
        <v>Paint Line</v>
      </c>
      <c r="F1214" s="22">
        <f t="shared" si="148"/>
        <v>2</v>
      </c>
      <c r="H1214" s="5" t="str">
        <f ca="1">_xlfn.FORMULATEXT(표1[[#This Row],[Q''ty]])</f>
        <v>=F1115</v>
      </c>
    </row>
    <row r="1215" spans="1:10" ht="15" hidden="1" customHeight="1" x14ac:dyDescent="0.4">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10" ht="15" hidden="1" customHeight="1" x14ac:dyDescent="0.4">
      <c r="A1216" s="6">
        <v>2026</v>
      </c>
      <c r="B1216" s="6">
        <f t="shared" si="146"/>
        <v>13</v>
      </c>
      <c r="C1216" s="13" t="s">
        <v>18</v>
      </c>
      <c r="D1216" s="2" t="s">
        <v>6</v>
      </c>
      <c r="E1216" s="14" t="str">
        <f t="shared" si="148"/>
        <v>L/W Machine</v>
      </c>
      <c r="F1216" s="22">
        <f t="shared" si="148"/>
        <v>2</v>
      </c>
      <c r="H1216" s="5" t="str">
        <f ca="1">_xlfn.FORMULATEXT(표1[[#This Row],[Q''ty]])</f>
        <v>=F1117</v>
      </c>
    </row>
    <row r="1217" spans="1:10" ht="15" hidden="1" customHeight="1" x14ac:dyDescent="0.4">
      <c r="A1217" s="6">
        <v>2026</v>
      </c>
      <c r="B1217" s="6">
        <f t="shared" si="146"/>
        <v>13</v>
      </c>
      <c r="C1217" s="13" t="s">
        <v>18</v>
      </c>
      <c r="D1217" s="2" t="s">
        <v>6</v>
      </c>
      <c r="E1217" s="14" t="str">
        <f t="shared" si="148"/>
        <v>C/W Machine</v>
      </c>
      <c r="F1217" s="22">
        <f t="shared" si="148"/>
        <v>3</v>
      </c>
      <c r="H1217" s="5" t="str">
        <f ca="1">_xlfn.FORMULATEXT(표1[[#This Row],[Q''ty]])</f>
        <v>=F1118</v>
      </c>
    </row>
    <row r="1218" spans="1:10" ht="15" hidden="1" customHeight="1" thickTop="1" x14ac:dyDescent="0.4">
      <c r="A1218" s="6">
        <v>2026</v>
      </c>
      <c r="B1218" s="6">
        <f t="shared" si="146"/>
        <v>13</v>
      </c>
      <c r="C1218" s="13" t="s">
        <v>18</v>
      </c>
      <c r="D1218" s="2" t="s">
        <v>12</v>
      </c>
      <c r="E1218" s="14" t="str">
        <f t="shared" ref="E1218:E1233" si="149">E1119</f>
        <v>BT GT</v>
      </c>
      <c r="F1218" s="22">
        <v>0</v>
      </c>
      <c r="H1218" s="5" t="e">
        <f ca="1">_xlfn.FORMULATEXT(표1[[#This Row],[Q''ty]])</f>
        <v>#N/A</v>
      </c>
      <c r="I1218" s="28">
        <v>46119</v>
      </c>
      <c r="J1218" s="28">
        <v>46112</v>
      </c>
    </row>
    <row r="1219" spans="1:10" ht="15" hidden="1" customHeight="1" x14ac:dyDescent="0.4">
      <c r="A1219" s="6">
        <v>2026</v>
      </c>
      <c r="B1219" s="6">
        <f t="shared" si="146"/>
        <v>13</v>
      </c>
      <c r="C1219" s="13" t="s">
        <v>18</v>
      </c>
      <c r="D1219" s="2" t="s">
        <v>12</v>
      </c>
      <c r="E1219" s="14" t="str">
        <f t="shared" si="149"/>
        <v>WT GT</v>
      </c>
      <c r="F1219" s="22">
        <v>0</v>
      </c>
      <c r="H1219" s="5" t="e">
        <f ca="1">_xlfn.FORMULATEXT(표1[[#This Row],[Q''ty]])</f>
        <v>#N/A</v>
      </c>
      <c r="I1219" s="28">
        <v>46119</v>
      </c>
      <c r="J1219" s="28">
        <v>46112</v>
      </c>
    </row>
    <row r="1220" spans="1:10" ht="15" hidden="1" customHeight="1" x14ac:dyDescent="0.4">
      <c r="A1220" s="6">
        <v>2026</v>
      </c>
      <c r="B1220" s="6">
        <f t="shared" si="146"/>
        <v>13</v>
      </c>
      <c r="C1220" s="13" t="s">
        <v>18</v>
      </c>
      <c r="D1220" s="2" t="s">
        <v>12</v>
      </c>
      <c r="E1220" s="14" t="str">
        <f t="shared" si="149"/>
        <v>Bending</v>
      </c>
      <c r="F1220" s="22">
        <v>26</v>
      </c>
      <c r="H1220" s="5" t="e">
        <f ca="1">_xlfn.FORMULATEXT(표1[[#This Row],[Q''ty]])</f>
        <v>#N/A</v>
      </c>
      <c r="I1220" s="28">
        <v>46119</v>
      </c>
      <c r="J1220" s="28">
        <v>46112</v>
      </c>
    </row>
    <row r="1221" spans="1:10" ht="15" hidden="1" customHeight="1" x14ac:dyDescent="0.4">
      <c r="A1221" s="6">
        <v>2026</v>
      </c>
      <c r="B1221" s="6">
        <f t="shared" si="146"/>
        <v>13</v>
      </c>
      <c r="C1221" s="13" t="s">
        <v>18</v>
      </c>
      <c r="D1221" s="2" t="s">
        <v>12</v>
      </c>
      <c r="E1221" s="14" t="str">
        <f t="shared" si="149"/>
        <v>L/W</v>
      </c>
      <c r="F1221" s="22">
        <v>28</v>
      </c>
      <c r="H1221" s="5" t="e">
        <f ca="1">_xlfn.FORMULATEXT(표1[[#This Row],[Q''ty]])</f>
        <v>#N/A</v>
      </c>
      <c r="I1221" s="28">
        <v>46119</v>
      </c>
      <c r="J1221" s="28">
        <v>46112</v>
      </c>
    </row>
    <row r="1222" spans="1:10" ht="15" hidden="1" customHeight="1" thickBot="1" x14ac:dyDescent="0.45">
      <c r="A1222" s="15">
        <v>2026</v>
      </c>
      <c r="B1222" s="15">
        <f t="shared" si="146"/>
        <v>13</v>
      </c>
      <c r="C1222" s="16" t="s">
        <v>18</v>
      </c>
      <c r="D1222" s="17" t="s">
        <v>12</v>
      </c>
      <c r="E1222" s="18" t="str">
        <f t="shared" si="149"/>
        <v>C/W</v>
      </c>
      <c r="F1222" s="23">
        <v>23.4</v>
      </c>
      <c r="H1222" s="5" t="e">
        <f ca="1">_xlfn.FORMULATEXT(표1[[#This Row],[Q''ty]])</f>
        <v>#N/A</v>
      </c>
      <c r="I1222" s="28">
        <v>46119</v>
      </c>
      <c r="J1222" s="28">
        <v>46112</v>
      </c>
    </row>
    <row r="1223" spans="1:10" ht="15" hidden="1" customHeight="1" thickTop="1" x14ac:dyDescent="0.4">
      <c r="A1223" s="6">
        <v>2026</v>
      </c>
      <c r="B1223" s="6">
        <f t="shared" si="146"/>
        <v>13</v>
      </c>
      <c r="C1223" s="13" t="s">
        <v>19</v>
      </c>
      <c r="D1223" s="2" t="s">
        <v>6</v>
      </c>
      <c r="E1223" s="14" t="str">
        <f t="shared" si="149"/>
        <v>Growing Line</v>
      </c>
      <c r="F1223" s="22">
        <f>F1124</f>
        <v>20</v>
      </c>
      <c r="H1223" s="5" t="str">
        <f ca="1">_xlfn.FORMULATEXT(표1[[#This Row],[Q''ty]])</f>
        <v>=F1124</v>
      </c>
    </row>
    <row r="1224" spans="1:10" ht="15" hidden="1" customHeight="1" x14ac:dyDescent="0.4">
      <c r="A1224" s="6">
        <v>2026</v>
      </c>
      <c r="B1224" s="6">
        <f t="shared" si="146"/>
        <v>13</v>
      </c>
      <c r="C1224" s="13" t="s">
        <v>19</v>
      </c>
      <c r="D1224" s="2" t="s">
        <v>6</v>
      </c>
      <c r="E1224" s="14" t="str">
        <f t="shared" si="149"/>
        <v>Paint Booth</v>
      </c>
      <c r="F1224" s="22">
        <f t="shared" ref="F1224:F1228" si="150">F1125</f>
        <v>22</v>
      </c>
      <c r="H1224" s="5" t="str">
        <f ca="1">_xlfn.FORMULATEXT(표1[[#This Row],[Q''ty]])</f>
        <v>=F1125</v>
      </c>
    </row>
    <row r="1225" spans="1:10" ht="15" hidden="1" customHeight="1" x14ac:dyDescent="0.4">
      <c r="A1225" s="6">
        <v>2026</v>
      </c>
      <c r="B1225" s="6">
        <f t="shared" si="146"/>
        <v>13</v>
      </c>
      <c r="C1225" s="13" t="s">
        <v>19</v>
      </c>
      <c r="D1225" s="2" t="s">
        <v>6</v>
      </c>
      <c r="E1225" s="14" t="str">
        <f t="shared" si="149"/>
        <v>Paint Line</v>
      </c>
      <c r="F1225" s="22">
        <f t="shared" si="150"/>
        <v>6</v>
      </c>
      <c r="H1225" s="5" t="str">
        <f ca="1">_xlfn.FORMULATEXT(표1[[#This Row],[Q''ty]])</f>
        <v>=F1126</v>
      </c>
    </row>
    <row r="1226" spans="1:10" ht="15" hidden="1" customHeight="1" x14ac:dyDescent="0.4">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10" ht="15" hidden="1" customHeight="1" x14ac:dyDescent="0.4">
      <c r="A1227" s="6">
        <v>2026</v>
      </c>
      <c r="B1227" s="6">
        <f t="shared" si="146"/>
        <v>13</v>
      </c>
      <c r="C1227" s="13" t="s">
        <v>19</v>
      </c>
      <c r="D1227" s="2" t="s">
        <v>6</v>
      </c>
      <c r="E1227" s="14" t="str">
        <f t="shared" si="149"/>
        <v>L/W Machine</v>
      </c>
      <c r="F1227" s="22">
        <f t="shared" si="150"/>
        <v>10</v>
      </c>
      <c r="H1227" s="5" t="str">
        <f ca="1">_xlfn.FORMULATEXT(표1[[#This Row],[Q''ty]])</f>
        <v>=F1128</v>
      </c>
    </row>
    <row r="1228" spans="1:10" ht="15" hidden="1" customHeight="1" x14ac:dyDescent="0.4">
      <c r="A1228" s="6">
        <v>2026</v>
      </c>
      <c r="B1228" s="6">
        <f t="shared" si="146"/>
        <v>13</v>
      </c>
      <c r="C1228" s="13" t="s">
        <v>19</v>
      </c>
      <c r="D1228" s="2" t="s">
        <v>6</v>
      </c>
      <c r="E1228" s="14" t="str">
        <f t="shared" si="149"/>
        <v>C/W Machine</v>
      </c>
      <c r="F1228" s="22">
        <f t="shared" si="150"/>
        <v>12</v>
      </c>
      <c r="H1228" s="5" t="str">
        <f ca="1">_xlfn.FORMULATEXT(표1[[#This Row],[Q''ty]])</f>
        <v>=F1129</v>
      </c>
    </row>
    <row r="1229" spans="1:10" ht="15" hidden="1" customHeight="1" thickTop="1" x14ac:dyDescent="0.4">
      <c r="A1229" s="6">
        <v>2026</v>
      </c>
      <c r="B1229" s="6">
        <f t="shared" si="146"/>
        <v>13</v>
      </c>
      <c r="C1229" s="13" t="s">
        <v>19</v>
      </c>
      <c r="D1229" s="2" t="s">
        <v>12</v>
      </c>
      <c r="E1229" s="14" t="str">
        <f t="shared" si="149"/>
        <v>BT GT</v>
      </c>
      <c r="F1229" s="22">
        <v>38</v>
      </c>
      <c r="H1229" s="5" t="e">
        <f ca="1">_xlfn.FORMULATEXT(표1[[#This Row],[Q''ty]])</f>
        <v>#N/A</v>
      </c>
      <c r="I1229" s="28">
        <v>46111</v>
      </c>
      <c r="J1229" s="28">
        <v>46111</v>
      </c>
    </row>
    <row r="1230" spans="1:10" ht="15" hidden="1" customHeight="1" x14ac:dyDescent="0.4">
      <c r="A1230" s="6">
        <v>2026</v>
      </c>
      <c r="B1230" s="6">
        <f t="shared" si="146"/>
        <v>13</v>
      </c>
      <c r="C1230" s="13" t="s">
        <v>19</v>
      </c>
      <c r="D1230" s="2" t="s">
        <v>12</v>
      </c>
      <c r="E1230" s="14" t="str">
        <f t="shared" si="149"/>
        <v>WT GT</v>
      </c>
      <c r="F1230" s="22">
        <v>38</v>
      </c>
      <c r="H1230" s="5" t="e">
        <f ca="1">_xlfn.FORMULATEXT(표1[[#This Row],[Q''ty]])</f>
        <v>#N/A</v>
      </c>
      <c r="I1230" s="28">
        <v>46111</v>
      </c>
      <c r="J1230" s="28">
        <v>46111</v>
      </c>
    </row>
    <row r="1231" spans="1:10" ht="15" hidden="1" customHeight="1" x14ac:dyDescent="0.4">
      <c r="A1231" s="6">
        <v>2026</v>
      </c>
      <c r="B1231" s="6">
        <f t="shared" si="146"/>
        <v>13</v>
      </c>
      <c r="C1231" s="13" t="s">
        <v>19</v>
      </c>
      <c r="D1231" s="2" t="s">
        <v>12</v>
      </c>
      <c r="E1231" s="14" t="str">
        <f t="shared" si="149"/>
        <v>Bending</v>
      </c>
      <c r="F1231" s="22">
        <v>287</v>
      </c>
      <c r="H1231" s="5" t="e">
        <f ca="1">_xlfn.FORMULATEXT(표1[[#This Row],[Q''ty]])</f>
        <v>#N/A</v>
      </c>
      <c r="I1231" s="28">
        <v>46111</v>
      </c>
      <c r="J1231" s="28">
        <v>46111</v>
      </c>
    </row>
    <row r="1232" spans="1:10" ht="15" hidden="1" customHeight="1" x14ac:dyDescent="0.4">
      <c r="A1232" s="6">
        <v>2026</v>
      </c>
      <c r="B1232" s="6">
        <f t="shared" si="146"/>
        <v>13</v>
      </c>
      <c r="C1232" s="13" t="s">
        <v>19</v>
      </c>
      <c r="D1232" s="2" t="s">
        <v>12</v>
      </c>
      <c r="E1232" s="14" t="str">
        <f t="shared" si="149"/>
        <v>L/W</v>
      </c>
      <c r="F1232" s="22">
        <v>287</v>
      </c>
      <c r="H1232" s="5" t="e">
        <f ca="1">_xlfn.FORMULATEXT(표1[[#This Row],[Q''ty]])</f>
        <v>#N/A</v>
      </c>
      <c r="I1232" s="28">
        <v>46111</v>
      </c>
      <c r="J1232" s="28">
        <v>46111</v>
      </c>
    </row>
    <row r="1233" spans="1:10" ht="15" hidden="1" customHeight="1" thickBot="1" x14ac:dyDescent="0.45">
      <c r="A1233" s="15">
        <v>2026</v>
      </c>
      <c r="B1233" s="15">
        <f t="shared" si="146"/>
        <v>13</v>
      </c>
      <c r="C1233" s="16" t="s">
        <v>19</v>
      </c>
      <c r="D1233" s="17" t="s">
        <v>12</v>
      </c>
      <c r="E1233" s="18" t="str">
        <f t="shared" si="149"/>
        <v>C/W</v>
      </c>
      <c r="F1233" s="23">
        <v>338</v>
      </c>
      <c r="H1233" s="5" t="e">
        <f ca="1">_xlfn.FORMULATEXT(표1[[#This Row],[Q''ty]])</f>
        <v>#N/A</v>
      </c>
      <c r="I1233" s="28">
        <v>46111</v>
      </c>
      <c r="J1233" s="28">
        <v>46111</v>
      </c>
    </row>
    <row r="1234" spans="1:10" ht="15" hidden="1" customHeight="1" thickTop="1" x14ac:dyDescent="0.4">
      <c r="A1234" s="6">
        <v>2026</v>
      </c>
      <c r="B1234" s="6">
        <f t="shared" si="146"/>
        <v>13</v>
      </c>
      <c r="C1234" s="13" t="s">
        <v>25</v>
      </c>
      <c r="D1234" s="2" t="s">
        <v>6</v>
      </c>
      <c r="E1234" s="14" t="s">
        <v>7</v>
      </c>
      <c r="F1234" s="22">
        <f t="shared" ref="F1234:F1239" si="151">F1135</f>
        <v>3</v>
      </c>
      <c r="H1234" s="5" t="str">
        <f ca="1">_xlfn.FORMULATEXT(표1[[#This Row],[Q''ty]])</f>
        <v>=F1135</v>
      </c>
    </row>
    <row r="1235" spans="1:10" ht="15" hidden="1" customHeight="1" x14ac:dyDescent="0.4">
      <c r="A1235" s="6">
        <v>2026</v>
      </c>
      <c r="B1235" s="6">
        <f t="shared" si="146"/>
        <v>13</v>
      </c>
      <c r="C1235" s="13" t="s">
        <v>25</v>
      </c>
      <c r="D1235" s="2" t="s">
        <v>6</v>
      </c>
      <c r="E1235" s="14" t="s">
        <v>8</v>
      </c>
      <c r="F1235" s="22">
        <f t="shared" si="151"/>
        <v>3</v>
      </c>
      <c r="H1235" s="5" t="str">
        <f ca="1">_xlfn.FORMULATEXT(표1[[#This Row],[Q''ty]])</f>
        <v>=F1136</v>
      </c>
    </row>
    <row r="1236" spans="1:10" ht="15" hidden="1" customHeight="1" x14ac:dyDescent="0.4">
      <c r="A1236" s="6">
        <v>2026</v>
      </c>
      <c r="B1236" s="6">
        <f t="shared" si="146"/>
        <v>13</v>
      </c>
      <c r="C1236" s="13" t="s">
        <v>25</v>
      </c>
      <c r="D1236" s="2" t="s">
        <v>6</v>
      </c>
      <c r="E1236" s="14" t="s">
        <v>9</v>
      </c>
      <c r="F1236" s="22">
        <f t="shared" si="151"/>
        <v>2</v>
      </c>
      <c r="H1236" s="5" t="str">
        <f ca="1">_xlfn.FORMULATEXT(표1[[#This Row],[Q''ty]])</f>
        <v>=F1137</v>
      </c>
    </row>
    <row r="1237" spans="1:10" ht="15" hidden="1" customHeight="1" x14ac:dyDescent="0.4">
      <c r="A1237" s="6">
        <v>2026</v>
      </c>
      <c r="B1237" s="6">
        <f t="shared" si="146"/>
        <v>13</v>
      </c>
      <c r="C1237" s="13" t="s">
        <v>25</v>
      </c>
      <c r="D1237" s="2" t="s">
        <v>6</v>
      </c>
      <c r="E1237" s="14" t="s">
        <v>27</v>
      </c>
      <c r="F1237" s="22">
        <f t="shared" si="151"/>
        <v>2</v>
      </c>
      <c r="H1237" s="5" t="str">
        <f ca="1">_xlfn.FORMULATEXT(표1[[#This Row],[Q''ty]])</f>
        <v>=F1138</v>
      </c>
    </row>
    <row r="1238" spans="1:10" ht="15" hidden="1" customHeight="1" x14ac:dyDescent="0.4">
      <c r="A1238" s="6">
        <v>2026</v>
      </c>
      <c r="B1238" s="6">
        <f t="shared" si="146"/>
        <v>13</v>
      </c>
      <c r="C1238" s="13" t="s">
        <v>25</v>
      </c>
      <c r="D1238" s="2" t="s">
        <v>6</v>
      </c>
      <c r="E1238" s="14" t="s">
        <v>10</v>
      </c>
      <c r="F1238" s="22">
        <f t="shared" si="151"/>
        <v>3</v>
      </c>
      <c r="H1238" s="5" t="str">
        <f ca="1">_xlfn.FORMULATEXT(표1[[#This Row],[Q''ty]])</f>
        <v>=F1139</v>
      </c>
    </row>
    <row r="1239" spans="1:10" ht="15" hidden="1" customHeight="1" x14ac:dyDescent="0.4">
      <c r="A1239" s="6">
        <v>2026</v>
      </c>
      <c r="B1239" s="6">
        <f t="shared" si="146"/>
        <v>13</v>
      </c>
      <c r="C1239" s="13" t="s">
        <v>25</v>
      </c>
      <c r="D1239" s="2" t="s">
        <v>6</v>
      </c>
      <c r="E1239" s="14" t="s">
        <v>11</v>
      </c>
      <c r="F1239" s="22">
        <f t="shared" si="151"/>
        <v>4</v>
      </c>
      <c r="H1239" s="5" t="str">
        <f ca="1">_xlfn.FORMULATEXT(표1[[#This Row],[Q''ty]])</f>
        <v>=F1140</v>
      </c>
    </row>
    <row r="1240" spans="1:10" ht="15" hidden="1" customHeight="1" thickTop="1" x14ac:dyDescent="0.4">
      <c r="A1240" s="6">
        <v>2026</v>
      </c>
      <c r="B1240" s="6">
        <f t="shared" si="146"/>
        <v>13</v>
      </c>
      <c r="C1240" s="13" t="s">
        <v>25</v>
      </c>
      <c r="D1240" s="2" t="s">
        <v>12</v>
      </c>
      <c r="E1240" s="14" t="s">
        <v>13</v>
      </c>
      <c r="F1240" s="22">
        <v>0</v>
      </c>
      <c r="H1240" s="5" t="e">
        <f ca="1">_xlfn.FORMULATEXT(표1[[#This Row],[Q''ty]])</f>
        <v>#N/A</v>
      </c>
      <c r="I1240" s="28">
        <v>46112</v>
      </c>
      <c r="J1240" s="28">
        <v>46111</v>
      </c>
    </row>
    <row r="1241" spans="1:10" ht="15" hidden="1" customHeight="1" x14ac:dyDescent="0.4">
      <c r="A1241" s="6">
        <v>2026</v>
      </c>
      <c r="B1241" s="6">
        <f t="shared" si="146"/>
        <v>13</v>
      </c>
      <c r="C1241" s="13" t="s">
        <v>25</v>
      </c>
      <c r="D1241" s="2" t="s">
        <v>12</v>
      </c>
      <c r="E1241" s="14" t="s">
        <v>14</v>
      </c>
      <c r="F1241" s="22">
        <v>0</v>
      </c>
      <c r="H1241" s="5" t="e">
        <f ca="1">_xlfn.FORMULATEXT(표1[[#This Row],[Q''ty]])</f>
        <v>#N/A</v>
      </c>
      <c r="I1241" s="28">
        <v>46112</v>
      </c>
      <c r="J1241" s="28">
        <v>46111</v>
      </c>
    </row>
    <row r="1242" spans="1:10" ht="15" hidden="1" customHeight="1" x14ac:dyDescent="0.4">
      <c r="A1242" s="6">
        <v>2026</v>
      </c>
      <c r="B1242" s="6">
        <f t="shared" si="146"/>
        <v>13</v>
      </c>
      <c r="C1242" s="13" t="s">
        <v>25</v>
      </c>
      <c r="D1242" s="2" t="s">
        <v>12</v>
      </c>
      <c r="E1242" s="14" t="s">
        <v>15</v>
      </c>
      <c r="F1242" s="22">
        <v>0</v>
      </c>
      <c r="H1242" s="5" t="e">
        <f ca="1">_xlfn.FORMULATEXT(표1[[#This Row],[Q''ty]])</f>
        <v>#N/A</v>
      </c>
      <c r="I1242" s="28">
        <v>46112</v>
      </c>
      <c r="J1242" s="28">
        <v>46111</v>
      </c>
    </row>
    <row r="1243" spans="1:10" ht="15" hidden="1" customHeight="1" x14ac:dyDescent="0.4">
      <c r="A1243" s="6">
        <v>2026</v>
      </c>
      <c r="B1243" s="6">
        <f t="shared" si="146"/>
        <v>13</v>
      </c>
      <c r="C1243" s="13" t="s">
        <v>25</v>
      </c>
      <c r="D1243" s="2" t="s">
        <v>12</v>
      </c>
      <c r="E1243" s="14" t="s">
        <v>16</v>
      </c>
      <c r="F1243" s="22">
        <v>0</v>
      </c>
      <c r="H1243" s="5" t="e">
        <f ca="1">_xlfn.FORMULATEXT(표1[[#This Row],[Q''ty]])</f>
        <v>#N/A</v>
      </c>
      <c r="I1243" s="28">
        <v>46112</v>
      </c>
      <c r="J1243" s="28">
        <v>46111</v>
      </c>
    </row>
    <row r="1244" spans="1:10" ht="15" hidden="1" customHeight="1" thickBot="1" x14ac:dyDescent="0.45">
      <c r="A1244" s="15">
        <v>2026</v>
      </c>
      <c r="B1244" s="15">
        <f t="shared" si="146"/>
        <v>13</v>
      </c>
      <c r="C1244" s="16" t="s">
        <v>25</v>
      </c>
      <c r="D1244" s="17" t="s">
        <v>12</v>
      </c>
      <c r="E1244" s="18" t="s">
        <v>17</v>
      </c>
      <c r="F1244" s="23">
        <v>0</v>
      </c>
      <c r="H1244" s="5" t="e">
        <f ca="1">_xlfn.FORMULATEXT(표1[[#This Row],[Q''ty]])</f>
        <v>#N/A</v>
      </c>
      <c r="I1244" s="28">
        <v>46112</v>
      </c>
      <c r="J1244" s="28">
        <v>46111</v>
      </c>
    </row>
    <row r="1245" spans="1:10" ht="15" hidden="1" customHeight="1" thickTop="1" x14ac:dyDescent="0.4">
      <c r="A1245" s="6">
        <v>2026</v>
      </c>
      <c r="B1245" s="6">
        <f t="shared" si="146"/>
        <v>13</v>
      </c>
      <c r="C1245" s="13" t="s">
        <v>26</v>
      </c>
      <c r="D1245" s="2" t="s">
        <v>6</v>
      </c>
      <c r="E1245" s="14" t="s">
        <v>7</v>
      </c>
      <c r="F1245" s="22">
        <f t="shared" ref="F1245:F1250" si="152">F1146</f>
        <v>6</v>
      </c>
      <c r="H1245" s="5" t="str">
        <f ca="1">_xlfn.FORMULATEXT(표1[[#This Row],[Q''ty]])</f>
        <v>=F1146</v>
      </c>
    </row>
    <row r="1246" spans="1:10" ht="15" hidden="1" customHeight="1" x14ac:dyDescent="0.4">
      <c r="A1246" s="6">
        <v>2026</v>
      </c>
      <c r="B1246" s="6">
        <f t="shared" si="146"/>
        <v>13</v>
      </c>
      <c r="C1246" s="13" t="s">
        <v>26</v>
      </c>
      <c r="D1246" s="2" t="s">
        <v>6</v>
      </c>
      <c r="E1246" s="14" t="s">
        <v>8</v>
      </c>
      <c r="F1246" s="22">
        <f t="shared" si="152"/>
        <v>4</v>
      </c>
      <c r="H1246" s="5" t="str">
        <f ca="1">_xlfn.FORMULATEXT(표1[[#This Row],[Q''ty]])</f>
        <v>=F1147</v>
      </c>
    </row>
    <row r="1247" spans="1:10" ht="15" hidden="1" customHeight="1" x14ac:dyDescent="0.4">
      <c r="A1247" s="6">
        <v>2026</v>
      </c>
      <c r="B1247" s="6">
        <f t="shared" si="146"/>
        <v>13</v>
      </c>
      <c r="C1247" s="13" t="s">
        <v>26</v>
      </c>
      <c r="D1247" s="2" t="s">
        <v>6</v>
      </c>
      <c r="E1247" s="14" t="s">
        <v>9</v>
      </c>
      <c r="F1247" s="22">
        <f t="shared" si="152"/>
        <v>2</v>
      </c>
      <c r="H1247" s="5" t="str">
        <f ca="1">_xlfn.FORMULATEXT(표1[[#This Row],[Q''ty]])</f>
        <v>=F1148</v>
      </c>
    </row>
    <row r="1248" spans="1:10" ht="15" hidden="1" customHeight="1" x14ac:dyDescent="0.4">
      <c r="A1248" s="6">
        <v>2026</v>
      </c>
      <c r="B1248" s="6">
        <f t="shared" si="146"/>
        <v>13</v>
      </c>
      <c r="C1248" s="13" t="s">
        <v>26</v>
      </c>
      <c r="D1248" s="2" t="s">
        <v>6</v>
      </c>
      <c r="E1248" s="14" t="s">
        <v>27</v>
      </c>
      <c r="F1248" s="22">
        <f t="shared" si="152"/>
        <v>3</v>
      </c>
      <c r="H1248" s="5" t="str">
        <f ca="1">_xlfn.FORMULATEXT(표1[[#This Row],[Q''ty]])</f>
        <v>=F1149</v>
      </c>
    </row>
    <row r="1249" spans="1:10" ht="15" hidden="1" customHeight="1" x14ac:dyDescent="0.4">
      <c r="A1249" s="6">
        <v>2026</v>
      </c>
      <c r="B1249" s="6">
        <f t="shared" si="146"/>
        <v>13</v>
      </c>
      <c r="C1249" s="13" t="s">
        <v>26</v>
      </c>
      <c r="D1249" s="2" t="s">
        <v>6</v>
      </c>
      <c r="E1249" s="14" t="s">
        <v>10</v>
      </c>
      <c r="F1249" s="22">
        <f t="shared" si="152"/>
        <v>4</v>
      </c>
      <c r="H1249" s="5" t="str">
        <f ca="1">_xlfn.FORMULATEXT(표1[[#This Row],[Q''ty]])</f>
        <v>=F1150</v>
      </c>
    </row>
    <row r="1250" spans="1:10" ht="15" hidden="1" customHeight="1" x14ac:dyDescent="0.4">
      <c r="A1250" s="6">
        <v>2026</v>
      </c>
      <c r="B1250" s="6">
        <f t="shared" si="146"/>
        <v>13</v>
      </c>
      <c r="C1250" s="13" t="s">
        <v>26</v>
      </c>
      <c r="D1250" s="2" t="s">
        <v>6</v>
      </c>
      <c r="E1250" s="14" t="s">
        <v>11</v>
      </c>
      <c r="F1250" s="22">
        <f t="shared" si="152"/>
        <v>6</v>
      </c>
      <c r="H1250" s="5" t="str">
        <f ca="1">_xlfn.FORMULATEXT(표1[[#This Row],[Q''ty]])</f>
        <v>=F1151</v>
      </c>
    </row>
    <row r="1251" spans="1:10" ht="15" hidden="1" customHeight="1" thickTop="1" x14ac:dyDescent="0.4">
      <c r="A1251" s="6">
        <v>2026</v>
      </c>
      <c r="B1251" s="6">
        <f t="shared" si="146"/>
        <v>13</v>
      </c>
      <c r="C1251" s="13" t="s">
        <v>26</v>
      </c>
      <c r="D1251" s="2" t="s">
        <v>12</v>
      </c>
      <c r="E1251" s="14" t="str">
        <f t="shared" ref="E1251:E1288" si="153">E1152</f>
        <v>BT GT</v>
      </c>
      <c r="F1251" s="22">
        <v>24</v>
      </c>
      <c r="H1251" s="5" t="e">
        <f ca="1">_xlfn.FORMULATEXT(표1[[#This Row],[Q''ty]])</f>
        <v>#N/A</v>
      </c>
      <c r="I1251" s="28">
        <v>46112</v>
      </c>
      <c r="J1251" s="28">
        <v>46111</v>
      </c>
    </row>
    <row r="1252" spans="1:10" ht="15" hidden="1" customHeight="1" x14ac:dyDescent="0.4">
      <c r="A1252" s="6">
        <v>2026</v>
      </c>
      <c r="B1252" s="6">
        <f t="shared" si="146"/>
        <v>13</v>
      </c>
      <c r="C1252" s="13" t="s">
        <v>26</v>
      </c>
      <c r="D1252" s="2" t="s">
        <v>12</v>
      </c>
      <c r="E1252" s="14" t="str">
        <f t="shared" si="153"/>
        <v>WT GT</v>
      </c>
      <c r="F1252" s="22">
        <v>22</v>
      </c>
      <c r="H1252" s="5" t="e">
        <f ca="1">_xlfn.FORMULATEXT(표1[[#This Row],[Q''ty]])</f>
        <v>#N/A</v>
      </c>
      <c r="I1252" s="28">
        <v>46112</v>
      </c>
      <c r="J1252" s="28">
        <v>46111</v>
      </c>
    </row>
    <row r="1253" spans="1:10" ht="15" hidden="1" customHeight="1" x14ac:dyDescent="0.4">
      <c r="A1253" s="6">
        <v>2026</v>
      </c>
      <c r="B1253" s="6">
        <f t="shared" si="146"/>
        <v>13</v>
      </c>
      <c r="C1253" s="13" t="s">
        <v>26</v>
      </c>
      <c r="D1253" s="2" t="s">
        <v>12</v>
      </c>
      <c r="E1253" s="14" t="str">
        <f t="shared" si="153"/>
        <v>Bending</v>
      </c>
      <c r="F1253" s="22">
        <v>216</v>
      </c>
      <c r="H1253" s="5" t="e">
        <f ca="1">_xlfn.FORMULATEXT(표1[[#This Row],[Q''ty]])</f>
        <v>#N/A</v>
      </c>
      <c r="I1253" s="28">
        <v>46112</v>
      </c>
      <c r="J1253" s="28">
        <v>46111</v>
      </c>
    </row>
    <row r="1254" spans="1:10" ht="15" hidden="1" customHeight="1" x14ac:dyDescent="0.4">
      <c r="A1254" s="6">
        <v>2026</v>
      </c>
      <c r="B1254" s="6">
        <f t="shared" si="146"/>
        <v>13</v>
      </c>
      <c r="C1254" s="13" t="s">
        <v>26</v>
      </c>
      <c r="D1254" s="2" t="s">
        <v>12</v>
      </c>
      <c r="E1254" s="14" t="str">
        <f t="shared" si="153"/>
        <v>L/W</v>
      </c>
      <c r="F1254" s="22">
        <v>215</v>
      </c>
      <c r="H1254" s="5" t="e">
        <f ca="1">_xlfn.FORMULATEXT(표1[[#This Row],[Q''ty]])</f>
        <v>#N/A</v>
      </c>
      <c r="I1254" s="28">
        <v>46112</v>
      </c>
      <c r="J1254" s="28">
        <v>46111</v>
      </c>
    </row>
    <row r="1255" spans="1:10" ht="15" hidden="1" customHeight="1" thickBot="1" x14ac:dyDescent="0.45">
      <c r="A1255" s="15">
        <v>2026</v>
      </c>
      <c r="B1255" s="15">
        <f t="shared" ref="B1255:B1288" si="154">B1156+1</f>
        <v>13</v>
      </c>
      <c r="C1255" s="16" t="s">
        <v>26</v>
      </c>
      <c r="D1255" s="17" t="s">
        <v>12</v>
      </c>
      <c r="E1255" s="18" t="str">
        <f t="shared" si="153"/>
        <v>C/W</v>
      </c>
      <c r="F1255" s="23">
        <v>220</v>
      </c>
      <c r="H1255" s="5" t="e">
        <f ca="1">_xlfn.FORMULATEXT(표1[[#This Row],[Q''ty]])</f>
        <v>#N/A</v>
      </c>
      <c r="I1255" s="28">
        <v>46112</v>
      </c>
      <c r="J1255" s="28">
        <v>46111</v>
      </c>
    </row>
    <row r="1256" spans="1:10" ht="15" hidden="1" customHeight="1" thickTop="1" x14ac:dyDescent="0.4">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10" ht="15" hidden="1" customHeight="1" x14ac:dyDescent="0.4">
      <c r="A1257" s="6">
        <v>2026</v>
      </c>
      <c r="B1257" s="6">
        <f t="shared" si="154"/>
        <v>13</v>
      </c>
      <c r="C1257" s="13" t="s">
        <v>20</v>
      </c>
      <c r="D1257" s="2" t="s">
        <v>6</v>
      </c>
      <c r="E1257" s="14" t="str">
        <f t="shared" si="153"/>
        <v>Paint Booth</v>
      </c>
      <c r="F1257" s="22">
        <f t="shared" si="155"/>
        <v>16</v>
      </c>
      <c r="H1257" s="5" t="str">
        <f ca="1">_xlfn.FORMULATEXT(표1[[#This Row],[Q''ty]])</f>
        <v>=F1158</v>
      </c>
    </row>
    <row r="1258" spans="1:10" ht="15" hidden="1" customHeight="1" x14ac:dyDescent="0.4">
      <c r="A1258" s="6">
        <v>2026</v>
      </c>
      <c r="B1258" s="6">
        <f t="shared" si="154"/>
        <v>13</v>
      </c>
      <c r="C1258" s="13" t="s">
        <v>20</v>
      </c>
      <c r="D1258" s="2" t="s">
        <v>6</v>
      </c>
      <c r="E1258" s="14" t="str">
        <f t="shared" si="153"/>
        <v>Paint Line</v>
      </c>
      <c r="F1258" s="22">
        <f t="shared" si="155"/>
        <v>8</v>
      </c>
      <c r="H1258" s="5" t="str">
        <f ca="1">_xlfn.FORMULATEXT(표1[[#This Row],[Q''ty]])</f>
        <v>=F1159</v>
      </c>
    </row>
    <row r="1259" spans="1:10" ht="15" hidden="1" customHeight="1" x14ac:dyDescent="0.4">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10" ht="15" hidden="1" customHeight="1" x14ac:dyDescent="0.4">
      <c r="A1260" s="6">
        <v>2026</v>
      </c>
      <c r="B1260" s="6">
        <f t="shared" si="154"/>
        <v>13</v>
      </c>
      <c r="C1260" s="13" t="s">
        <v>20</v>
      </c>
      <c r="D1260" s="2" t="s">
        <v>6</v>
      </c>
      <c r="E1260" s="14" t="str">
        <f t="shared" si="153"/>
        <v>L/W Machine</v>
      </c>
      <c r="F1260" s="22">
        <f t="shared" si="155"/>
        <v>11</v>
      </c>
      <c r="H1260" s="5" t="str">
        <f ca="1">_xlfn.FORMULATEXT(표1[[#This Row],[Q''ty]])</f>
        <v>=F1161</v>
      </c>
    </row>
    <row r="1261" spans="1:10" ht="15" hidden="1" customHeight="1" x14ac:dyDescent="0.4">
      <c r="A1261" s="6">
        <v>2026</v>
      </c>
      <c r="B1261" s="6">
        <f t="shared" si="154"/>
        <v>13</v>
      </c>
      <c r="C1261" s="13" t="s">
        <v>20</v>
      </c>
      <c r="D1261" s="2" t="s">
        <v>6</v>
      </c>
      <c r="E1261" s="14" t="str">
        <f t="shared" si="153"/>
        <v>C/W Machine</v>
      </c>
      <c r="F1261" s="22">
        <f t="shared" si="155"/>
        <v>15</v>
      </c>
      <c r="H1261" s="5" t="str">
        <f ca="1">_xlfn.FORMULATEXT(표1[[#This Row],[Q''ty]])</f>
        <v>=F1162</v>
      </c>
    </row>
    <row r="1262" spans="1:10" ht="15" hidden="1" customHeight="1" thickTop="1" x14ac:dyDescent="0.4">
      <c r="A1262" s="6">
        <v>2026</v>
      </c>
      <c r="B1262" s="6">
        <f t="shared" si="154"/>
        <v>13</v>
      </c>
      <c r="C1262" s="13" t="s">
        <v>20</v>
      </c>
      <c r="D1262" s="2" t="s">
        <v>12</v>
      </c>
      <c r="E1262" s="14" t="str">
        <f t="shared" si="153"/>
        <v>BT GT</v>
      </c>
      <c r="F1262" s="22">
        <v>73</v>
      </c>
      <c r="H1262" s="5" t="e">
        <f ca="1">_xlfn.FORMULATEXT(표1[[#This Row],[Q''ty]])</f>
        <v>#N/A</v>
      </c>
      <c r="I1262" s="28">
        <v>46111</v>
      </c>
      <c r="J1262" s="28">
        <v>46110</v>
      </c>
    </row>
    <row r="1263" spans="1:10" ht="15" hidden="1" customHeight="1" x14ac:dyDescent="0.4">
      <c r="A1263" s="6">
        <v>2026</v>
      </c>
      <c r="B1263" s="6">
        <f t="shared" si="154"/>
        <v>13</v>
      </c>
      <c r="C1263" s="13" t="s">
        <v>20</v>
      </c>
      <c r="D1263" s="2" t="s">
        <v>12</v>
      </c>
      <c r="E1263" s="14" t="str">
        <f t="shared" si="153"/>
        <v>WT GT</v>
      </c>
      <c r="F1263" s="22">
        <v>43</v>
      </c>
      <c r="H1263" s="5" t="e">
        <f ca="1">_xlfn.FORMULATEXT(표1[[#This Row],[Q''ty]])</f>
        <v>#N/A</v>
      </c>
      <c r="I1263" s="28">
        <v>46111</v>
      </c>
      <c r="J1263" s="28">
        <v>46110</v>
      </c>
    </row>
    <row r="1264" spans="1:10" ht="15" hidden="1" customHeight="1" x14ac:dyDescent="0.4">
      <c r="A1264" s="6">
        <v>2026</v>
      </c>
      <c r="B1264" s="6">
        <f t="shared" si="154"/>
        <v>13</v>
      </c>
      <c r="C1264" s="13" t="s">
        <v>20</v>
      </c>
      <c r="D1264" s="2" t="s">
        <v>12</v>
      </c>
      <c r="E1264" s="14" t="str">
        <f t="shared" si="153"/>
        <v>Bending</v>
      </c>
      <c r="F1264" s="22">
        <v>645</v>
      </c>
      <c r="H1264" s="5" t="e">
        <f ca="1">_xlfn.FORMULATEXT(표1[[#This Row],[Q''ty]])</f>
        <v>#N/A</v>
      </c>
      <c r="I1264" s="28">
        <v>46111</v>
      </c>
      <c r="J1264" s="28">
        <v>46110</v>
      </c>
    </row>
    <row r="1265" spans="1:10" ht="15" hidden="1" customHeight="1" x14ac:dyDescent="0.4">
      <c r="A1265" s="6">
        <v>2026</v>
      </c>
      <c r="B1265" s="6">
        <f t="shared" si="154"/>
        <v>13</v>
      </c>
      <c r="C1265" s="13" t="s">
        <v>20</v>
      </c>
      <c r="D1265" s="2" t="s">
        <v>12</v>
      </c>
      <c r="E1265" s="14" t="str">
        <f t="shared" si="153"/>
        <v>L/W</v>
      </c>
      <c r="F1265" s="22">
        <v>644</v>
      </c>
      <c r="H1265" s="5" t="e">
        <f ca="1">_xlfn.FORMULATEXT(표1[[#This Row],[Q''ty]])</f>
        <v>#N/A</v>
      </c>
      <c r="I1265" s="28">
        <v>46111</v>
      </c>
      <c r="J1265" s="28">
        <v>46110</v>
      </c>
    </row>
    <row r="1266" spans="1:10" ht="15" hidden="1" customHeight="1" thickBot="1" x14ac:dyDescent="0.45">
      <c r="A1266" s="15">
        <v>2026</v>
      </c>
      <c r="B1266" s="15">
        <f t="shared" si="154"/>
        <v>13</v>
      </c>
      <c r="C1266" s="16" t="s">
        <v>20</v>
      </c>
      <c r="D1266" s="17" t="s">
        <v>12</v>
      </c>
      <c r="E1266" s="18" t="str">
        <f t="shared" si="153"/>
        <v>C/W</v>
      </c>
      <c r="F1266" s="23">
        <v>552</v>
      </c>
      <c r="H1266" s="5" t="e">
        <f ca="1">_xlfn.FORMULATEXT(표1[[#This Row],[Q''ty]])</f>
        <v>#N/A</v>
      </c>
      <c r="I1266" s="28">
        <v>46111</v>
      </c>
      <c r="J1266" s="28">
        <v>46110</v>
      </c>
    </row>
    <row r="1267" spans="1:10" ht="15" hidden="1" customHeight="1" thickTop="1" x14ac:dyDescent="0.4">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10" ht="15" hidden="1" customHeight="1" x14ac:dyDescent="0.4">
      <c r="A1268" s="6">
        <v>2026</v>
      </c>
      <c r="B1268" s="6">
        <f t="shared" si="154"/>
        <v>13</v>
      </c>
      <c r="C1268" s="13" t="s">
        <v>21</v>
      </c>
      <c r="D1268" s="2" t="s">
        <v>6</v>
      </c>
      <c r="E1268" s="14" t="str">
        <f t="shared" si="153"/>
        <v>Paint Booth</v>
      </c>
      <c r="F1268" s="22">
        <f t="shared" si="156"/>
        <v>4</v>
      </c>
      <c r="H1268" s="5" t="str">
        <f ca="1">_xlfn.FORMULATEXT(표1[[#This Row],[Q''ty]])</f>
        <v>=F1169</v>
      </c>
    </row>
    <row r="1269" spans="1:10" ht="15" hidden="1" customHeight="1" x14ac:dyDescent="0.4">
      <c r="A1269" s="6">
        <v>2026</v>
      </c>
      <c r="B1269" s="6">
        <f t="shared" si="154"/>
        <v>13</v>
      </c>
      <c r="C1269" s="13" t="s">
        <v>21</v>
      </c>
      <c r="D1269" s="2" t="s">
        <v>6</v>
      </c>
      <c r="E1269" s="14" t="str">
        <f t="shared" si="153"/>
        <v>Paint Line</v>
      </c>
      <c r="F1269" s="22">
        <f t="shared" si="156"/>
        <v>4</v>
      </c>
      <c r="H1269" s="5" t="str">
        <f ca="1">_xlfn.FORMULATEXT(표1[[#This Row],[Q''ty]])</f>
        <v>=F1170</v>
      </c>
    </row>
    <row r="1270" spans="1:10" ht="15" hidden="1" customHeight="1" x14ac:dyDescent="0.4">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10" ht="15" hidden="1" customHeight="1" x14ac:dyDescent="0.4">
      <c r="A1271" s="6">
        <v>2026</v>
      </c>
      <c r="B1271" s="6">
        <f t="shared" si="154"/>
        <v>13</v>
      </c>
      <c r="C1271" s="13" t="s">
        <v>21</v>
      </c>
      <c r="D1271" s="2" t="s">
        <v>6</v>
      </c>
      <c r="E1271" s="14" t="str">
        <f t="shared" si="153"/>
        <v>L/W Machine</v>
      </c>
      <c r="F1271" s="22">
        <f t="shared" si="156"/>
        <v>4</v>
      </c>
      <c r="H1271" s="5" t="str">
        <f ca="1">_xlfn.FORMULATEXT(표1[[#This Row],[Q''ty]])</f>
        <v>=F1172</v>
      </c>
    </row>
    <row r="1272" spans="1:10" ht="15" hidden="1" customHeight="1" x14ac:dyDescent="0.4">
      <c r="A1272" s="6">
        <v>2026</v>
      </c>
      <c r="B1272" s="6">
        <f t="shared" si="154"/>
        <v>13</v>
      </c>
      <c r="C1272" s="13" t="s">
        <v>21</v>
      </c>
      <c r="D1272" s="2" t="s">
        <v>6</v>
      </c>
      <c r="E1272" s="14" t="str">
        <f t="shared" si="153"/>
        <v>C/W Machine</v>
      </c>
      <c r="F1272" s="22">
        <f t="shared" si="156"/>
        <v>6.5</v>
      </c>
      <c r="H1272" s="5" t="str">
        <f ca="1">_xlfn.FORMULATEXT(표1[[#This Row],[Q''ty]])</f>
        <v>=F1173</v>
      </c>
    </row>
    <row r="1273" spans="1:10" ht="15" hidden="1" customHeight="1" thickTop="1" x14ac:dyDescent="0.4">
      <c r="A1273" s="6">
        <v>2026</v>
      </c>
      <c r="B1273" s="6">
        <f t="shared" si="154"/>
        <v>13</v>
      </c>
      <c r="C1273" s="13" t="s">
        <v>21</v>
      </c>
      <c r="D1273" s="2" t="s">
        <v>12</v>
      </c>
      <c r="E1273" s="14" t="str">
        <f t="shared" si="153"/>
        <v>BT GT</v>
      </c>
      <c r="F1273" s="22">
        <v>16</v>
      </c>
      <c r="H1273" s="5" t="e">
        <f ca="1">_xlfn.FORMULATEXT(표1[[#This Row],[Q''ty]])</f>
        <v>#N/A</v>
      </c>
      <c r="I1273" s="28">
        <v>46112</v>
      </c>
      <c r="J1273" s="28">
        <v>46111</v>
      </c>
    </row>
    <row r="1274" spans="1:10" ht="15" hidden="1" customHeight="1" x14ac:dyDescent="0.4">
      <c r="A1274" s="6">
        <v>2026</v>
      </c>
      <c r="B1274" s="6">
        <f t="shared" si="154"/>
        <v>13</v>
      </c>
      <c r="C1274" s="13" t="s">
        <v>21</v>
      </c>
      <c r="D1274" s="2" t="s">
        <v>12</v>
      </c>
      <c r="E1274" s="14" t="str">
        <f t="shared" si="153"/>
        <v>WT GT</v>
      </c>
      <c r="F1274" s="22">
        <v>16</v>
      </c>
      <c r="H1274" s="5" t="e">
        <f ca="1">_xlfn.FORMULATEXT(표1[[#This Row],[Q''ty]])</f>
        <v>#N/A</v>
      </c>
      <c r="I1274" s="28">
        <v>46112</v>
      </c>
      <c r="J1274" s="28">
        <v>46111</v>
      </c>
    </row>
    <row r="1275" spans="1:10" ht="15" hidden="1" customHeight="1" x14ac:dyDescent="0.4">
      <c r="A1275" s="6">
        <v>2026</v>
      </c>
      <c r="B1275" s="6">
        <f t="shared" si="154"/>
        <v>13</v>
      </c>
      <c r="C1275" s="13" t="s">
        <v>21</v>
      </c>
      <c r="D1275" s="2" t="s">
        <v>12</v>
      </c>
      <c r="E1275" s="14" t="str">
        <f t="shared" si="153"/>
        <v>Bending</v>
      </c>
      <c r="F1275" s="22">
        <v>117</v>
      </c>
      <c r="H1275" s="5" t="e">
        <f ca="1">_xlfn.FORMULATEXT(표1[[#This Row],[Q''ty]])</f>
        <v>#N/A</v>
      </c>
      <c r="I1275" s="28">
        <v>46112</v>
      </c>
      <c r="J1275" s="28">
        <v>46111</v>
      </c>
    </row>
    <row r="1276" spans="1:10" ht="15" hidden="1" customHeight="1" x14ac:dyDescent="0.4">
      <c r="A1276" s="6">
        <v>2026</v>
      </c>
      <c r="B1276" s="6">
        <f t="shared" si="154"/>
        <v>13</v>
      </c>
      <c r="C1276" s="13" t="s">
        <v>21</v>
      </c>
      <c r="D1276" s="2" t="s">
        <v>12</v>
      </c>
      <c r="E1276" s="14" t="str">
        <f t="shared" si="153"/>
        <v>L/W</v>
      </c>
      <c r="F1276" s="22">
        <v>129</v>
      </c>
      <c r="H1276" s="5" t="e">
        <f ca="1">_xlfn.FORMULATEXT(표1[[#This Row],[Q''ty]])</f>
        <v>#N/A</v>
      </c>
      <c r="I1276" s="28">
        <v>46112</v>
      </c>
      <c r="J1276" s="28">
        <v>46111</v>
      </c>
    </row>
    <row r="1277" spans="1:10" ht="15" hidden="1" customHeight="1" thickBot="1" x14ac:dyDescent="0.45">
      <c r="A1277" s="15">
        <v>2026</v>
      </c>
      <c r="B1277" s="15">
        <f t="shared" si="154"/>
        <v>13</v>
      </c>
      <c r="C1277" s="16" t="s">
        <v>21</v>
      </c>
      <c r="D1277" s="17" t="s">
        <v>12</v>
      </c>
      <c r="E1277" s="18" t="str">
        <f t="shared" si="153"/>
        <v>C/W</v>
      </c>
      <c r="F1277" s="23">
        <v>147</v>
      </c>
      <c r="H1277" s="5" t="e">
        <f ca="1">_xlfn.FORMULATEXT(표1[[#This Row],[Q''ty]])</f>
        <v>#N/A</v>
      </c>
      <c r="I1277" s="28">
        <v>46112</v>
      </c>
      <c r="J1277" s="28">
        <v>46111</v>
      </c>
    </row>
    <row r="1278" spans="1:10" ht="15" hidden="1" customHeight="1" thickTop="1" x14ac:dyDescent="0.4">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10" ht="15" hidden="1" customHeight="1" x14ac:dyDescent="0.4">
      <c r="A1279" s="6">
        <v>2026</v>
      </c>
      <c r="B1279" s="6">
        <f t="shared" si="154"/>
        <v>13</v>
      </c>
      <c r="C1279" s="13" t="s">
        <v>22</v>
      </c>
      <c r="D1279" s="2" t="s">
        <v>6</v>
      </c>
      <c r="E1279" s="14" t="str">
        <f t="shared" si="153"/>
        <v>Paint Booth</v>
      </c>
      <c r="F1279" s="22">
        <f t="shared" si="157"/>
        <v>6</v>
      </c>
      <c r="H1279" s="5" t="str">
        <f ca="1">_xlfn.FORMULATEXT(표1[[#This Row],[Q''ty]])</f>
        <v>=F1180</v>
      </c>
    </row>
    <row r="1280" spans="1:10" ht="15" hidden="1" customHeight="1" x14ac:dyDescent="0.4">
      <c r="A1280" s="6">
        <v>2026</v>
      </c>
      <c r="B1280" s="6">
        <f t="shared" si="154"/>
        <v>13</v>
      </c>
      <c r="C1280" s="13" t="s">
        <v>22</v>
      </c>
      <c r="D1280" s="2" t="s">
        <v>6</v>
      </c>
      <c r="E1280" s="14" t="str">
        <f t="shared" si="153"/>
        <v>Paint Line</v>
      </c>
      <c r="F1280" s="22">
        <f t="shared" si="157"/>
        <v>4</v>
      </c>
      <c r="H1280" s="5" t="str">
        <f ca="1">_xlfn.FORMULATEXT(표1[[#This Row],[Q''ty]])</f>
        <v>=F1181</v>
      </c>
    </row>
    <row r="1281" spans="1:10" ht="15" hidden="1" customHeight="1" x14ac:dyDescent="0.4">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10" ht="15" hidden="1" customHeight="1" x14ac:dyDescent="0.4">
      <c r="A1282" s="6">
        <v>2026</v>
      </c>
      <c r="B1282" s="6">
        <f t="shared" si="154"/>
        <v>13</v>
      </c>
      <c r="C1282" s="13" t="s">
        <v>22</v>
      </c>
      <c r="D1282" s="2" t="s">
        <v>6</v>
      </c>
      <c r="E1282" s="14" t="str">
        <f t="shared" si="153"/>
        <v>L/W Machine</v>
      </c>
      <c r="F1282" s="22">
        <f t="shared" si="157"/>
        <v>7</v>
      </c>
      <c r="H1282" s="5" t="str">
        <f ca="1">_xlfn.FORMULATEXT(표1[[#This Row],[Q''ty]])</f>
        <v>=F1183</v>
      </c>
    </row>
    <row r="1283" spans="1:10" ht="15" hidden="1" customHeight="1" x14ac:dyDescent="0.4">
      <c r="A1283" s="6">
        <v>2026</v>
      </c>
      <c r="B1283" s="6">
        <f t="shared" si="154"/>
        <v>13</v>
      </c>
      <c r="C1283" s="13" t="s">
        <v>22</v>
      </c>
      <c r="D1283" s="2" t="s">
        <v>6</v>
      </c>
      <c r="E1283" s="14" t="str">
        <f t="shared" si="153"/>
        <v>C/W Machine</v>
      </c>
      <c r="F1283" s="22">
        <f t="shared" si="157"/>
        <v>12.5</v>
      </c>
      <c r="H1283" s="5" t="str">
        <f ca="1">_xlfn.FORMULATEXT(표1[[#This Row],[Q''ty]])</f>
        <v>=F1184</v>
      </c>
    </row>
    <row r="1284" spans="1:10" ht="15" hidden="1" customHeight="1" thickTop="1" x14ac:dyDescent="0.4">
      <c r="A1284" s="6">
        <v>2026</v>
      </c>
      <c r="B1284" s="6">
        <f t="shared" si="154"/>
        <v>13</v>
      </c>
      <c r="C1284" s="13" t="s">
        <v>22</v>
      </c>
      <c r="D1284" s="2" t="s">
        <v>12</v>
      </c>
      <c r="E1284" s="14" t="str">
        <f t="shared" si="153"/>
        <v>BT GT</v>
      </c>
      <c r="F1284" s="22">
        <f>2+1</f>
        <v>3</v>
      </c>
      <c r="H1284" s="5" t="str">
        <f ca="1">_xlfn.FORMULATEXT(표1[[#This Row],[Q''ty]])</f>
        <v>=2+1</v>
      </c>
      <c r="I1284" s="28">
        <v>46112</v>
      </c>
      <c r="J1284" s="28">
        <v>46108</v>
      </c>
    </row>
    <row r="1285" spans="1:10" ht="15" hidden="1" customHeight="1" x14ac:dyDescent="0.4">
      <c r="A1285" s="6">
        <v>2026</v>
      </c>
      <c r="B1285" s="6">
        <f t="shared" si="154"/>
        <v>13</v>
      </c>
      <c r="C1285" s="13" t="s">
        <v>22</v>
      </c>
      <c r="D1285" s="2" t="s">
        <v>12</v>
      </c>
      <c r="E1285" s="14" t="str">
        <f t="shared" si="153"/>
        <v>WT GT</v>
      </c>
      <c r="F1285" s="22">
        <v>6</v>
      </c>
      <c r="H1285" s="5" t="e">
        <f ca="1">_xlfn.FORMULATEXT(표1[[#This Row],[Q''ty]])</f>
        <v>#N/A</v>
      </c>
      <c r="I1285" s="28">
        <v>46112</v>
      </c>
      <c r="J1285" s="28">
        <v>46108</v>
      </c>
    </row>
    <row r="1286" spans="1:10" ht="15" hidden="1" customHeight="1" x14ac:dyDescent="0.4">
      <c r="A1286" s="6">
        <v>2026</v>
      </c>
      <c r="B1286" s="6">
        <f t="shared" si="154"/>
        <v>13</v>
      </c>
      <c r="C1286" s="13" t="s">
        <v>22</v>
      </c>
      <c r="D1286" s="2" t="s">
        <v>12</v>
      </c>
      <c r="E1286" s="14" t="str">
        <f t="shared" si="153"/>
        <v>Bending</v>
      </c>
      <c r="F1286" s="22">
        <f>7+7</f>
        <v>14</v>
      </c>
      <c r="H1286" s="5" t="str">
        <f ca="1">_xlfn.FORMULATEXT(표1[[#This Row],[Q''ty]])</f>
        <v>=7+7</v>
      </c>
      <c r="I1286" s="28">
        <v>46112</v>
      </c>
      <c r="J1286" s="28">
        <v>46108</v>
      </c>
    </row>
    <row r="1287" spans="1:10" ht="15" hidden="1" customHeight="1" x14ac:dyDescent="0.4">
      <c r="A1287" s="6">
        <v>2026</v>
      </c>
      <c r="B1287" s="6">
        <f t="shared" si="154"/>
        <v>13</v>
      </c>
      <c r="C1287" s="13" t="s">
        <v>22</v>
      </c>
      <c r="D1287" s="2" t="s">
        <v>12</v>
      </c>
      <c r="E1287" s="14" t="str">
        <f t="shared" si="153"/>
        <v>L/W</v>
      </c>
      <c r="F1287" s="22">
        <f>6+10</f>
        <v>16</v>
      </c>
      <c r="H1287" s="5" t="str">
        <f ca="1">_xlfn.FORMULATEXT(표1[[#This Row],[Q''ty]])</f>
        <v>=6+10</v>
      </c>
      <c r="I1287" s="28">
        <v>46112</v>
      </c>
      <c r="J1287" s="28">
        <v>46108</v>
      </c>
    </row>
    <row r="1288" spans="1:10" ht="15" hidden="1" customHeight="1" x14ac:dyDescent="0.4">
      <c r="A1288" s="6">
        <v>2026</v>
      </c>
      <c r="B1288" s="6">
        <f t="shared" si="154"/>
        <v>13</v>
      </c>
      <c r="C1288" s="13" t="s">
        <v>22</v>
      </c>
      <c r="D1288" s="2" t="s">
        <v>12</v>
      </c>
      <c r="E1288" s="14" t="str">
        <f t="shared" si="153"/>
        <v>C/W</v>
      </c>
      <c r="F1288" s="22">
        <f>2+3</f>
        <v>5</v>
      </c>
      <c r="H1288" s="5" t="str">
        <f ca="1">_xlfn.FORMULATEXT(표1[[#This Row],[Q''ty]])</f>
        <v>=2+3</v>
      </c>
      <c r="I1288" s="28">
        <v>46112</v>
      </c>
      <c r="J1288" s="28">
        <v>46108</v>
      </c>
    </row>
    <row r="1289" spans="1:10" ht="15" hidden="1" customHeight="1" thickTop="1" x14ac:dyDescent="0.4">
      <c r="A1289" s="9">
        <v>2026</v>
      </c>
      <c r="B1289" s="9">
        <f>B1190+1</f>
        <v>14</v>
      </c>
      <c r="C1289" s="10" t="s">
        <v>28</v>
      </c>
      <c r="D1289" s="11" t="s">
        <v>6</v>
      </c>
      <c r="E1289" s="12" t="s">
        <v>7</v>
      </c>
      <c r="F1289" s="21">
        <f t="shared" ref="F1289:F1294" si="158">F1190</f>
        <v>15</v>
      </c>
      <c r="H1289" s="5" t="str">
        <f ca="1">_xlfn.FORMULATEXT(표1[[#This Row],[Q''ty]])</f>
        <v>=F1190</v>
      </c>
    </row>
    <row r="1290" spans="1:10" s="2" customFormat="1" ht="15" hidden="1" customHeight="1" x14ac:dyDescent="0.4">
      <c r="A1290" s="6">
        <v>2026</v>
      </c>
      <c r="B1290" s="6">
        <f t="shared" ref="B1290:B1353" si="159">B1191+1</f>
        <v>14</v>
      </c>
      <c r="C1290" s="13" t="s">
        <v>23</v>
      </c>
      <c r="D1290" s="2" t="s">
        <v>6</v>
      </c>
      <c r="E1290" s="14" t="s">
        <v>8</v>
      </c>
      <c r="F1290" s="22">
        <f t="shared" si="158"/>
        <v>10</v>
      </c>
      <c r="H1290" s="5" t="str">
        <f ca="1">_xlfn.FORMULATEXT(표1[[#This Row],[Q''ty]])</f>
        <v>=F1191</v>
      </c>
      <c r="I1290" s="26"/>
      <c r="J1290" s="26"/>
    </row>
    <row r="1291" spans="1:10" s="2" customFormat="1" ht="15" hidden="1" customHeight="1" x14ac:dyDescent="0.4">
      <c r="A1291" s="6">
        <v>2026</v>
      </c>
      <c r="B1291" s="6">
        <f t="shared" si="159"/>
        <v>14</v>
      </c>
      <c r="C1291" s="13" t="s">
        <v>23</v>
      </c>
      <c r="D1291" s="2" t="s">
        <v>6</v>
      </c>
      <c r="E1291" s="14" t="s">
        <v>9</v>
      </c>
      <c r="F1291" s="22">
        <f t="shared" si="158"/>
        <v>5</v>
      </c>
      <c r="H1291" s="5" t="str">
        <f ca="1">_xlfn.FORMULATEXT(표1[[#This Row],[Q''ty]])</f>
        <v>=F1192</v>
      </c>
      <c r="I1291" s="26"/>
      <c r="J1291" s="26"/>
    </row>
    <row r="1292" spans="1:10" ht="15" hidden="1" customHeight="1" x14ac:dyDescent="0.4">
      <c r="A1292" s="6">
        <v>2026</v>
      </c>
      <c r="B1292" s="6">
        <f t="shared" si="159"/>
        <v>14</v>
      </c>
      <c r="C1292" s="13" t="s">
        <v>23</v>
      </c>
      <c r="D1292" s="2" t="s">
        <v>6</v>
      </c>
      <c r="E1292" s="14" t="s">
        <v>27</v>
      </c>
      <c r="F1292" s="22">
        <f t="shared" si="158"/>
        <v>6</v>
      </c>
      <c r="H1292" s="5" t="str">
        <f ca="1">_xlfn.FORMULATEXT(표1[[#This Row],[Q''ty]])</f>
        <v>=F1193</v>
      </c>
    </row>
    <row r="1293" spans="1:10" ht="15" hidden="1" customHeight="1" x14ac:dyDescent="0.4">
      <c r="A1293" s="6">
        <v>2026</v>
      </c>
      <c r="B1293" s="6">
        <f t="shared" si="159"/>
        <v>14</v>
      </c>
      <c r="C1293" s="13" t="s">
        <v>23</v>
      </c>
      <c r="D1293" s="2" t="s">
        <v>6</v>
      </c>
      <c r="E1293" s="14" t="s">
        <v>10</v>
      </c>
      <c r="F1293" s="22">
        <f t="shared" si="158"/>
        <v>10</v>
      </c>
      <c r="H1293" s="5" t="str">
        <f ca="1">_xlfn.FORMULATEXT(표1[[#This Row],[Q''ty]])</f>
        <v>=F1194</v>
      </c>
    </row>
    <row r="1294" spans="1:10" ht="15" hidden="1" customHeight="1" x14ac:dyDescent="0.4">
      <c r="A1294" s="6">
        <v>2026</v>
      </c>
      <c r="B1294" s="6">
        <f t="shared" si="159"/>
        <v>14</v>
      </c>
      <c r="C1294" s="13" t="s">
        <v>23</v>
      </c>
      <c r="D1294" s="2" t="s">
        <v>6</v>
      </c>
      <c r="E1294" s="14" t="s">
        <v>11</v>
      </c>
      <c r="F1294" s="22">
        <f t="shared" si="158"/>
        <v>10</v>
      </c>
      <c r="H1294" s="5" t="str">
        <f ca="1">_xlfn.FORMULATEXT(표1[[#This Row],[Q''ty]])</f>
        <v>=F1195</v>
      </c>
    </row>
    <row r="1295" spans="1:10" ht="15" hidden="1" customHeight="1" x14ac:dyDescent="0.4">
      <c r="A1295" s="6">
        <v>2026</v>
      </c>
      <c r="B1295" s="6">
        <f t="shared" si="159"/>
        <v>14</v>
      </c>
      <c r="C1295" s="13" t="s">
        <v>23</v>
      </c>
      <c r="D1295" s="2" t="s">
        <v>12</v>
      </c>
      <c r="E1295" s="14" t="s">
        <v>13</v>
      </c>
      <c r="F1295" s="22">
        <v>12</v>
      </c>
      <c r="H1295" s="5" t="e">
        <f ca="1">_xlfn.FORMULATEXT(표1[[#This Row],[Q''ty]])</f>
        <v>#N/A</v>
      </c>
      <c r="I1295" s="28">
        <v>46119</v>
      </c>
      <c r="J1295" s="28">
        <v>46118</v>
      </c>
    </row>
    <row r="1296" spans="1:10" s="2" customFormat="1" ht="15" hidden="1" customHeight="1" x14ac:dyDescent="0.4">
      <c r="A1296" s="6">
        <v>2026</v>
      </c>
      <c r="B1296" s="6">
        <f t="shared" si="159"/>
        <v>14</v>
      </c>
      <c r="C1296" s="13" t="s">
        <v>23</v>
      </c>
      <c r="D1296" s="2" t="s">
        <v>12</v>
      </c>
      <c r="E1296" s="14" t="s">
        <v>14</v>
      </c>
      <c r="F1296" s="22">
        <v>12</v>
      </c>
      <c r="H1296" s="5" t="e">
        <f ca="1">_xlfn.FORMULATEXT(표1[[#This Row],[Q''ty]])</f>
        <v>#N/A</v>
      </c>
      <c r="I1296" s="28">
        <v>46119</v>
      </c>
      <c r="J1296" s="28">
        <v>46118</v>
      </c>
    </row>
    <row r="1297" spans="1:10" ht="15" hidden="1" customHeight="1" x14ac:dyDescent="0.4">
      <c r="A1297" s="6">
        <v>2026</v>
      </c>
      <c r="B1297" s="6">
        <f t="shared" si="159"/>
        <v>14</v>
      </c>
      <c r="C1297" s="13" t="s">
        <v>23</v>
      </c>
      <c r="D1297" s="2" t="s">
        <v>12</v>
      </c>
      <c r="E1297" s="14" t="s">
        <v>15</v>
      </c>
      <c r="F1297" s="22">
        <v>208</v>
      </c>
      <c r="H1297" s="5" t="e">
        <f ca="1">_xlfn.FORMULATEXT(표1[[#This Row],[Q''ty]])</f>
        <v>#N/A</v>
      </c>
      <c r="I1297" s="28">
        <v>46119</v>
      </c>
      <c r="J1297" s="28">
        <v>46118</v>
      </c>
    </row>
    <row r="1298" spans="1:10" ht="15" hidden="1" customHeight="1" x14ac:dyDescent="0.4">
      <c r="A1298" s="6">
        <v>2026</v>
      </c>
      <c r="B1298" s="6">
        <f t="shared" si="159"/>
        <v>14</v>
      </c>
      <c r="C1298" s="13" t="s">
        <v>23</v>
      </c>
      <c r="D1298" s="2" t="s">
        <v>12</v>
      </c>
      <c r="E1298" s="14" t="s">
        <v>16</v>
      </c>
      <c r="F1298" s="22">
        <v>204</v>
      </c>
      <c r="H1298" s="5" t="e">
        <f ca="1">_xlfn.FORMULATEXT(표1[[#This Row],[Q''ty]])</f>
        <v>#N/A</v>
      </c>
      <c r="I1298" s="28">
        <v>46119</v>
      </c>
      <c r="J1298" s="28">
        <v>46118</v>
      </c>
    </row>
    <row r="1299" spans="1:10" ht="15" hidden="1" customHeight="1" thickBot="1" x14ac:dyDescent="0.45">
      <c r="A1299" s="15">
        <v>2026</v>
      </c>
      <c r="B1299" s="15">
        <f t="shared" si="159"/>
        <v>14</v>
      </c>
      <c r="C1299" s="16" t="s">
        <v>23</v>
      </c>
      <c r="D1299" s="17" t="s">
        <v>12</v>
      </c>
      <c r="E1299" s="18" t="s">
        <v>17</v>
      </c>
      <c r="F1299" s="23">
        <v>220</v>
      </c>
      <c r="H1299" s="5" t="e">
        <f ca="1">_xlfn.FORMULATEXT(표1[[#This Row],[Q''ty]])</f>
        <v>#N/A</v>
      </c>
      <c r="I1299" s="28">
        <v>46119</v>
      </c>
      <c r="J1299" s="28">
        <v>46118</v>
      </c>
    </row>
    <row r="1300" spans="1:10" ht="15" hidden="1" customHeight="1" thickTop="1" x14ac:dyDescent="0.4">
      <c r="A1300" s="9">
        <v>2026</v>
      </c>
      <c r="B1300" s="9">
        <f t="shared" si="159"/>
        <v>14</v>
      </c>
      <c r="C1300" s="10" t="s">
        <v>29</v>
      </c>
      <c r="D1300" s="11" t="s">
        <v>6</v>
      </c>
      <c r="E1300" s="12" t="s">
        <v>7</v>
      </c>
      <c r="F1300" s="21">
        <f t="shared" ref="F1300:F1305" si="160">F1201</f>
        <v>14</v>
      </c>
      <c r="H1300" s="5" t="str">
        <f ca="1">_xlfn.FORMULATEXT(표1[[#This Row],[Q''ty]])</f>
        <v>=F1201</v>
      </c>
      <c r="I1300" s="28">
        <v>46119</v>
      </c>
      <c r="J1300" s="28">
        <v>46118</v>
      </c>
    </row>
    <row r="1301" spans="1:10" s="2" customFormat="1" ht="15" hidden="1" customHeight="1" x14ac:dyDescent="0.4">
      <c r="A1301" s="6">
        <v>2026</v>
      </c>
      <c r="B1301" s="6">
        <f t="shared" si="159"/>
        <v>14</v>
      </c>
      <c r="C1301" s="13" t="s">
        <v>24</v>
      </c>
      <c r="D1301" s="2" t="s">
        <v>6</v>
      </c>
      <c r="E1301" s="14" t="s">
        <v>8</v>
      </c>
      <c r="F1301" s="22">
        <f t="shared" si="160"/>
        <v>8</v>
      </c>
      <c r="H1301" s="5" t="str">
        <f ca="1">_xlfn.FORMULATEXT(표1[[#This Row],[Q''ty]])</f>
        <v>=F1202</v>
      </c>
      <c r="I1301" s="28">
        <v>46119</v>
      </c>
      <c r="J1301" s="28">
        <v>46118</v>
      </c>
    </row>
    <row r="1302" spans="1:10" s="2" customFormat="1" ht="15" hidden="1" customHeight="1" x14ac:dyDescent="0.4">
      <c r="A1302" s="6">
        <v>2026</v>
      </c>
      <c r="B1302" s="6">
        <f t="shared" si="159"/>
        <v>14</v>
      </c>
      <c r="C1302" s="13" t="s">
        <v>24</v>
      </c>
      <c r="D1302" s="2" t="s">
        <v>6</v>
      </c>
      <c r="E1302" s="14" t="s">
        <v>9</v>
      </c>
      <c r="F1302" s="22">
        <f t="shared" si="160"/>
        <v>4</v>
      </c>
      <c r="H1302" s="5" t="str">
        <f ca="1">_xlfn.FORMULATEXT(표1[[#This Row],[Q''ty]])</f>
        <v>=F1203</v>
      </c>
      <c r="I1302" s="28">
        <v>46119</v>
      </c>
      <c r="J1302" s="28">
        <v>46118</v>
      </c>
    </row>
    <row r="1303" spans="1:10" ht="15" hidden="1" customHeight="1" x14ac:dyDescent="0.4">
      <c r="A1303" s="6">
        <v>2026</v>
      </c>
      <c r="B1303" s="6">
        <f t="shared" si="159"/>
        <v>14</v>
      </c>
      <c r="C1303" s="13" t="s">
        <v>24</v>
      </c>
      <c r="D1303" s="2" t="s">
        <v>6</v>
      </c>
      <c r="E1303" s="14" t="s">
        <v>27</v>
      </c>
      <c r="F1303" s="22">
        <f t="shared" si="160"/>
        <v>3</v>
      </c>
      <c r="H1303" s="5" t="str">
        <f ca="1">_xlfn.FORMULATEXT(표1[[#This Row],[Q''ty]])</f>
        <v>=F1204</v>
      </c>
      <c r="I1303" s="28">
        <v>46119</v>
      </c>
      <c r="J1303" s="28">
        <v>46118</v>
      </c>
    </row>
    <row r="1304" spans="1:10" ht="15" hidden="1" customHeight="1" x14ac:dyDescent="0.4">
      <c r="A1304" s="6">
        <v>2026</v>
      </c>
      <c r="B1304" s="6">
        <f t="shared" si="159"/>
        <v>14</v>
      </c>
      <c r="C1304" s="13" t="s">
        <v>24</v>
      </c>
      <c r="D1304" s="2" t="s">
        <v>6</v>
      </c>
      <c r="E1304" s="14" t="s">
        <v>10</v>
      </c>
      <c r="F1304" s="22">
        <f t="shared" si="160"/>
        <v>6</v>
      </c>
      <c r="H1304" s="5" t="str">
        <f ca="1">_xlfn.FORMULATEXT(표1[[#This Row],[Q''ty]])</f>
        <v>=F1205</v>
      </c>
      <c r="I1304" s="28">
        <v>46119</v>
      </c>
      <c r="J1304" s="28">
        <v>46118</v>
      </c>
    </row>
    <row r="1305" spans="1:10" ht="15" hidden="1" customHeight="1" x14ac:dyDescent="0.4">
      <c r="A1305" s="6">
        <v>2026</v>
      </c>
      <c r="B1305" s="6">
        <f t="shared" si="159"/>
        <v>14</v>
      </c>
      <c r="C1305" s="13" t="s">
        <v>24</v>
      </c>
      <c r="D1305" s="2" t="s">
        <v>6</v>
      </c>
      <c r="E1305" s="14" t="s">
        <v>11</v>
      </c>
      <c r="F1305" s="22">
        <f t="shared" si="160"/>
        <v>8.8000000000000007</v>
      </c>
      <c r="H1305" s="5" t="str">
        <f ca="1">_xlfn.FORMULATEXT(표1[[#This Row],[Q''ty]])</f>
        <v>=F1206</v>
      </c>
      <c r="I1305" s="28">
        <v>46119</v>
      </c>
      <c r="J1305" s="28">
        <v>46118</v>
      </c>
    </row>
    <row r="1306" spans="1:10" ht="15" hidden="1" customHeight="1" thickTop="1" x14ac:dyDescent="0.4">
      <c r="A1306" s="6">
        <v>2026</v>
      </c>
      <c r="B1306" s="6">
        <f t="shared" si="159"/>
        <v>14</v>
      </c>
      <c r="C1306" s="13" t="s">
        <v>24</v>
      </c>
      <c r="D1306" s="2" t="s">
        <v>12</v>
      </c>
      <c r="E1306" s="14" t="s">
        <v>13</v>
      </c>
      <c r="F1306" s="22">
        <v>13</v>
      </c>
      <c r="H1306" s="5" t="e">
        <f ca="1">_xlfn.FORMULATEXT(표1[[#This Row],[Q''ty]])</f>
        <v>#N/A</v>
      </c>
      <c r="I1306" s="28">
        <v>46119</v>
      </c>
      <c r="J1306" s="28">
        <v>46118</v>
      </c>
    </row>
    <row r="1307" spans="1:10" s="2" customFormat="1" ht="15" hidden="1" customHeight="1" x14ac:dyDescent="0.4">
      <c r="A1307" s="6">
        <v>2026</v>
      </c>
      <c r="B1307" s="6">
        <f t="shared" si="159"/>
        <v>14</v>
      </c>
      <c r="C1307" s="13" t="s">
        <v>24</v>
      </c>
      <c r="D1307" s="2" t="s">
        <v>12</v>
      </c>
      <c r="E1307" s="14" t="s">
        <v>14</v>
      </c>
      <c r="F1307" s="22">
        <v>13</v>
      </c>
      <c r="H1307" s="5" t="e">
        <f ca="1">_xlfn.FORMULATEXT(표1[[#This Row],[Q''ty]])</f>
        <v>#N/A</v>
      </c>
      <c r="I1307" s="28">
        <v>46119</v>
      </c>
      <c r="J1307" s="28">
        <v>46118</v>
      </c>
    </row>
    <row r="1308" spans="1:10" ht="15" hidden="1" customHeight="1" x14ac:dyDescent="0.4">
      <c r="A1308" s="6">
        <v>2026</v>
      </c>
      <c r="B1308" s="6">
        <f t="shared" si="159"/>
        <v>14</v>
      </c>
      <c r="C1308" s="13" t="s">
        <v>24</v>
      </c>
      <c r="D1308" s="2" t="s">
        <v>12</v>
      </c>
      <c r="E1308" s="14" t="s">
        <v>15</v>
      </c>
      <c r="F1308" s="22">
        <v>130</v>
      </c>
      <c r="H1308" s="5" t="e">
        <f ca="1">_xlfn.FORMULATEXT(표1[[#This Row],[Q''ty]])</f>
        <v>#N/A</v>
      </c>
      <c r="I1308" s="28">
        <v>46119</v>
      </c>
      <c r="J1308" s="28">
        <v>46118</v>
      </c>
    </row>
    <row r="1309" spans="1:10" ht="15" hidden="1" customHeight="1" x14ac:dyDescent="0.4">
      <c r="A1309" s="6">
        <v>2026</v>
      </c>
      <c r="B1309" s="6">
        <f t="shared" si="159"/>
        <v>14</v>
      </c>
      <c r="C1309" s="13" t="s">
        <v>24</v>
      </c>
      <c r="D1309" s="2" t="s">
        <v>12</v>
      </c>
      <c r="E1309" s="14" t="s">
        <v>16</v>
      </c>
      <c r="F1309" s="22">
        <v>125</v>
      </c>
      <c r="H1309" s="5" t="e">
        <f ca="1">_xlfn.FORMULATEXT(표1[[#This Row],[Q''ty]])</f>
        <v>#N/A</v>
      </c>
      <c r="I1309" s="28">
        <v>46119</v>
      </c>
      <c r="J1309" s="28">
        <v>46118</v>
      </c>
    </row>
    <row r="1310" spans="1:10" ht="15" hidden="1" customHeight="1" thickBot="1" x14ac:dyDescent="0.45">
      <c r="A1310" s="15">
        <v>2026</v>
      </c>
      <c r="B1310" s="15">
        <f t="shared" si="159"/>
        <v>14</v>
      </c>
      <c r="C1310" s="16" t="s">
        <v>24</v>
      </c>
      <c r="D1310" s="17" t="s">
        <v>12</v>
      </c>
      <c r="E1310" s="18" t="s">
        <v>17</v>
      </c>
      <c r="F1310" s="23">
        <v>145</v>
      </c>
      <c r="H1310" s="5" t="e">
        <f ca="1">_xlfn.FORMULATEXT(표1[[#This Row],[Q''ty]])</f>
        <v>#N/A</v>
      </c>
      <c r="I1310" s="28">
        <v>46119</v>
      </c>
      <c r="J1310" s="28">
        <v>46118</v>
      </c>
    </row>
    <row r="1311" spans="1:10" ht="15" hidden="1" customHeight="1" thickTop="1" x14ac:dyDescent="0.4">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10" ht="15" hidden="1" customHeight="1" x14ac:dyDescent="0.4">
      <c r="A1312" s="6">
        <v>2026</v>
      </c>
      <c r="B1312" s="6">
        <f t="shared" si="159"/>
        <v>14</v>
      </c>
      <c r="C1312" s="13" t="s">
        <v>18</v>
      </c>
      <c r="D1312" s="2" t="s">
        <v>6</v>
      </c>
      <c r="E1312" s="14" t="str">
        <f t="shared" si="161"/>
        <v>Paint Booth</v>
      </c>
      <c r="F1312" s="22">
        <f t="shared" si="161"/>
        <v>3</v>
      </c>
      <c r="H1312" s="5" t="str">
        <f ca="1">_xlfn.FORMULATEXT(표1[[#This Row],[Q''ty]])</f>
        <v>=F1213</v>
      </c>
    </row>
    <row r="1313" spans="1:10" ht="15" hidden="1" customHeight="1" x14ac:dyDescent="0.4">
      <c r="A1313" s="6">
        <v>2026</v>
      </c>
      <c r="B1313" s="6">
        <f t="shared" si="159"/>
        <v>14</v>
      </c>
      <c r="C1313" s="13" t="s">
        <v>18</v>
      </c>
      <c r="D1313" s="2" t="s">
        <v>6</v>
      </c>
      <c r="E1313" s="14" t="str">
        <f t="shared" si="161"/>
        <v>Paint Line</v>
      </c>
      <c r="F1313" s="22">
        <f t="shared" si="161"/>
        <v>2</v>
      </c>
      <c r="H1313" s="5" t="str">
        <f ca="1">_xlfn.FORMULATEXT(표1[[#This Row],[Q''ty]])</f>
        <v>=F1214</v>
      </c>
    </row>
    <row r="1314" spans="1:10" ht="15" hidden="1" customHeight="1" x14ac:dyDescent="0.4">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10" ht="15" hidden="1" customHeight="1" x14ac:dyDescent="0.4">
      <c r="A1315" s="6">
        <v>2026</v>
      </c>
      <c r="B1315" s="6">
        <f t="shared" si="159"/>
        <v>14</v>
      </c>
      <c r="C1315" s="13" t="s">
        <v>18</v>
      </c>
      <c r="D1315" s="2" t="s">
        <v>6</v>
      </c>
      <c r="E1315" s="14" t="str">
        <f t="shared" si="161"/>
        <v>L/W Machine</v>
      </c>
      <c r="F1315" s="22">
        <f t="shared" si="161"/>
        <v>2</v>
      </c>
      <c r="H1315" s="5" t="str">
        <f ca="1">_xlfn.FORMULATEXT(표1[[#This Row],[Q''ty]])</f>
        <v>=F1216</v>
      </c>
    </row>
    <row r="1316" spans="1:10" ht="15" hidden="1" customHeight="1" x14ac:dyDescent="0.4">
      <c r="A1316" s="6">
        <v>2026</v>
      </c>
      <c r="B1316" s="6">
        <f t="shared" si="159"/>
        <v>14</v>
      </c>
      <c r="C1316" s="13" t="s">
        <v>18</v>
      </c>
      <c r="D1316" s="2" t="s">
        <v>6</v>
      </c>
      <c r="E1316" s="14" t="str">
        <f t="shared" si="161"/>
        <v>C/W Machine</v>
      </c>
      <c r="F1316" s="22">
        <f t="shared" si="161"/>
        <v>3</v>
      </c>
      <c r="H1316" s="5" t="str">
        <f ca="1">_xlfn.FORMULATEXT(표1[[#This Row],[Q''ty]])</f>
        <v>=F1217</v>
      </c>
    </row>
    <row r="1317" spans="1:10" ht="15" hidden="1" customHeight="1" thickTop="1" x14ac:dyDescent="0.4">
      <c r="A1317" s="6">
        <v>2026</v>
      </c>
      <c r="B1317" s="6">
        <f t="shared" si="159"/>
        <v>14</v>
      </c>
      <c r="C1317" s="13" t="s">
        <v>18</v>
      </c>
      <c r="D1317" s="2" t="s">
        <v>12</v>
      </c>
      <c r="E1317" s="14" t="str">
        <f t="shared" ref="E1317:E1332" si="162">E1218</f>
        <v>BT GT</v>
      </c>
      <c r="F1317" s="22">
        <v>1</v>
      </c>
      <c r="H1317" s="5" t="e">
        <f ca="1">_xlfn.FORMULATEXT(표1[[#This Row],[Q''ty]])</f>
        <v>#N/A</v>
      </c>
      <c r="I1317" s="28">
        <v>46119</v>
      </c>
      <c r="J1317" s="28">
        <v>46117</v>
      </c>
    </row>
    <row r="1318" spans="1:10" ht="15" hidden="1" customHeight="1" x14ac:dyDescent="0.4">
      <c r="A1318" s="6">
        <v>2026</v>
      </c>
      <c r="B1318" s="6">
        <f t="shared" si="159"/>
        <v>14</v>
      </c>
      <c r="C1318" s="13" t="s">
        <v>18</v>
      </c>
      <c r="D1318" s="2" t="s">
        <v>12</v>
      </c>
      <c r="E1318" s="14" t="str">
        <f t="shared" si="162"/>
        <v>WT GT</v>
      </c>
      <c r="F1318" s="22">
        <v>0</v>
      </c>
      <c r="H1318" s="5" t="e">
        <f ca="1">_xlfn.FORMULATEXT(표1[[#This Row],[Q''ty]])</f>
        <v>#N/A</v>
      </c>
      <c r="I1318" s="28">
        <v>46119</v>
      </c>
      <c r="J1318" s="28">
        <v>46117</v>
      </c>
    </row>
    <row r="1319" spans="1:10" ht="15" hidden="1" customHeight="1" x14ac:dyDescent="0.4">
      <c r="A1319" s="6">
        <v>2026</v>
      </c>
      <c r="B1319" s="6">
        <f t="shared" si="159"/>
        <v>14</v>
      </c>
      <c r="C1319" s="13" t="s">
        <v>18</v>
      </c>
      <c r="D1319" s="2" t="s">
        <v>12</v>
      </c>
      <c r="E1319" s="14" t="str">
        <f t="shared" si="162"/>
        <v>Bending</v>
      </c>
      <c r="F1319" s="22">
        <v>18</v>
      </c>
      <c r="H1319" s="5" t="e">
        <f ca="1">_xlfn.FORMULATEXT(표1[[#This Row],[Q''ty]])</f>
        <v>#N/A</v>
      </c>
      <c r="I1319" s="28">
        <v>46119</v>
      </c>
      <c r="J1319" s="28">
        <v>46117</v>
      </c>
    </row>
    <row r="1320" spans="1:10" ht="15" hidden="1" customHeight="1" x14ac:dyDescent="0.4">
      <c r="A1320" s="6">
        <v>2026</v>
      </c>
      <c r="B1320" s="6">
        <f t="shared" si="159"/>
        <v>14</v>
      </c>
      <c r="C1320" s="13" t="s">
        <v>18</v>
      </c>
      <c r="D1320" s="2" t="s">
        <v>12</v>
      </c>
      <c r="E1320" s="14" t="str">
        <f t="shared" si="162"/>
        <v>L/W</v>
      </c>
      <c r="F1320" s="22">
        <v>18</v>
      </c>
      <c r="H1320" s="5" t="e">
        <f ca="1">_xlfn.FORMULATEXT(표1[[#This Row],[Q''ty]])</f>
        <v>#N/A</v>
      </c>
      <c r="I1320" s="28">
        <v>46119</v>
      </c>
      <c r="J1320" s="28">
        <v>46117</v>
      </c>
    </row>
    <row r="1321" spans="1:10" ht="15" hidden="1" customHeight="1" thickBot="1" x14ac:dyDescent="0.45">
      <c r="A1321" s="15">
        <v>2026</v>
      </c>
      <c r="B1321" s="15">
        <f t="shared" si="159"/>
        <v>14</v>
      </c>
      <c r="C1321" s="16" t="s">
        <v>18</v>
      </c>
      <c r="D1321" s="17" t="s">
        <v>12</v>
      </c>
      <c r="E1321" s="18" t="str">
        <f t="shared" si="162"/>
        <v>C/W</v>
      </c>
      <c r="F1321" s="23">
        <v>17.7</v>
      </c>
      <c r="H1321" s="5" t="e">
        <f ca="1">_xlfn.FORMULATEXT(표1[[#This Row],[Q''ty]])</f>
        <v>#N/A</v>
      </c>
      <c r="I1321" s="28">
        <v>46119</v>
      </c>
      <c r="J1321" s="28">
        <v>46117</v>
      </c>
    </row>
    <row r="1322" spans="1:10" ht="15" hidden="1" customHeight="1" thickTop="1" x14ac:dyDescent="0.4">
      <c r="A1322" s="6">
        <v>2026</v>
      </c>
      <c r="B1322" s="6">
        <f t="shared" si="159"/>
        <v>14</v>
      </c>
      <c r="C1322" s="13" t="s">
        <v>19</v>
      </c>
      <c r="D1322" s="2" t="s">
        <v>6</v>
      </c>
      <c r="E1322" s="14" t="str">
        <f t="shared" si="162"/>
        <v>Growing Line</v>
      </c>
      <c r="F1322" s="22">
        <f t="shared" ref="F1322:F1327" si="163">F1223</f>
        <v>20</v>
      </c>
      <c r="H1322" s="5" t="str">
        <f ca="1">_xlfn.FORMULATEXT(표1[[#This Row],[Q''ty]])</f>
        <v>=F1223</v>
      </c>
      <c r="I1322" s="28">
        <v>46119</v>
      </c>
    </row>
    <row r="1323" spans="1:10" ht="15" hidden="1" customHeight="1" x14ac:dyDescent="0.4">
      <c r="A1323" s="6">
        <v>2026</v>
      </c>
      <c r="B1323" s="6">
        <f t="shared" si="159"/>
        <v>14</v>
      </c>
      <c r="C1323" s="13" t="s">
        <v>19</v>
      </c>
      <c r="D1323" s="2" t="s">
        <v>6</v>
      </c>
      <c r="E1323" s="14" t="str">
        <f t="shared" si="162"/>
        <v>Paint Booth</v>
      </c>
      <c r="F1323" s="22">
        <f t="shared" si="163"/>
        <v>22</v>
      </c>
      <c r="H1323" s="5" t="str">
        <f ca="1">_xlfn.FORMULATEXT(표1[[#This Row],[Q''ty]])</f>
        <v>=F1224</v>
      </c>
      <c r="I1323" s="28">
        <v>46119</v>
      </c>
    </row>
    <row r="1324" spans="1:10" ht="15" hidden="1" customHeight="1" x14ac:dyDescent="0.4">
      <c r="A1324" s="6">
        <v>2026</v>
      </c>
      <c r="B1324" s="6">
        <f t="shared" si="159"/>
        <v>14</v>
      </c>
      <c r="C1324" s="13" t="s">
        <v>19</v>
      </c>
      <c r="D1324" s="2" t="s">
        <v>6</v>
      </c>
      <c r="E1324" s="14" t="str">
        <f t="shared" si="162"/>
        <v>Paint Line</v>
      </c>
      <c r="F1324" s="22">
        <f t="shared" si="163"/>
        <v>6</v>
      </c>
      <c r="H1324" s="5" t="str">
        <f ca="1">_xlfn.FORMULATEXT(표1[[#This Row],[Q''ty]])</f>
        <v>=F1225</v>
      </c>
      <c r="I1324" s="28">
        <v>46119</v>
      </c>
    </row>
    <row r="1325" spans="1:10" ht="15" hidden="1" customHeight="1" x14ac:dyDescent="0.4">
      <c r="A1325" s="6">
        <v>2026</v>
      </c>
      <c r="B1325" s="6">
        <f t="shared" si="159"/>
        <v>14</v>
      </c>
      <c r="C1325" s="13" t="s">
        <v>19</v>
      </c>
      <c r="D1325" s="2" t="s">
        <v>6</v>
      </c>
      <c r="E1325" s="14" t="str">
        <f t="shared" si="162"/>
        <v>Roll Bending Machine</v>
      </c>
      <c r="F1325" s="22">
        <f t="shared" si="163"/>
        <v>4</v>
      </c>
      <c r="H1325" s="5" t="str">
        <f ca="1">_xlfn.FORMULATEXT(표1[[#This Row],[Q''ty]])</f>
        <v>=F1226</v>
      </c>
      <c r="I1325" s="28">
        <v>46119</v>
      </c>
    </row>
    <row r="1326" spans="1:10" ht="15" hidden="1" customHeight="1" x14ac:dyDescent="0.4">
      <c r="A1326" s="6">
        <v>2026</v>
      </c>
      <c r="B1326" s="6">
        <f t="shared" si="159"/>
        <v>14</v>
      </c>
      <c r="C1326" s="13" t="s">
        <v>19</v>
      </c>
      <c r="D1326" s="2" t="s">
        <v>6</v>
      </c>
      <c r="E1326" s="14" t="str">
        <f t="shared" si="162"/>
        <v>L/W Machine</v>
      </c>
      <c r="F1326" s="22">
        <f t="shared" si="163"/>
        <v>10</v>
      </c>
      <c r="H1326" s="5" t="str">
        <f ca="1">_xlfn.FORMULATEXT(표1[[#This Row],[Q''ty]])</f>
        <v>=F1227</v>
      </c>
      <c r="I1326" s="28">
        <v>46119</v>
      </c>
    </row>
    <row r="1327" spans="1:10" ht="15" hidden="1" customHeight="1" x14ac:dyDescent="0.4">
      <c r="A1327" s="6">
        <v>2026</v>
      </c>
      <c r="B1327" s="6">
        <f t="shared" si="159"/>
        <v>14</v>
      </c>
      <c r="C1327" s="13" t="s">
        <v>19</v>
      </c>
      <c r="D1327" s="2" t="s">
        <v>6</v>
      </c>
      <c r="E1327" s="14" t="str">
        <f t="shared" si="162"/>
        <v>C/W Machine</v>
      </c>
      <c r="F1327" s="22">
        <f t="shared" si="163"/>
        <v>12</v>
      </c>
      <c r="H1327" s="5" t="str">
        <f ca="1">_xlfn.FORMULATEXT(표1[[#This Row],[Q''ty]])</f>
        <v>=F1228</v>
      </c>
      <c r="I1327" s="28">
        <v>46119</v>
      </c>
    </row>
    <row r="1328" spans="1:10" ht="15" hidden="1" customHeight="1" thickTop="1" x14ac:dyDescent="0.4">
      <c r="A1328" s="6">
        <v>2026</v>
      </c>
      <c r="B1328" s="6">
        <f t="shared" si="159"/>
        <v>14</v>
      </c>
      <c r="C1328" s="13" t="s">
        <v>19</v>
      </c>
      <c r="D1328" s="2" t="s">
        <v>12</v>
      </c>
      <c r="E1328" s="14" t="str">
        <f t="shared" si="162"/>
        <v>BT GT</v>
      </c>
      <c r="F1328" s="22">
        <v>14</v>
      </c>
      <c r="H1328" s="5" t="e">
        <f ca="1">_xlfn.FORMULATEXT(표1[[#This Row],[Q''ty]])</f>
        <v>#N/A</v>
      </c>
      <c r="I1328" s="28">
        <v>46125</v>
      </c>
      <c r="J1328" s="28">
        <v>46119</v>
      </c>
    </row>
    <row r="1329" spans="1:10" ht="15" hidden="1" customHeight="1" x14ac:dyDescent="0.4">
      <c r="A1329" s="6">
        <v>2026</v>
      </c>
      <c r="B1329" s="6">
        <f t="shared" si="159"/>
        <v>14</v>
      </c>
      <c r="C1329" s="13" t="s">
        <v>19</v>
      </c>
      <c r="D1329" s="2" t="s">
        <v>12</v>
      </c>
      <c r="E1329" s="14" t="str">
        <f t="shared" si="162"/>
        <v>WT GT</v>
      </c>
      <c r="F1329" s="22">
        <v>14</v>
      </c>
      <c r="H1329" s="5" t="e">
        <f ca="1">_xlfn.FORMULATEXT(표1[[#This Row],[Q''ty]])</f>
        <v>#N/A</v>
      </c>
      <c r="I1329" s="28">
        <v>46125</v>
      </c>
      <c r="J1329" s="28">
        <v>46119</v>
      </c>
    </row>
    <row r="1330" spans="1:10" ht="15" hidden="1" customHeight="1" x14ac:dyDescent="0.4">
      <c r="A1330" s="6">
        <v>2026</v>
      </c>
      <c r="B1330" s="6">
        <f t="shared" si="159"/>
        <v>14</v>
      </c>
      <c r="C1330" s="13" t="s">
        <v>19</v>
      </c>
      <c r="D1330" s="2" t="s">
        <v>12</v>
      </c>
      <c r="E1330" s="14" t="str">
        <f t="shared" si="162"/>
        <v>Bending</v>
      </c>
      <c r="F1330" s="22">
        <v>113</v>
      </c>
      <c r="H1330" s="5" t="e">
        <f ca="1">_xlfn.FORMULATEXT(표1[[#This Row],[Q''ty]])</f>
        <v>#N/A</v>
      </c>
      <c r="I1330" s="28">
        <v>46125</v>
      </c>
      <c r="J1330" s="28">
        <v>46119</v>
      </c>
    </row>
    <row r="1331" spans="1:10" ht="15" hidden="1" customHeight="1" x14ac:dyDescent="0.4">
      <c r="A1331" s="6">
        <v>2026</v>
      </c>
      <c r="B1331" s="6">
        <f t="shared" si="159"/>
        <v>14</v>
      </c>
      <c r="C1331" s="13" t="s">
        <v>19</v>
      </c>
      <c r="D1331" s="2" t="s">
        <v>12</v>
      </c>
      <c r="E1331" s="14" t="str">
        <f t="shared" si="162"/>
        <v>L/W</v>
      </c>
      <c r="F1331" s="22">
        <v>113</v>
      </c>
      <c r="H1331" s="5" t="e">
        <f ca="1">_xlfn.FORMULATEXT(표1[[#This Row],[Q''ty]])</f>
        <v>#N/A</v>
      </c>
      <c r="I1331" s="28">
        <v>46125</v>
      </c>
      <c r="J1331" s="28">
        <v>46119</v>
      </c>
    </row>
    <row r="1332" spans="1:10" ht="15" hidden="1" customHeight="1" thickBot="1" x14ac:dyDescent="0.45">
      <c r="A1332" s="15">
        <v>2026</v>
      </c>
      <c r="B1332" s="15">
        <f t="shared" si="159"/>
        <v>14</v>
      </c>
      <c r="C1332" s="16" t="s">
        <v>19</v>
      </c>
      <c r="D1332" s="17" t="s">
        <v>12</v>
      </c>
      <c r="E1332" s="18" t="str">
        <f t="shared" si="162"/>
        <v>C/W</v>
      </c>
      <c r="F1332" s="23">
        <v>139</v>
      </c>
      <c r="H1332" s="5" t="e">
        <f ca="1">_xlfn.FORMULATEXT(표1[[#This Row],[Q''ty]])</f>
        <v>#N/A</v>
      </c>
      <c r="I1332" s="28">
        <v>46125</v>
      </c>
      <c r="J1332" s="28">
        <v>46119</v>
      </c>
    </row>
    <row r="1333" spans="1:10" ht="15" hidden="1" customHeight="1" thickTop="1" x14ac:dyDescent="0.4">
      <c r="A1333" s="6">
        <v>2026</v>
      </c>
      <c r="B1333" s="6">
        <f t="shared" si="159"/>
        <v>14</v>
      </c>
      <c r="C1333" s="13" t="s">
        <v>25</v>
      </c>
      <c r="D1333" s="2" t="s">
        <v>6</v>
      </c>
      <c r="E1333" s="14" t="s">
        <v>7</v>
      </c>
      <c r="F1333" s="22">
        <f t="shared" ref="F1333:F1338" si="164">F1234</f>
        <v>3</v>
      </c>
      <c r="H1333" s="5" t="str">
        <f ca="1">_xlfn.FORMULATEXT(표1[[#This Row],[Q''ty]])</f>
        <v>=F1234</v>
      </c>
    </row>
    <row r="1334" spans="1:10" ht="15" hidden="1" customHeight="1" x14ac:dyDescent="0.4">
      <c r="A1334" s="6">
        <v>2026</v>
      </c>
      <c r="B1334" s="6">
        <f t="shared" si="159"/>
        <v>14</v>
      </c>
      <c r="C1334" s="13" t="s">
        <v>25</v>
      </c>
      <c r="D1334" s="2" t="s">
        <v>6</v>
      </c>
      <c r="E1334" s="14" t="s">
        <v>8</v>
      </c>
      <c r="F1334" s="22">
        <f t="shared" si="164"/>
        <v>3</v>
      </c>
      <c r="H1334" s="5" t="str">
        <f ca="1">_xlfn.FORMULATEXT(표1[[#This Row],[Q''ty]])</f>
        <v>=F1235</v>
      </c>
    </row>
    <row r="1335" spans="1:10" ht="15" hidden="1" customHeight="1" x14ac:dyDescent="0.4">
      <c r="A1335" s="6">
        <v>2026</v>
      </c>
      <c r="B1335" s="6">
        <f t="shared" si="159"/>
        <v>14</v>
      </c>
      <c r="C1335" s="13" t="s">
        <v>25</v>
      </c>
      <c r="D1335" s="2" t="s">
        <v>6</v>
      </c>
      <c r="E1335" s="14" t="s">
        <v>9</v>
      </c>
      <c r="F1335" s="22">
        <f t="shared" si="164"/>
        <v>2</v>
      </c>
      <c r="H1335" s="5" t="str">
        <f ca="1">_xlfn.FORMULATEXT(표1[[#This Row],[Q''ty]])</f>
        <v>=F1236</v>
      </c>
    </row>
    <row r="1336" spans="1:10" ht="15" hidden="1" customHeight="1" x14ac:dyDescent="0.4">
      <c r="A1336" s="6">
        <v>2026</v>
      </c>
      <c r="B1336" s="6">
        <f t="shared" si="159"/>
        <v>14</v>
      </c>
      <c r="C1336" s="13" t="s">
        <v>25</v>
      </c>
      <c r="D1336" s="2" t="s">
        <v>6</v>
      </c>
      <c r="E1336" s="14" t="s">
        <v>27</v>
      </c>
      <c r="F1336" s="22">
        <f t="shared" si="164"/>
        <v>2</v>
      </c>
      <c r="H1336" s="5" t="str">
        <f ca="1">_xlfn.FORMULATEXT(표1[[#This Row],[Q''ty]])</f>
        <v>=F1237</v>
      </c>
    </row>
    <row r="1337" spans="1:10" ht="15" hidden="1" customHeight="1" x14ac:dyDescent="0.4">
      <c r="A1337" s="6">
        <v>2026</v>
      </c>
      <c r="B1337" s="6">
        <f t="shared" si="159"/>
        <v>14</v>
      </c>
      <c r="C1337" s="13" t="s">
        <v>25</v>
      </c>
      <c r="D1337" s="2" t="s">
        <v>6</v>
      </c>
      <c r="E1337" s="14" t="s">
        <v>10</v>
      </c>
      <c r="F1337" s="22">
        <f t="shared" si="164"/>
        <v>3</v>
      </c>
      <c r="H1337" s="5" t="str">
        <f ca="1">_xlfn.FORMULATEXT(표1[[#This Row],[Q''ty]])</f>
        <v>=F1238</v>
      </c>
    </row>
    <row r="1338" spans="1:10" ht="15" hidden="1" customHeight="1" x14ac:dyDescent="0.4">
      <c r="A1338" s="6">
        <v>2026</v>
      </c>
      <c r="B1338" s="6">
        <f t="shared" si="159"/>
        <v>14</v>
      </c>
      <c r="C1338" s="13" t="s">
        <v>25</v>
      </c>
      <c r="D1338" s="2" t="s">
        <v>6</v>
      </c>
      <c r="E1338" s="14" t="s">
        <v>11</v>
      </c>
      <c r="F1338" s="22">
        <f t="shared" si="164"/>
        <v>4</v>
      </c>
      <c r="H1338" s="5" t="str">
        <f ca="1">_xlfn.FORMULATEXT(표1[[#This Row],[Q''ty]])</f>
        <v>=F1239</v>
      </c>
    </row>
    <row r="1339" spans="1:10" ht="15" hidden="1" customHeight="1" thickTop="1" x14ac:dyDescent="0.4">
      <c r="A1339" s="6">
        <v>2026</v>
      </c>
      <c r="B1339" s="6">
        <f t="shared" si="159"/>
        <v>14</v>
      </c>
      <c r="C1339" s="13" t="s">
        <v>25</v>
      </c>
      <c r="D1339" s="2" t="s">
        <v>12</v>
      </c>
      <c r="E1339" s="14" t="s">
        <v>13</v>
      </c>
      <c r="F1339" s="22">
        <v>0</v>
      </c>
      <c r="H1339" s="5" t="e">
        <f ca="1">_xlfn.FORMULATEXT(표1[[#This Row],[Q''ty]])</f>
        <v>#N/A</v>
      </c>
      <c r="I1339" s="28">
        <v>46119</v>
      </c>
      <c r="J1339" s="28">
        <v>46118</v>
      </c>
    </row>
    <row r="1340" spans="1:10" ht="15" hidden="1" customHeight="1" x14ac:dyDescent="0.4">
      <c r="A1340" s="6">
        <v>2026</v>
      </c>
      <c r="B1340" s="6">
        <f t="shared" si="159"/>
        <v>14</v>
      </c>
      <c r="C1340" s="13" t="s">
        <v>25</v>
      </c>
      <c r="D1340" s="2" t="s">
        <v>12</v>
      </c>
      <c r="E1340" s="14" t="s">
        <v>14</v>
      </c>
      <c r="F1340" s="22">
        <v>0</v>
      </c>
      <c r="H1340" s="5" t="e">
        <f ca="1">_xlfn.FORMULATEXT(표1[[#This Row],[Q''ty]])</f>
        <v>#N/A</v>
      </c>
      <c r="I1340" s="28">
        <v>46119</v>
      </c>
      <c r="J1340" s="28">
        <v>46118</v>
      </c>
    </row>
    <row r="1341" spans="1:10" ht="15" hidden="1" customHeight="1" x14ac:dyDescent="0.4">
      <c r="A1341" s="6">
        <v>2026</v>
      </c>
      <c r="B1341" s="6">
        <f t="shared" si="159"/>
        <v>14</v>
      </c>
      <c r="C1341" s="13" t="s">
        <v>25</v>
      </c>
      <c r="D1341" s="2" t="s">
        <v>12</v>
      </c>
      <c r="E1341" s="14" t="s">
        <v>15</v>
      </c>
      <c r="F1341" s="22">
        <v>0</v>
      </c>
      <c r="H1341" s="5" t="e">
        <f ca="1">_xlfn.FORMULATEXT(표1[[#This Row],[Q''ty]])</f>
        <v>#N/A</v>
      </c>
      <c r="I1341" s="28">
        <v>46119</v>
      </c>
      <c r="J1341" s="28">
        <v>46118</v>
      </c>
    </row>
    <row r="1342" spans="1:10" ht="15" hidden="1" customHeight="1" x14ac:dyDescent="0.4">
      <c r="A1342" s="6">
        <v>2026</v>
      </c>
      <c r="B1342" s="6">
        <f t="shared" si="159"/>
        <v>14</v>
      </c>
      <c r="C1342" s="13" t="s">
        <v>25</v>
      </c>
      <c r="D1342" s="2" t="s">
        <v>12</v>
      </c>
      <c r="E1342" s="14" t="s">
        <v>16</v>
      </c>
      <c r="F1342" s="22">
        <v>0</v>
      </c>
      <c r="H1342" s="5" t="e">
        <f ca="1">_xlfn.FORMULATEXT(표1[[#This Row],[Q''ty]])</f>
        <v>#N/A</v>
      </c>
      <c r="I1342" s="28">
        <v>46119</v>
      </c>
      <c r="J1342" s="28">
        <v>46118</v>
      </c>
    </row>
    <row r="1343" spans="1:10" ht="15" hidden="1" customHeight="1" thickBot="1" x14ac:dyDescent="0.45">
      <c r="A1343" s="15">
        <v>2026</v>
      </c>
      <c r="B1343" s="15">
        <f t="shared" si="159"/>
        <v>14</v>
      </c>
      <c r="C1343" s="16" t="s">
        <v>25</v>
      </c>
      <c r="D1343" s="17" t="s">
        <v>12</v>
      </c>
      <c r="E1343" s="18" t="s">
        <v>17</v>
      </c>
      <c r="F1343" s="23">
        <v>0</v>
      </c>
      <c r="H1343" s="5" t="e">
        <f ca="1">_xlfn.FORMULATEXT(표1[[#This Row],[Q''ty]])</f>
        <v>#N/A</v>
      </c>
      <c r="I1343" s="28">
        <v>46119</v>
      </c>
      <c r="J1343" s="28">
        <v>46118</v>
      </c>
    </row>
    <row r="1344" spans="1:10" ht="15" hidden="1" customHeight="1" thickTop="1" x14ac:dyDescent="0.4">
      <c r="A1344" s="6">
        <v>2026</v>
      </c>
      <c r="B1344" s="6">
        <f t="shared" si="159"/>
        <v>14</v>
      </c>
      <c r="C1344" s="13" t="s">
        <v>26</v>
      </c>
      <c r="D1344" s="2" t="s">
        <v>6</v>
      </c>
      <c r="E1344" s="14" t="s">
        <v>7</v>
      </c>
      <c r="F1344" s="22">
        <f t="shared" ref="F1344:F1349" si="165">F1245</f>
        <v>6</v>
      </c>
      <c r="H1344" s="5" t="str">
        <f ca="1">_xlfn.FORMULATEXT(표1[[#This Row],[Q''ty]])</f>
        <v>=F1245</v>
      </c>
    </row>
    <row r="1345" spans="1:10" ht="15" hidden="1" customHeight="1" x14ac:dyDescent="0.4">
      <c r="A1345" s="6">
        <v>2026</v>
      </c>
      <c r="B1345" s="6">
        <f t="shared" si="159"/>
        <v>14</v>
      </c>
      <c r="C1345" s="13" t="s">
        <v>26</v>
      </c>
      <c r="D1345" s="2" t="s">
        <v>6</v>
      </c>
      <c r="E1345" s="14" t="s">
        <v>8</v>
      </c>
      <c r="F1345" s="22">
        <f t="shared" si="165"/>
        <v>4</v>
      </c>
      <c r="H1345" s="5" t="str">
        <f ca="1">_xlfn.FORMULATEXT(표1[[#This Row],[Q''ty]])</f>
        <v>=F1246</v>
      </c>
    </row>
    <row r="1346" spans="1:10" ht="15" hidden="1" customHeight="1" x14ac:dyDescent="0.4">
      <c r="A1346" s="6">
        <v>2026</v>
      </c>
      <c r="B1346" s="6">
        <f t="shared" si="159"/>
        <v>14</v>
      </c>
      <c r="C1346" s="13" t="s">
        <v>26</v>
      </c>
      <c r="D1346" s="2" t="s">
        <v>6</v>
      </c>
      <c r="E1346" s="14" t="s">
        <v>9</v>
      </c>
      <c r="F1346" s="22">
        <f t="shared" si="165"/>
        <v>2</v>
      </c>
      <c r="H1346" s="5" t="str">
        <f ca="1">_xlfn.FORMULATEXT(표1[[#This Row],[Q''ty]])</f>
        <v>=F1247</v>
      </c>
    </row>
    <row r="1347" spans="1:10" ht="15" hidden="1" customHeight="1" x14ac:dyDescent="0.4">
      <c r="A1347" s="6">
        <v>2026</v>
      </c>
      <c r="B1347" s="6">
        <f t="shared" si="159"/>
        <v>14</v>
      </c>
      <c r="C1347" s="13" t="s">
        <v>26</v>
      </c>
      <c r="D1347" s="2" t="s">
        <v>6</v>
      </c>
      <c r="E1347" s="14" t="s">
        <v>27</v>
      </c>
      <c r="F1347" s="22">
        <f t="shared" si="165"/>
        <v>3</v>
      </c>
      <c r="H1347" s="5" t="str">
        <f ca="1">_xlfn.FORMULATEXT(표1[[#This Row],[Q''ty]])</f>
        <v>=F1248</v>
      </c>
    </row>
    <row r="1348" spans="1:10" ht="15" hidden="1" customHeight="1" x14ac:dyDescent="0.4">
      <c r="A1348" s="6">
        <v>2026</v>
      </c>
      <c r="B1348" s="6">
        <f t="shared" si="159"/>
        <v>14</v>
      </c>
      <c r="C1348" s="13" t="s">
        <v>26</v>
      </c>
      <c r="D1348" s="2" t="s">
        <v>6</v>
      </c>
      <c r="E1348" s="14" t="s">
        <v>10</v>
      </c>
      <c r="F1348" s="22">
        <f t="shared" si="165"/>
        <v>4</v>
      </c>
      <c r="H1348" s="5" t="str">
        <f ca="1">_xlfn.FORMULATEXT(표1[[#This Row],[Q''ty]])</f>
        <v>=F1249</v>
      </c>
    </row>
    <row r="1349" spans="1:10" ht="15" hidden="1" customHeight="1" x14ac:dyDescent="0.4">
      <c r="A1349" s="6">
        <v>2026</v>
      </c>
      <c r="B1349" s="6">
        <f t="shared" si="159"/>
        <v>14</v>
      </c>
      <c r="C1349" s="13" t="s">
        <v>26</v>
      </c>
      <c r="D1349" s="2" t="s">
        <v>6</v>
      </c>
      <c r="E1349" s="14" t="s">
        <v>11</v>
      </c>
      <c r="F1349" s="22">
        <f t="shared" si="165"/>
        <v>6</v>
      </c>
      <c r="H1349" s="5" t="str">
        <f ca="1">_xlfn.FORMULATEXT(표1[[#This Row],[Q''ty]])</f>
        <v>=F1250</v>
      </c>
    </row>
    <row r="1350" spans="1:10" ht="15" hidden="1" customHeight="1" thickTop="1" x14ac:dyDescent="0.4">
      <c r="A1350" s="6">
        <v>2026</v>
      </c>
      <c r="B1350" s="6">
        <f t="shared" si="159"/>
        <v>14</v>
      </c>
      <c r="C1350" s="13" t="s">
        <v>26</v>
      </c>
      <c r="D1350" s="2" t="s">
        <v>12</v>
      </c>
      <c r="E1350" s="14" t="str">
        <f t="shared" ref="E1350:E1387" si="166">E1251</f>
        <v>BT GT</v>
      </c>
      <c r="F1350" s="22">
        <v>25</v>
      </c>
      <c r="H1350" s="5" t="e">
        <f ca="1">_xlfn.FORMULATEXT(표1[[#This Row],[Q''ty]])</f>
        <v>#N/A</v>
      </c>
      <c r="I1350" s="28">
        <v>46119</v>
      </c>
      <c r="J1350" s="28">
        <v>46118</v>
      </c>
    </row>
    <row r="1351" spans="1:10" ht="15" hidden="1" customHeight="1" x14ac:dyDescent="0.4">
      <c r="A1351" s="6">
        <v>2026</v>
      </c>
      <c r="B1351" s="6">
        <f t="shared" si="159"/>
        <v>14</v>
      </c>
      <c r="C1351" s="13" t="s">
        <v>26</v>
      </c>
      <c r="D1351" s="2" t="s">
        <v>12</v>
      </c>
      <c r="E1351" s="14" t="str">
        <f t="shared" si="166"/>
        <v>WT GT</v>
      </c>
      <c r="F1351" s="22">
        <v>25</v>
      </c>
      <c r="H1351" s="5" t="e">
        <f ca="1">_xlfn.FORMULATEXT(표1[[#This Row],[Q''ty]])</f>
        <v>#N/A</v>
      </c>
      <c r="I1351" s="28">
        <v>46119</v>
      </c>
      <c r="J1351" s="28">
        <v>46118</v>
      </c>
    </row>
    <row r="1352" spans="1:10" ht="15" hidden="1" customHeight="1" x14ac:dyDescent="0.4">
      <c r="A1352" s="6">
        <v>2026</v>
      </c>
      <c r="B1352" s="6">
        <f t="shared" si="159"/>
        <v>14</v>
      </c>
      <c r="C1352" s="13" t="s">
        <v>26</v>
      </c>
      <c r="D1352" s="2" t="s">
        <v>12</v>
      </c>
      <c r="E1352" s="14" t="str">
        <f t="shared" si="166"/>
        <v>Bending</v>
      </c>
      <c r="F1352" s="22">
        <v>169</v>
      </c>
      <c r="H1352" s="5" t="e">
        <f ca="1">_xlfn.FORMULATEXT(표1[[#This Row],[Q''ty]])</f>
        <v>#N/A</v>
      </c>
      <c r="I1352" s="28">
        <v>46119</v>
      </c>
      <c r="J1352" s="28">
        <v>46118</v>
      </c>
    </row>
    <row r="1353" spans="1:10" ht="15" hidden="1" customHeight="1" x14ac:dyDescent="0.4">
      <c r="A1353" s="6">
        <v>2026</v>
      </c>
      <c r="B1353" s="6">
        <f t="shared" si="159"/>
        <v>14</v>
      </c>
      <c r="C1353" s="13" t="s">
        <v>26</v>
      </c>
      <c r="D1353" s="2" t="s">
        <v>12</v>
      </c>
      <c r="E1353" s="14" t="str">
        <f t="shared" si="166"/>
        <v>L/W</v>
      </c>
      <c r="F1353" s="22">
        <v>166</v>
      </c>
      <c r="H1353" s="5" t="e">
        <f ca="1">_xlfn.FORMULATEXT(표1[[#This Row],[Q''ty]])</f>
        <v>#N/A</v>
      </c>
      <c r="I1353" s="28">
        <v>46119</v>
      </c>
      <c r="J1353" s="28">
        <v>46118</v>
      </c>
    </row>
    <row r="1354" spans="1:10" ht="15" hidden="1" customHeight="1" thickBot="1" x14ac:dyDescent="0.45">
      <c r="A1354" s="15">
        <v>2026</v>
      </c>
      <c r="B1354" s="15">
        <f t="shared" ref="B1354:B1387" si="167">B1255+1</f>
        <v>14</v>
      </c>
      <c r="C1354" s="16" t="s">
        <v>26</v>
      </c>
      <c r="D1354" s="17" t="s">
        <v>12</v>
      </c>
      <c r="E1354" s="18" t="str">
        <f t="shared" si="166"/>
        <v>C/W</v>
      </c>
      <c r="F1354" s="23">
        <v>208</v>
      </c>
      <c r="H1354" s="5" t="e">
        <f ca="1">_xlfn.FORMULATEXT(표1[[#This Row],[Q''ty]])</f>
        <v>#N/A</v>
      </c>
      <c r="I1354" s="28">
        <v>46119</v>
      </c>
      <c r="J1354" s="28">
        <v>46118</v>
      </c>
    </row>
    <row r="1355" spans="1:10" ht="15" hidden="1" customHeight="1" thickTop="1" x14ac:dyDescent="0.4">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10" ht="15" hidden="1" customHeight="1" x14ac:dyDescent="0.4">
      <c r="A1356" s="6">
        <v>2026</v>
      </c>
      <c r="B1356" s="6">
        <f t="shared" si="167"/>
        <v>14</v>
      </c>
      <c r="C1356" s="13" t="s">
        <v>20</v>
      </c>
      <c r="D1356" s="2" t="s">
        <v>6</v>
      </c>
      <c r="E1356" s="14" t="str">
        <f t="shared" si="166"/>
        <v>Paint Booth</v>
      </c>
      <c r="F1356" s="22">
        <f t="shared" si="168"/>
        <v>16</v>
      </c>
      <c r="H1356" s="5" t="str">
        <f ca="1">_xlfn.FORMULATEXT(표1[[#This Row],[Q''ty]])</f>
        <v>=F1257</v>
      </c>
    </row>
    <row r="1357" spans="1:10" ht="15" hidden="1" customHeight="1" x14ac:dyDescent="0.4">
      <c r="A1357" s="6">
        <v>2026</v>
      </c>
      <c r="B1357" s="6">
        <f t="shared" si="167"/>
        <v>14</v>
      </c>
      <c r="C1357" s="13" t="s">
        <v>20</v>
      </c>
      <c r="D1357" s="2" t="s">
        <v>6</v>
      </c>
      <c r="E1357" s="14" t="str">
        <f t="shared" si="166"/>
        <v>Paint Line</v>
      </c>
      <c r="F1357" s="22">
        <f t="shared" si="168"/>
        <v>8</v>
      </c>
      <c r="H1357" s="5" t="str">
        <f ca="1">_xlfn.FORMULATEXT(표1[[#This Row],[Q''ty]])</f>
        <v>=F1258</v>
      </c>
    </row>
    <row r="1358" spans="1:10" ht="15" hidden="1" customHeight="1" x14ac:dyDescent="0.4">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10" ht="15" hidden="1" customHeight="1" x14ac:dyDescent="0.4">
      <c r="A1359" s="6">
        <v>2026</v>
      </c>
      <c r="B1359" s="6">
        <f t="shared" si="167"/>
        <v>14</v>
      </c>
      <c r="C1359" s="13" t="s">
        <v>20</v>
      </c>
      <c r="D1359" s="2" t="s">
        <v>6</v>
      </c>
      <c r="E1359" s="14" t="str">
        <f t="shared" si="166"/>
        <v>L/W Machine</v>
      </c>
      <c r="F1359" s="22">
        <f t="shared" si="168"/>
        <v>11</v>
      </c>
      <c r="H1359" s="5" t="str">
        <f ca="1">_xlfn.FORMULATEXT(표1[[#This Row],[Q''ty]])</f>
        <v>=F1260</v>
      </c>
    </row>
    <row r="1360" spans="1:10" ht="15" hidden="1" customHeight="1" x14ac:dyDescent="0.4">
      <c r="A1360" s="6">
        <v>2026</v>
      </c>
      <c r="B1360" s="6">
        <f t="shared" si="167"/>
        <v>14</v>
      </c>
      <c r="C1360" s="13" t="s">
        <v>20</v>
      </c>
      <c r="D1360" s="2" t="s">
        <v>6</v>
      </c>
      <c r="E1360" s="14" t="str">
        <f t="shared" si="166"/>
        <v>C/W Machine</v>
      </c>
      <c r="F1360" s="22">
        <f t="shared" si="168"/>
        <v>15</v>
      </c>
      <c r="H1360" s="5" t="str">
        <f ca="1">_xlfn.FORMULATEXT(표1[[#This Row],[Q''ty]])</f>
        <v>=F1261</v>
      </c>
    </row>
    <row r="1361" spans="1:10" ht="15" hidden="1" customHeight="1" thickTop="1" x14ac:dyDescent="0.4">
      <c r="A1361" s="6">
        <v>2026</v>
      </c>
      <c r="B1361" s="6">
        <f t="shared" si="167"/>
        <v>14</v>
      </c>
      <c r="C1361" s="13" t="s">
        <v>20</v>
      </c>
      <c r="D1361" s="2" t="s">
        <v>12</v>
      </c>
      <c r="E1361" s="14" t="str">
        <f t="shared" si="166"/>
        <v>BT GT</v>
      </c>
      <c r="F1361" s="22">
        <v>73</v>
      </c>
      <c r="H1361" s="5" t="e">
        <f ca="1">_xlfn.FORMULATEXT(표1[[#This Row],[Q''ty]])</f>
        <v>#N/A</v>
      </c>
      <c r="I1361" s="28">
        <v>46119</v>
      </c>
      <c r="J1361" s="28">
        <v>46119</v>
      </c>
    </row>
    <row r="1362" spans="1:10" ht="15" hidden="1" customHeight="1" x14ac:dyDescent="0.4">
      <c r="A1362" s="6">
        <v>2026</v>
      </c>
      <c r="B1362" s="6">
        <f t="shared" si="167"/>
        <v>14</v>
      </c>
      <c r="C1362" s="13" t="s">
        <v>20</v>
      </c>
      <c r="D1362" s="2" t="s">
        <v>12</v>
      </c>
      <c r="E1362" s="14" t="str">
        <f t="shared" si="166"/>
        <v>WT GT</v>
      </c>
      <c r="F1362" s="22">
        <v>73</v>
      </c>
      <c r="H1362" s="5" t="e">
        <f ca="1">_xlfn.FORMULATEXT(표1[[#This Row],[Q''ty]])</f>
        <v>#N/A</v>
      </c>
      <c r="I1362" s="28">
        <v>46119</v>
      </c>
      <c r="J1362" s="28">
        <v>46119</v>
      </c>
    </row>
    <row r="1363" spans="1:10" ht="15" hidden="1" customHeight="1" x14ac:dyDescent="0.4">
      <c r="A1363" s="6">
        <v>2026</v>
      </c>
      <c r="B1363" s="6">
        <f t="shared" si="167"/>
        <v>14</v>
      </c>
      <c r="C1363" s="13" t="s">
        <v>20</v>
      </c>
      <c r="D1363" s="2" t="s">
        <v>12</v>
      </c>
      <c r="E1363" s="14" t="str">
        <f t="shared" si="166"/>
        <v>Bending</v>
      </c>
      <c r="F1363" s="22">
        <v>594</v>
      </c>
      <c r="H1363" s="5" t="e">
        <f ca="1">_xlfn.FORMULATEXT(표1[[#This Row],[Q''ty]])</f>
        <v>#N/A</v>
      </c>
      <c r="I1363" s="28">
        <v>46119</v>
      </c>
      <c r="J1363" s="28">
        <v>46119</v>
      </c>
    </row>
    <row r="1364" spans="1:10" ht="15" hidden="1" customHeight="1" x14ac:dyDescent="0.4">
      <c r="A1364" s="6">
        <v>2026</v>
      </c>
      <c r="B1364" s="6">
        <f t="shared" si="167"/>
        <v>14</v>
      </c>
      <c r="C1364" s="13" t="s">
        <v>20</v>
      </c>
      <c r="D1364" s="2" t="s">
        <v>12</v>
      </c>
      <c r="E1364" s="14" t="str">
        <f t="shared" si="166"/>
        <v>L/W</v>
      </c>
      <c r="F1364" s="22">
        <v>575</v>
      </c>
      <c r="H1364" s="5" t="e">
        <f ca="1">_xlfn.FORMULATEXT(표1[[#This Row],[Q''ty]])</f>
        <v>#N/A</v>
      </c>
      <c r="I1364" s="28">
        <v>46119</v>
      </c>
      <c r="J1364" s="28">
        <v>46119</v>
      </c>
    </row>
    <row r="1365" spans="1:10" ht="15" hidden="1" customHeight="1" thickBot="1" x14ac:dyDescent="0.45">
      <c r="A1365" s="15">
        <v>2026</v>
      </c>
      <c r="B1365" s="15">
        <f t="shared" si="167"/>
        <v>14</v>
      </c>
      <c r="C1365" s="16" t="s">
        <v>20</v>
      </c>
      <c r="D1365" s="17" t="s">
        <v>12</v>
      </c>
      <c r="E1365" s="18" t="str">
        <f t="shared" si="166"/>
        <v>C/W</v>
      </c>
      <c r="F1365" s="23">
        <v>538</v>
      </c>
      <c r="H1365" s="5" t="e">
        <f ca="1">_xlfn.FORMULATEXT(표1[[#This Row],[Q''ty]])</f>
        <v>#N/A</v>
      </c>
      <c r="I1365" s="28">
        <v>46119</v>
      </c>
      <c r="J1365" s="28">
        <v>46119</v>
      </c>
    </row>
    <row r="1366" spans="1:10" ht="15" hidden="1" customHeight="1" thickTop="1" x14ac:dyDescent="0.4">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10" ht="15" hidden="1" customHeight="1" x14ac:dyDescent="0.4">
      <c r="A1367" s="6">
        <v>2026</v>
      </c>
      <c r="B1367" s="6">
        <f t="shared" si="167"/>
        <v>14</v>
      </c>
      <c r="C1367" s="13" t="s">
        <v>21</v>
      </c>
      <c r="D1367" s="2" t="s">
        <v>6</v>
      </c>
      <c r="E1367" s="14" t="str">
        <f t="shared" si="166"/>
        <v>Paint Booth</v>
      </c>
      <c r="F1367" s="22">
        <f t="shared" si="169"/>
        <v>4</v>
      </c>
      <c r="H1367" s="5" t="str">
        <f ca="1">_xlfn.FORMULATEXT(표1[[#This Row],[Q''ty]])</f>
        <v>=F1268</v>
      </c>
    </row>
    <row r="1368" spans="1:10" ht="15" hidden="1" customHeight="1" x14ac:dyDescent="0.4">
      <c r="A1368" s="6">
        <v>2026</v>
      </c>
      <c r="B1368" s="6">
        <f t="shared" si="167"/>
        <v>14</v>
      </c>
      <c r="C1368" s="13" t="s">
        <v>21</v>
      </c>
      <c r="D1368" s="2" t="s">
        <v>6</v>
      </c>
      <c r="E1368" s="14" t="str">
        <f t="shared" si="166"/>
        <v>Paint Line</v>
      </c>
      <c r="F1368" s="22">
        <f t="shared" si="169"/>
        <v>4</v>
      </c>
      <c r="H1368" s="5" t="str">
        <f ca="1">_xlfn.FORMULATEXT(표1[[#This Row],[Q''ty]])</f>
        <v>=F1269</v>
      </c>
    </row>
    <row r="1369" spans="1:10" ht="15" hidden="1" customHeight="1" x14ac:dyDescent="0.4">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10" ht="15" hidden="1" customHeight="1" x14ac:dyDescent="0.4">
      <c r="A1370" s="6">
        <v>2026</v>
      </c>
      <c r="B1370" s="6">
        <f t="shared" si="167"/>
        <v>14</v>
      </c>
      <c r="C1370" s="13" t="s">
        <v>21</v>
      </c>
      <c r="D1370" s="2" t="s">
        <v>6</v>
      </c>
      <c r="E1370" s="14" t="str">
        <f t="shared" si="166"/>
        <v>L/W Machine</v>
      </c>
      <c r="F1370" s="22">
        <f t="shared" si="169"/>
        <v>4</v>
      </c>
      <c r="H1370" s="5" t="str">
        <f ca="1">_xlfn.FORMULATEXT(표1[[#This Row],[Q''ty]])</f>
        <v>=F1271</v>
      </c>
    </row>
    <row r="1371" spans="1:10" ht="15" hidden="1" customHeight="1" x14ac:dyDescent="0.4">
      <c r="A1371" s="6">
        <v>2026</v>
      </c>
      <c r="B1371" s="6">
        <f t="shared" si="167"/>
        <v>14</v>
      </c>
      <c r="C1371" s="13" t="s">
        <v>21</v>
      </c>
      <c r="D1371" s="2" t="s">
        <v>6</v>
      </c>
      <c r="E1371" s="14" t="str">
        <f t="shared" si="166"/>
        <v>C/W Machine</v>
      </c>
      <c r="F1371" s="22">
        <f t="shared" si="169"/>
        <v>6.5</v>
      </c>
      <c r="H1371" s="5" t="str">
        <f ca="1">_xlfn.FORMULATEXT(표1[[#This Row],[Q''ty]])</f>
        <v>=F1272</v>
      </c>
    </row>
    <row r="1372" spans="1:10" ht="15" hidden="1" customHeight="1" thickTop="1" x14ac:dyDescent="0.4">
      <c r="A1372" s="6">
        <v>2026</v>
      </c>
      <c r="B1372" s="6">
        <f t="shared" si="167"/>
        <v>14</v>
      </c>
      <c r="C1372" s="13" t="s">
        <v>21</v>
      </c>
      <c r="D1372" s="2" t="s">
        <v>12</v>
      </c>
      <c r="E1372" s="14" t="str">
        <f t="shared" si="166"/>
        <v>BT GT</v>
      </c>
      <c r="F1372" s="22">
        <v>12</v>
      </c>
      <c r="H1372" s="5" t="e">
        <f ca="1">_xlfn.FORMULATEXT(표1[[#This Row],[Q''ty]])</f>
        <v>#N/A</v>
      </c>
      <c r="I1372" s="28">
        <v>46119</v>
      </c>
      <c r="J1372" s="28">
        <v>46118</v>
      </c>
    </row>
    <row r="1373" spans="1:10" ht="15" hidden="1" customHeight="1" x14ac:dyDescent="0.4">
      <c r="A1373" s="6">
        <v>2026</v>
      </c>
      <c r="B1373" s="6">
        <f t="shared" si="167"/>
        <v>14</v>
      </c>
      <c r="C1373" s="13" t="s">
        <v>21</v>
      </c>
      <c r="D1373" s="2" t="s">
        <v>12</v>
      </c>
      <c r="E1373" s="14" t="str">
        <f t="shared" si="166"/>
        <v>WT GT</v>
      </c>
      <c r="F1373" s="22">
        <v>12</v>
      </c>
      <c r="H1373" s="5" t="e">
        <f ca="1">_xlfn.FORMULATEXT(표1[[#This Row],[Q''ty]])</f>
        <v>#N/A</v>
      </c>
      <c r="I1373" s="28">
        <v>46119</v>
      </c>
      <c r="J1373" s="28">
        <v>46118</v>
      </c>
    </row>
    <row r="1374" spans="1:10" ht="15" hidden="1" customHeight="1" x14ac:dyDescent="0.4">
      <c r="A1374" s="6">
        <v>2026</v>
      </c>
      <c r="B1374" s="6">
        <f t="shared" si="167"/>
        <v>14</v>
      </c>
      <c r="C1374" s="13" t="s">
        <v>21</v>
      </c>
      <c r="D1374" s="2" t="s">
        <v>12</v>
      </c>
      <c r="E1374" s="14" t="str">
        <f t="shared" si="166"/>
        <v>Bending</v>
      </c>
      <c r="F1374" s="22">
        <v>83</v>
      </c>
      <c r="H1374" s="5" t="e">
        <f ca="1">_xlfn.FORMULATEXT(표1[[#This Row],[Q''ty]])</f>
        <v>#N/A</v>
      </c>
      <c r="I1374" s="28">
        <v>46119</v>
      </c>
      <c r="J1374" s="28">
        <v>46118</v>
      </c>
    </row>
    <row r="1375" spans="1:10" ht="15" hidden="1" customHeight="1" x14ac:dyDescent="0.4">
      <c r="A1375" s="6">
        <v>2026</v>
      </c>
      <c r="B1375" s="6">
        <f t="shared" si="167"/>
        <v>14</v>
      </c>
      <c r="C1375" s="13" t="s">
        <v>21</v>
      </c>
      <c r="D1375" s="2" t="s">
        <v>12</v>
      </c>
      <c r="E1375" s="14" t="str">
        <f t="shared" si="166"/>
        <v>L/W</v>
      </c>
      <c r="F1375" s="22">
        <v>75</v>
      </c>
      <c r="H1375" s="5" t="e">
        <f ca="1">_xlfn.FORMULATEXT(표1[[#This Row],[Q''ty]])</f>
        <v>#N/A</v>
      </c>
      <c r="I1375" s="28">
        <v>46119</v>
      </c>
      <c r="J1375" s="28">
        <v>46118</v>
      </c>
    </row>
    <row r="1376" spans="1:10" ht="15" hidden="1" customHeight="1" thickBot="1" x14ac:dyDescent="0.45">
      <c r="A1376" s="15">
        <v>2026</v>
      </c>
      <c r="B1376" s="15">
        <f t="shared" si="167"/>
        <v>14</v>
      </c>
      <c r="C1376" s="16" t="s">
        <v>21</v>
      </c>
      <c r="D1376" s="17" t="s">
        <v>12</v>
      </c>
      <c r="E1376" s="18" t="str">
        <f t="shared" si="166"/>
        <v>C/W</v>
      </c>
      <c r="F1376" s="23">
        <v>102</v>
      </c>
      <c r="H1376" s="5" t="e">
        <f ca="1">_xlfn.FORMULATEXT(표1[[#This Row],[Q''ty]])</f>
        <v>#N/A</v>
      </c>
      <c r="I1376" s="28">
        <v>46119</v>
      </c>
      <c r="J1376" s="28">
        <v>46118</v>
      </c>
    </row>
    <row r="1377" spans="1:10" ht="15" hidden="1" customHeight="1" thickTop="1" x14ac:dyDescent="0.4">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10" ht="15" hidden="1" customHeight="1" x14ac:dyDescent="0.4">
      <c r="A1378" s="6">
        <v>2026</v>
      </c>
      <c r="B1378" s="6">
        <f t="shared" si="167"/>
        <v>14</v>
      </c>
      <c r="C1378" s="13" t="s">
        <v>22</v>
      </c>
      <c r="D1378" s="2" t="s">
        <v>6</v>
      </c>
      <c r="E1378" s="14" t="str">
        <f t="shared" si="166"/>
        <v>Paint Booth</v>
      </c>
      <c r="F1378" s="22">
        <f t="shared" si="170"/>
        <v>6</v>
      </c>
      <c r="H1378" s="5" t="str">
        <f ca="1">_xlfn.FORMULATEXT(표1[[#This Row],[Q''ty]])</f>
        <v>=F1279</v>
      </c>
    </row>
    <row r="1379" spans="1:10" ht="15" hidden="1" customHeight="1" x14ac:dyDescent="0.4">
      <c r="A1379" s="6">
        <v>2026</v>
      </c>
      <c r="B1379" s="6">
        <f t="shared" si="167"/>
        <v>14</v>
      </c>
      <c r="C1379" s="13" t="s">
        <v>22</v>
      </c>
      <c r="D1379" s="2" t="s">
        <v>6</v>
      </c>
      <c r="E1379" s="14" t="str">
        <f t="shared" si="166"/>
        <v>Paint Line</v>
      </c>
      <c r="F1379" s="22">
        <f t="shared" si="170"/>
        <v>4</v>
      </c>
      <c r="H1379" s="5" t="str">
        <f ca="1">_xlfn.FORMULATEXT(표1[[#This Row],[Q''ty]])</f>
        <v>=F1280</v>
      </c>
    </row>
    <row r="1380" spans="1:10" ht="15" hidden="1" customHeight="1" x14ac:dyDescent="0.4">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10" ht="15" hidden="1" customHeight="1" x14ac:dyDescent="0.4">
      <c r="A1381" s="6">
        <v>2026</v>
      </c>
      <c r="B1381" s="6">
        <f t="shared" si="167"/>
        <v>14</v>
      </c>
      <c r="C1381" s="13" t="s">
        <v>22</v>
      </c>
      <c r="D1381" s="2" t="s">
        <v>6</v>
      </c>
      <c r="E1381" s="14" t="str">
        <f t="shared" si="166"/>
        <v>L/W Machine</v>
      </c>
      <c r="F1381" s="22">
        <f t="shared" si="170"/>
        <v>7</v>
      </c>
      <c r="H1381" s="5" t="str">
        <f ca="1">_xlfn.FORMULATEXT(표1[[#This Row],[Q''ty]])</f>
        <v>=F1282</v>
      </c>
    </row>
    <row r="1382" spans="1:10" ht="15" hidden="1" customHeight="1" x14ac:dyDescent="0.4">
      <c r="A1382" s="6">
        <v>2026</v>
      </c>
      <c r="B1382" s="6">
        <f t="shared" si="167"/>
        <v>14</v>
      </c>
      <c r="C1382" s="13" t="s">
        <v>22</v>
      </c>
      <c r="D1382" s="2" t="s">
        <v>6</v>
      </c>
      <c r="E1382" s="14" t="str">
        <f t="shared" si="166"/>
        <v>C/W Machine</v>
      </c>
      <c r="F1382" s="22">
        <f t="shared" si="170"/>
        <v>12.5</v>
      </c>
      <c r="H1382" s="5" t="str">
        <f ca="1">_xlfn.FORMULATEXT(표1[[#This Row],[Q''ty]])</f>
        <v>=F1283</v>
      </c>
    </row>
    <row r="1383" spans="1:10" ht="15" hidden="1" customHeight="1" thickTop="1" x14ac:dyDescent="0.4">
      <c r="A1383" s="6">
        <v>2026</v>
      </c>
      <c r="B1383" s="6">
        <f t="shared" si="167"/>
        <v>14</v>
      </c>
      <c r="C1383" s="13" t="s">
        <v>22</v>
      </c>
      <c r="D1383" s="2" t="s">
        <v>12</v>
      </c>
      <c r="E1383" s="14" t="str">
        <f t="shared" si="166"/>
        <v>BT GT</v>
      </c>
      <c r="F1383" s="22">
        <v>3</v>
      </c>
      <c r="H1383" s="5" t="e">
        <f ca="1">_xlfn.FORMULATEXT(표1[[#This Row],[Q''ty]])</f>
        <v>#N/A</v>
      </c>
      <c r="I1383" s="28">
        <v>46125</v>
      </c>
      <c r="J1383" s="28">
        <v>46120</v>
      </c>
    </row>
    <row r="1384" spans="1:10" ht="15" hidden="1" customHeight="1" x14ac:dyDescent="0.4">
      <c r="A1384" s="6">
        <v>2026</v>
      </c>
      <c r="B1384" s="6">
        <f t="shared" si="167"/>
        <v>14</v>
      </c>
      <c r="C1384" s="13" t="s">
        <v>22</v>
      </c>
      <c r="D1384" s="2" t="s">
        <v>12</v>
      </c>
      <c r="E1384" s="14" t="str">
        <f t="shared" si="166"/>
        <v>WT GT</v>
      </c>
      <c r="F1384" s="22">
        <v>9</v>
      </c>
      <c r="H1384" s="5" t="e">
        <f ca="1">_xlfn.FORMULATEXT(표1[[#This Row],[Q''ty]])</f>
        <v>#N/A</v>
      </c>
      <c r="I1384" s="28">
        <v>46125</v>
      </c>
      <c r="J1384" s="28">
        <v>46120</v>
      </c>
    </row>
    <row r="1385" spans="1:10" ht="15" hidden="1" customHeight="1" x14ac:dyDescent="0.4">
      <c r="A1385" s="6">
        <v>2026</v>
      </c>
      <c r="B1385" s="6">
        <f t="shared" si="167"/>
        <v>14</v>
      </c>
      <c r="C1385" s="13" t="s">
        <v>22</v>
      </c>
      <c r="D1385" s="2" t="s">
        <v>12</v>
      </c>
      <c r="E1385" s="14" t="str">
        <f t="shared" si="166"/>
        <v>Bending</v>
      </c>
      <c r="F1385" s="22">
        <f>38+40</f>
        <v>78</v>
      </c>
      <c r="H1385" s="5" t="str">
        <f ca="1">_xlfn.FORMULATEXT(표1[[#This Row],[Q''ty]])</f>
        <v>=38+40</v>
      </c>
      <c r="I1385" s="28">
        <v>46125</v>
      </c>
      <c r="J1385" s="28">
        <v>46120</v>
      </c>
    </row>
    <row r="1386" spans="1:10" ht="15" hidden="1" customHeight="1" x14ac:dyDescent="0.4">
      <c r="A1386" s="6">
        <v>2026</v>
      </c>
      <c r="B1386" s="6">
        <f t="shared" si="167"/>
        <v>14</v>
      </c>
      <c r="C1386" s="13" t="s">
        <v>22</v>
      </c>
      <c r="D1386" s="2" t="s">
        <v>12</v>
      </c>
      <c r="E1386" s="14" t="str">
        <f t="shared" si="166"/>
        <v>L/W</v>
      </c>
      <c r="F1386" s="22">
        <f>46+40</f>
        <v>86</v>
      </c>
      <c r="H1386" s="5" t="str">
        <f ca="1">_xlfn.FORMULATEXT(표1[[#This Row],[Q''ty]])</f>
        <v>=46+40</v>
      </c>
      <c r="I1386" s="28">
        <v>46125</v>
      </c>
      <c r="J1386" s="28">
        <v>46120</v>
      </c>
    </row>
    <row r="1387" spans="1:10" ht="15" hidden="1" customHeight="1" x14ac:dyDescent="0.4">
      <c r="A1387" s="6">
        <v>2026</v>
      </c>
      <c r="B1387" s="6">
        <f t="shared" si="167"/>
        <v>14</v>
      </c>
      <c r="C1387" s="13" t="s">
        <v>22</v>
      </c>
      <c r="D1387" s="2" t="s">
        <v>12</v>
      </c>
      <c r="E1387" s="14" t="str">
        <f t="shared" si="166"/>
        <v>C/W</v>
      </c>
      <c r="F1387" s="22">
        <f>48+10</f>
        <v>58</v>
      </c>
      <c r="H1387" s="5" t="str">
        <f ca="1">_xlfn.FORMULATEXT(표1[[#This Row],[Q''ty]])</f>
        <v>=48+10</v>
      </c>
      <c r="I1387" s="28">
        <v>46125</v>
      </c>
      <c r="J1387" s="28">
        <v>46120</v>
      </c>
    </row>
    <row r="1388" spans="1:10" ht="15" hidden="1" customHeight="1" thickTop="1" x14ac:dyDescent="0.4">
      <c r="A1388" s="9">
        <v>2026</v>
      </c>
      <c r="B1388" s="9">
        <f>B1289+1</f>
        <v>15</v>
      </c>
      <c r="C1388" s="10" t="s">
        <v>28</v>
      </c>
      <c r="D1388" s="11" t="s">
        <v>6</v>
      </c>
      <c r="E1388" s="12" t="s">
        <v>7</v>
      </c>
      <c r="F1388" s="21">
        <f t="shared" ref="F1388:F1393" si="171">F1289</f>
        <v>15</v>
      </c>
      <c r="H1388" s="5" t="str">
        <f ca="1">_xlfn.FORMULATEXT(표1[[#This Row],[Q''ty]])</f>
        <v>=F1289</v>
      </c>
    </row>
    <row r="1389" spans="1:10" s="2" customFormat="1" ht="15" hidden="1" customHeight="1" x14ac:dyDescent="0.4">
      <c r="A1389" s="6">
        <v>2026</v>
      </c>
      <c r="B1389" s="6">
        <f t="shared" ref="B1389:B1452" si="172">B1290+1</f>
        <v>15</v>
      </c>
      <c r="C1389" s="13" t="s">
        <v>23</v>
      </c>
      <c r="D1389" s="2" t="s">
        <v>6</v>
      </c>
      <c r="E1389" s="14" t="s">
        <v>8</v>
      </c>
      <c r="F1389" s="22">
        <f t="shared" si="171"/>
        <v>10</v>
      </c>
      <c r="H1389" s="5" t="str">
        <f ca="1">_xlfn.FORMULATEXT(표1[[#This Row],[Q''ty]])</f>
        <v>=F1290</v>
      </c>
      <c r="I1389" s="26"/>
      <c r="J1389" s="26"/>
    </row>
    <row r="1390" spans="1:10" s="2" customFormat="1" ht="15" hidden="1" customHeight="1" x14ac:dyDescent="0.4">
      <c r="A1390" s="6">
        <v>2026</v>
      </c>
      <c r="B1390" s="6">
        <f t="shared" si="172"/>
        <v>15</v>
      </c>
      <c r="C1390" s="13" t="s">
        <v>23</v>
      </c>
      <c r="D1390" s="2" t="s">
        <v>6</v>
      </c>
      <c r="E1390" s="14" t="s">
        <v>9</v>
      </c>
      <c r="F1390" s="22">
        <f t="shared" si="171"/>
        <v>5</v>
      </c>
      <c r="H1390" s="5" t="str">
        <f ca="1">_xlfn.FORMULATEXT(표1[[#This Row],[Q''ty]])</f>
        <v>=F1291</v>
      </c>
      <c r="I1390" s="26"/>
      <c r="J1390" s="26"/>
    </row>
    <row r="1391" spans="1:10" ht="15" hidden="1" customHeight="1" x14ac:dyDescent="0.4">
      <c r="A1391" s="6">
        <v>2026</v>
      </c>
      <c r="B1391" s="6">
        <f t="shared" si="172"/>
        <v>15</v>
      </c>
      <c r="C1391" s="13" t="s">
        <v>23</v>
      </c>
      <c r="D1391" s="2" t="s">
        <v>6</v>
      </c>
      <c r="E1391" s="14" t="s">
        <v>27</v>
      </c>
      <c r="F1391" s="22">
        <f t="shared" si="171"/>
        <v>6</v>
      </c>
      <c r="H1391" s="5" t="str">
        <f ca="1">_xlfn.FORMULATEXT(표1[[#This Row],[Q''ty]])</f>
        <v>=F1292</v>
      </c>
    </row>
    <row r="1392" spans="1:10" ht="15" hidden="1" customHeight="1" x14ac:dyDescent="0.4">
      <c r="A1392" s="6">
        <v>2026</v>
      </c>
      <c r="B1392" s="6">
        <f t="shared" si="172"/>
        <v>15</v>
      </c>
      <c r="C1392" s="13" t="s">
        <v>23</v>
      </c>
      <c r="D1392" s="2" t="s">
        <v>6</v>
      </c>
      <c r="E1392" s="14" t="s">
        <v>10</v>
      </c>
      <c r="F1392" s="22">
        <f t="shared" si="171"/>
        <v>10</v>
      </c>
      <c r="H1392" s="5" t="str">
        <f ca="1">_xlfn.FORMULATEXT(표1[[#This Row],[Q''ty]])</f>
        <v>=F1293</v>
      </c>
    </row>
    <row r="1393" spans="1:10" ht="15" hidden="1" customHeight="1" x14ac:dyDescent="0.4">
      <c r="A1393" s="6">
        <v>2026</v>
      </c>
      <c r="B1393" s="6">
        <f t="shared" si="172"/>
        <v>15</v>
      </c>
      <c r="C1393" s="13" t="s">
        <v>23</v>
      </c>
      <c r="D1393" s="2" t="s">
        <v>6</v>
      </c>
      <c r="E1393" s="14" t="s">
        <v>11</v>
      </c>
      <c r="F1393" s="22">
        <f t="shared" si="171"/>
        <v>10</v>
      </c>
      <c r="H1393" s="5" t="str">
        <f ca="1">_xlfn.FORMULATEXT(표1[[#This Row],[Q''ty]])</f>
        <v>=F1294</v>
      </c>
    </row>
    <row r="1394" spans="1:10" ht="15" customHeight="1" thickTop="1" x14ac:dyDescent="0.4">
      <c r="A1394" s="6">
        <v>2026</v>
      </c>
      <c r="B1394" s="6">
        <f t="shared" si="172"/>
        <v>15</v>
      </c>
      <c r="C1394" s="13" t="s">
        <v>23</v>
      </c>
      <c r="D1394" s="2" t="s">
        <v>12</v>
      </c>
      <c r="E1394" s="14" t="s">
        <v>13</v>
      </c>
      <c r="F1394" s="22">
        <v>10</v>
      </c>
      <c r="H1394" s="5" t="e">
        <f ca="1">_xlfn.FORMULATEXT(표1[[#This Row],[Q''ty]])</f>
        <v>#N/A</v>
      </c>
      <c r="I1394" s="28">
        <v>46125</v>
      </c>
      <c r="J1394" s="28">
        <v>46122</v>
      </c>
    </row>
    <row r="1395" spans="1:10" s="2" customFormat="1" ht="15" customHeight="1" x14ac:dyDescent="0.4">
      <c r="A1395" s="6">
        <v>2026</v>
      </c>
      <c r="B1395" s="6">
        <f t="shared" si="172"/>
        <v>15</v>
      </c>
      <c r="C1395" s="13" t="s">
        <v>23</v>
      </c>
      <c r="D1395" s="2" t="s">
        <v>12</v>
      </c>
      <c r="E1395" s="14" t="s">
        <v>14</v>
      </c>
      <c r="F1395" s="22">
        <v>7</v>
      </c>
      <c r="H1395" s="5" t="e">
        <f ca="1">_xlfn.FORMULATEXT(표1[[#This Row],[Q''ty]])</f>
        <v>#N/A</v>
      </c>
      <c r="I1395" s="28">
        <v>46125</v>
      </c>
      <c r="J1395" s="28">
        <v>46122</v>
      </c>
    </row>
    <row r="1396" spans="1:10" ht="15" customHeight="1" x14ac:dyDescent="0.4">
      <c r="A1396" s="6">
        <v>2026</v>
      </c>
      <c r="B1396" s="6">
        <f t="shared" si="172"/>
        <v>15</v>
      </c>
      <c r="C1396" s="13" t="s">
        <v>23</v>
      </c>
      <c r="D1396" s="2" t="s">
        <v>12</v>
      </c>
      <c r="E1396" s="14" t="s">
        <v>15</v>
      </c>
      <c r="F1396" s="22">
        <v>169</v>
      </c>
      <c r="H1396" s="5" t="e">
        <f ca="1">_xlfn.FORMULATEXT(표1[[#This Row],[Q''ty]])</f>
        <v>#N/A</v>
      </c>
      <c r="I1396" s="28">
        <v>46125</v>
      </c>
      <c r="J1396" s="28">
        <v>46122</v>
      </c>
    </row>
    <row r="1397" spans="1:10" ht="15" customHeight="1" x14ac:dyDescent="0.4">
      <c r="A1397" s="6">
        <v>2026</v>
      </c>
      <c r="B1397" s="6">
        <f t="shared" si="172"/>
        <v>15</v>
      </c>
      <c r="C1397" s="13" t="s">
        <v>23</v>
      </c>
      <c r="D1397" s="2" t="s">
        <v>12</v>
      </c>
      <c r="E1397" s="14" t="s">
        <v>16</v>
      </c>
      <c r="F1397" s="22">
        <v>165</v>
      </c>
      <c r="H1397" s="5" t="e">
        <f ca="1">_xlfn.FORMULATEXT(표1[[#This Row],[Q''ty]])</f>
        <v>#N/A</v>
      </c>
      <c r="I1397" s="28">
        <v>46125</v>
      </c>
      <c r="J1397" s="28">
        <v>46122</v>
      </c>
    </row>
    <row r="1398" spans="1:10" ht="15" customHeight="1" thickBot="1" x14ac:dyDescent="0.45">
      <c r="A1398" s="15">
        <v>2026</v>
      </c>
      <c r="B1398" s="15">
        <f t="shared" si="172"/>
        <v>15</v>
      </c>
      <c r="C1398" s="16" t="s">
        <v>23</v>
      </c>
      <c r="D1398" s="17" t="s">
        <v>12</v>
      </c>
      <c r="E1398" s="18" t="s">
        <v>17</v>
      </c>
      <c r="F1398" s="23">
        <v>186</v>
      </c>
      <c r="H1398" s="5" t="e">
        <f ca="1">_xlfn.FORMULATEXT(표1[[#This Row],[Q''ty]])</f>
        <v>#N/A</v>
      </c>
      <c r="I1398" s="28">
        <v>46125</v>
      </c>
      <c r="J1398" s="28">
        <v>46122</v>
      </c>
    </row>
    <row r="1399" spans="1:10" ht="15" hidden="1" customHeight="1" thickTop="1" x14ac:dyDescent="0.4">
      <c r="A1399" s="9">
        <v>2026</v>
      </c>
      <c r="B1399" s="9">
        <f t="shared" si="172"/>
        <v>15</v>
      </c>
      <c r="C1399" s="10" t="s">
        <v>29</v>
      </c>
      <c r="D1399" s="11" t="s">
        <v>6</v>
      </c>
      <c r="E1399" s="12" t="s">
        <v>7</v>
      </c>
      <c r="F1399" s="21">
        <f t="shared" ref="F1399:F1404" si="173">F1300</f>
        <v>14</v>
      </c>
      <c r="H1399" s="5" t="str">
        <f ca="1">_xlfn.FORMULATEXT(표1[[#This Row],[Q''ty]])</f>
        <v>=F1300</v>
      </c>
    </row>
    <row r="1400" spans="1:10" s="2" customFormat="1" ht="15" hidden="1" customHeight="1" x14ac:dyDescent="0.4">
      <c r="A1400" s="6">
        <v>2026</v>
      </c>
      <c r="B1400" s="6">
        <f t="shared" si="172"/>
        <v>15</v>
      </c>
      <c r="C1400" s="13" t="s">
        <v>24</v>
      </c>
      <c r="D1400" s="2" t="s">
        <v>6</v>
      </c>
      <c r="E1400" s="14" t="s">
        <v>8</v>
      </c>
      <c r="F1400" s="22">
        <f t="shared" si="173"/>
        <v>8</v>
      </c>
      <c r="H1400" s="5" t="str">
        <f ca="1">_xlfn.FORMULATEXT(표1[[#This Row],[Q''ty]])</f>
        <v>=F1301</v>
      </c>
      <c r="I1400" s="26"/>
      <c r="J1400" s="26"/>
    </row>
    <row r="1401" spans="1:10" s="2" customFormat="1" ht="15" hidden="1" customHeight="1" x14ac:dyDescent="0.4">
      <c r="A1401" s="6">
        <v>2026</v>
      </c>
      <c r="B1401" s="6">
        <f t="shared" si="172"/>
        <v>15</v>
      </c>
      <c r="C1401" s="13" t="s">
        <v>24</v>
      </c>
      <c r="D1401" s="2" t="s">
        <v>6</v>
      </c>
      <c r="E1401" s="14" t="s">
        <v>9</v>
      </c>
      <c r="F1401" s="22">
        <f t="shared" si="173"/>
        <v>4</v>
      </c>
      <c r="H1401" s="5" t="str">
        <f ca="1">_xlfn.FORMULATEXT(표1[[#This Row],[Q''ty]])</f>
        <v>=F1302</v>
      </c>
      <c r="I1401" s="26"/>
      <c r="J1401" s="26"/>
    </row>
    <row r="1402" spans="1:10" ht="15" hidden="1" customHeight="1" x14ac:dyDescent="0.4">
      <c r="A1402" s="6">
        <v>2026</v>
      </c>
      <c r="B1402" s="6">
        <f t="shared" si="172"/>
        <v>15</v>
      </c>
      <c r="C1402" s="13" t="s">
        <v>24</v>
      </c>
      <c r="D1402" s="2" t="s">
        <v>6</v>
      </c>
      <c r="E1402" s="14" t="s">
        <v>27</v>
      </c>
      <c r="F1402" s="22">
        <f t="shared" si="173"/>
        <v>3</v>
      </c>
      <c r="H1402" s="5" t="str">
        <f ca="1">_xlfn.FORMULATEXT(표1[[#This Row],[Q''ty]])</f>
        <v>=F1303</v>
      </c>
    </row>
    <row r="1403" spans="1:10" ht="15" hidden="1" customHeight="1" x14ac:dyDescent="0.4">
      <c r="A1403" s="6">
        <v>2026</v>
      </c>
      <c r="B1403" s="6">
        <f t="shared" si="172"/>
        <v>15</v>
      </c>
      <c r="C1403" s="13" t="s">
        <v>24</v>
      </c>
      <c r="D1403" s="2" t="s">
        <v>6</v>
      </c>
      <c r="E1403" s="14" t="s">
        <v>10</v>
      </c>
      <c r="F1403" s="22">
        <f t="shared" si="173"/>
        <v>6</v>
      </c>
      <c r="H1403" s="5" t="str">
        <f ca="1">_xlfn.FORMULATEXT(표1[[#This Row],[Q''ty]])</f>
        <v>=F1304</v>
      </c>
    </row>
    <row r="1404" spans="1:10" ht="15" hidden="1" customHeight="1" x14ac:dyDescent="0.4">
      <c r="A1404" s="6">
        <v>2026</v>
      </c>
      <c r="B1404" s="6">
        <f t="shared" si="172"/>
        <v>15</v>
      </c>
      <c r="C1404" s="13" t="s">
        <v>24</v>
      </c>
      <c r="D1404" s="2" t="s">
        <v>6</v>
      </c>
      <c r="E1404" s="14" t="s">
        <v>11</v>
      </c>
      <c r="F1404" s="22">
        <f t="shared" si="173"/>
        <v>8.8000000000000007</v>
      </c>
      <c r="H1404" s="5" t="str">
        <f ca="1">_xlfn.FORMULATEXT(표1[[#This Row],[Q''ty]])</f>
        <v>=F1305</v>
      </c>
    </row>
    <row r="1405" spans="1:10" ht="15" customHeight="1" thickTop="1" x14ac:dyDescent="0.4">
      <c r="A1405" s="6">
        <v>2026</v>
      </c>
      <c r="B1405" s="6">
        <f t="shared" si="172"/>
        <v>15</v>
      </c>
      <c r="C1405" s="13" t="s">
        <v>24</v>
      </c>
      <c r="D1405" s="2" t="s">
        <v>12</v>
      </c>
      <c r="E1405" s="14" t="s">
        <v>13</v>
      </c>
      <c r="F1405" s="22">
        <v>10</v>
      </c>
      <c r="H1405" s="5" t="e">
        <f ca="1">_xlfn.FORMULATEXT(표1[[#This Row],[Q''ty]])</f>
        <v>#N/A</v>
      </c>
      <c r="I1405" s="28">
        <v>46125</v>
      </c>
      <c r="J1405" s="28">
        <v>46122</v>
      </c>
    </row>
    <row r="1406" spans="1:10" s="2" customFormat="1" ht="15" customHeight="1" x14ac:dyDescent="0.4">
      <c r="A1406" s="6">
        <v>2026</v>
      </c>
      <c r="B1406" s="6">
        <f t="shared" si="172"/>
        <v>15</v>
      </c>
      <c r="C1406" s="13" t="s">
        <v>24</v>
      </c>
      <c r="D1406" s="2" t="s">
        <v>12</v>
      </c>
      <c r="E1406" s="14" t="s">
        <v>14</v>
      </c>
      <c r="F1406" s="22">
        <v>13</v>
      </c>
      <c r="H1406" s="5" t="e">
        <f ca="1">_xlfn.FORMULATEXT(표1[[#This Row],[Q''ty]])</f>
        <v>#N/A</v>
      </c>
      <c r="I1406" s="28">
        <v>46125</v>
      </c>
      <c r="J1406" s="28">
        <v>46122</v>
      </c>
    </row>
    <row r="1407" spans="1:10" ht="15" customHeight="1" x14ac:dyDescent="0.4">
      <c r="A1407" s="6">
        <v>2026</v>
      </c>
      <c r="B1407" s="6">
        <f t="shared" si="172"/>
        <v>15</v>
      </c>
      <c r="C1407" s="13" t="s">
        <v>24</v>
      </c>
      <c r="D1407" s="2" t="s">
        <v>12</v>
      </c>
      <c r="E1407" s="14" t="s">
        <v>15</v>
      </c>
      <c r="F1407" s="22">
        <v>122</v>
      </c>
      <c r="H1407" s="5" t="e">
        <f ca="1">_xlfn.FORMULATEXT(표1[[#This Row],[Q''ty]])</f>
        <v>#N/A</v>
      </c>
      <c r="I1407" s="28">
        <v>46125</v>
      </c>
      <c r="J1407" s="28">
        <v>46122</v>
      </c>
    </row>
    <row r="1408" spans="1:10" ht="15" customHeight="1" x14ac:dyDescent="0.4">
      <c r="A1408" s="6">
        <v>2026</v>
      </c>
      <c r="B1408" s="6">
        <f t="shared" si="172"/>
        <v>15</v>
      </c>
      <c r="C1408" s="13" t="s">
        <v>24</v>
      </c>
      <c r="D1408" s="2" t="s">
        <v>12</v>
      </c>
      <c r="E1408" s="14" t="s">
        <v>16</v>
      </c>
      <c r="F1408" s="22">
        <v>117</v>
      </c>
      <c r="H1408" s="5" t="e">
        <f ca="1">_xlfn.FORMULATEXT(표1[[#This Row],[Q''ty]])</f>
        <v>#N/A</v>
      </c>
      <c r="I1408" s="28">
        <v>46125</v>
      </c>
      <c r="J1408" s="28">
        <v>46122</v>
      </c>
    </row>
    <row r="1409" spans="1:10" ht="15" customHeight="1" thickBot="1" x14ac:dyDescent="0.45">
      <c r="A1409" s="15">
        <v>2026</v>
      </c>
      <c r="B1409" s="15">
        <f t="shared" si="172"/>
        <v>15</v>
      </c>
      <c r="C1409" s="16" t="s">
        <v>24</v>
      </c>
      <c r="D1409" s="17" t="s">
        <v>12</v>
      </c>
      <c r="E1409" s="18" t="s">
        <v>17</v>
      </c>
      <c r="F1409" s="23">
        <v>123</v>
      </c>
      <c r="H1409" s="5" t="e">
        <f ca="1">_xlfn.FORMULATEXT(표1[[#This Row],[Q''ty]])</f>
        <v>#N/A</v>
      </c>
      <c r="I1409" s="28">
        <v>46125</v>
      </c>
      <c r="J1409" s="28">
        <v>46122</v>
      </c>
    </row>
    <row r="1410" spans="1:10" ht="15" hidden="1" customHeight="1" thickTop="1" x14ac:dyDescent="0.4">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10" ht="15" hidden="1" customHeight="1" x14ac:dyDescent="0.4">
      <c r="A1411" s="6">
        <v>2026</v>
      </c>
      <c r="B1411" s="6">
        <f t="shared" si="172"/>
        <v>15</v>
      </c>
      <c r="C1411" s="13" t="s">
        <v>18</v>
      </c>
      <c r="D1411" s="2" t="s">
        <v>6</v>
      </c>
      <c r="E1411" s="14" t="str">
        <f t="shared" si="174"/>
        <v>Paint Booth</v>
      </c>
      <c r="F1411" s="22">
        <f t="shared" si="174"/>
        <v>3</v>
      </c>
      <c r="H1411" s="5" t="str">
        <f ca="1">_xlfn.FORMULATEXT(표1[[#This Row],[Q''ty]])</f>
        <v>=F1312</v>
      </c>
    </row>
    <row r="1412" spans="1:10" ht="15" hidden="1" customHeight="1" x14ac:dyDescent="0.4">
      <c r="A1412" s="6">
        <v>2026</v>
      </c>
      <c r="B1412" s="6">
        <f t="shared" si="172"/>
        <v>15</v>
      </c>
      <c r="C1412" s="13" t="s">
        <v>18</v>
      </c>
      <c r="D1412" s="2" t="s">
        <v>6</v>
      </c>
      <c r="E1412" s="14" t="str">
        <f t="shared" si="174"/>
        <v>Paint Line</v>
      </c>
      <c r="F1412" s="22">
        <f t="shared" si="174"/>
        <v>2</v>
      </c>
      <c r="H1412" s="5" t="str">
        <f ca="1">_xlfn.FORMULATEXT(표1[[#This Row],[Q''ty]])</f>
        <v>=F1313</v>
      </c>
    </row>
    <row r="1413" spans="1:10" ht="15" hidden="1" customHeight="1" x14ac:dyDescent="0.4">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10" ht="15" hidden="1" customHeight="1" x14ac:dyDescent="0.4">
      <c r="A1414" s="6">
        <v>2026</v>
      </c>
      <c r="B1414" s="6">
        <f t="shared" si="172"/>
        <v>15</v>
      </c>
      <c r="C1414" s="13" t="s">
        <v>18</v>
      </c>
      <c r="D1414" s="2" t="s">
        <v>6</v>
      </c>
      <c r="E1414" s="14" t="str">
        <f t="shared" si="174"/>
        <v>L/W Machine</v>
      </c>
      <c r="F1414" s="22">
        <f t="shared" si="174"/>
        <v>2</v>
      </c>
      <c r="H1414" s="5" t="str">
        <f ca="1">_xlfn.FORMULATEXT(표1[[#This Row],[Q''ty]])</f>
        <v>=F1315</v>
      </c>
    </row>
    <row r="1415" spans="1:10" ht="15" hidden="1" customHeight="1" x14ac:dyDescent="0.4">
      <c r="A1415" s="6">
        <v>2026</v>
      </c>
      <c r="B1415" s="6">
        <f t="shared" si="172"/>
        <v>15</v>
      </c>
      <c r="C1415" s="13" t="s">
        <v>18</v>
      </c>
      <c r="D1415" s="2" t="s">
        <v>6</v>
      </c>
      <c r="E1415" s="14" t="str">
        <f t="shared" si="174"/>
        <v>C/W Machine</v>
      </c>
      <c r="F1415" s="22">
        <f t="shared" si="174"/>
        <v>3</v>
      </c>
      <c r="H1415" s="5" t="str">
        <f ca="1">_xlfn.FORMULATEXT(표1[[#This Row],[Q''ty]])</f>
        <v>=F1316</v>
      </c>
    </row>
    <row r="1416" spans="1:10" ht="15" customHeight="1" thickTop="1" x14ac:dyDescent="0.4">
      <c r="A1416" s="6">
        <v>2026</v>
      </c>
      <c r="B1416" s="6">
        <f t="shared" si="172"/>
        <v>15</v>
      </c>
      <c r="C1416" s="13" t="s">
        <v>18</v>
      </c>
      <c r="D1416" s="2" t="s">
        <v>12</v>
      </c>
      <c r="E1416" s="14" t="str">
        <f t="shared" ref="E1416:E1431" si="175">E1317</f>
        <v>BT GT</v>
      </c>
      <c r="F1416" s="22">
        <v>1</v>
      </c>
      <c r="H1416" s="5" t="e">
        <f ca="1">_xlfn.FORMULATEXT(표1[[#This Row],[Q''ty]])</f>
        <v>#N/A</v>
      </c>
      <c r="I1416" s="28">
        <v>46126</v>
      </c>
      <c r="J1416" s="28">
        <v>46125</v>
      </c>
    </row>
    <row r="1417" spans="1:10" ht="15" customHeight="1" x14ac:dyDescent="0.4">
      <c r="A1417" s="6">
        <v>2026</v>
      </c>
      <c r="B1417" s="6">
        <f t="shared" si="172"/>
        <v>15</v>
      </c>
      <c r="C1417" s="13" t="s">
        <v>18</v>
      </c>
      <c r="D1417" s="2" t="s">
        <v>12</v>
      </c>
      <c r="E1417" s="14" t="str">
        <f t="shared" si="175"/>
        <v>WT GT</v>
      </c>
      <c r="F1417" s="22">
        <v>0</v>
      </c>
      <c r="H1417" s="5" t="e">
        <f ca="1">_xlfn.FORMULATEXT(표1[[#This Row],[Q''ty]])</f>
        <v>#N/A</v>
      </c>
      <c r="I1417" s="28">
        <v>46126</v>
      </c>
      <c r="J1417" s="28">
        <v>46125</v>
      </c>
    </row>
    <row r="1418" spans="1:10" ht="15" customHeight="1" x14ac:dyDescent="0.4">
      <c r="A1418" s="6">
        <v>2026</v>
      </c>
      <c r="B1418" s="6">
        <f t="shared" si="172"/>
        <v>15</v>
      </c>
      <c r="C1418" s="13" t="s">
        <v>18</v>
      </c>
      <c r="D1418" s="2" t="s">
        <v>12</v>
      </c>
      <c r="E1418" s="14" t="str">
        <f t="shared" si="175"/>
        <v>Bending</v>
      </c>
      <c r="F1418" s="22">
        <v>18</v>
      </c>
      <c r="H1418" s="5" t="e">
        <f ca="1">_xlfn.FORMULATEXT(표1[[#This Row],[Q''ty]])</f>
        <v>#N/A</v>
      </c>
      <c r="I1418" s="28">
        <v>46126</v>
      </c>
      <c r="J1418" s="28">
        <v>46125</v>
      </c>
    </row>
    <row r="1419" spans="1:10" ht="15" customHeight="1" x14ac:dyDescent="0.4">
      <c r="A1419" s="6">
        <v>2026</v>
      </c>
      <c r="B1419" s="6">
        <f t="shared" si="172"/>
        <v>15</v>
      </c>
      <c r="C1419" s="13" t="s">
        <v>18</v>
      </c>
      <c r="D1419" s="2" t="s">
        <v>12</v>
      </c>
      <c r="E1419" s="14" t="str">
        <f t="shared" si="175"/>
        <v>L/W</v>
      </c>
      <c r="F1419" s="22">
        <v>10.199999999999999</v>
      </c>
      <c r="H1419" s="5" t="e">
        <f ca="1">_xlfn.FORMULATEXT(표1[[#This Row],[Q''ty]])</f>
        <v>#N/A</v>
      </c>
      <c r="I1419" s="28">
        <v>46126</v>
      </c>
      <c r="J1419" s="28">
        <v>46125</v>
      </c>
    </row>
    <row r="1420" spans="1:10" ht="15" customHeight="1" thickBot="1" x14ac:dyDescent="0.45">
      <c r="A1420" s="15">
        <v>2026</v>
      </c>
      <c r="B1420" s="15">
        <f t="shared" si="172"/>
        <v>15</v>
      </c>
      <c r="C1420" s="16" t="s">
        <v>18</v>
      </c>
      <c r="D1420" s="17" t="s">
        <v>12</v>
      </c>
      <c r="E1420" s="18" t="str">
        <f t="shared" si="175"/>
        <v>C/W</v>
      </c>
      <c r="F1420" s="23">
        <v>16.3</v>
      </c>
      <c r="H1420" s="5" t="e">
        <f ca="1">_xlfn.FORMULATEXT(표1[[#This Row],[Q''ty]])</f>
        <v>#N/A</v>
      </c>
      <c r="I1420" s="28">
        <v>46126</v>
      </c>
      <c r="J1420" s="28">
        <v>46125</v>
      </c>
    </row>
    <row r="1421" spans="1:10" ht="15" hidden="1" customHeight="1" thickTop="1" x14ac:dyDescent="0.4">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10" ht="15" hidden="1" customHeight="1" x14ac:dyDescent="0.4">
      <c r="A1422" s="6">
        <v>2026</v>
      </c>
      <c r="B1422" s="6">
        <f t="shared" si="172"/>
        <v>15</v>
      </c>
      <c r="C1422" s="13" t="s">
        <v>19</v>
      </c>
      <c r="D1422" s="2" t="s">
        <v>6</v>
      </c>
      <c r="E1422" s="14" t="str">
        <f t="shared" si="175"/>
        <v>Paint Booth</v>
      </c>
      <c r="F1422" s="22">
        <f t="shared" si="176"/>
        <v>22</v>
      </c>
      <c r="H1422" s="5" t="str">
        <f ca="1">_xlfn.FORMULATEXT(표1[[#This Row],[Q''ty]])</f>
        <v>=F1323</v>
      </c>
    </row>
    <row r="1423" spans="1:10" ht="15" hidden="1" customHeight="1" x14ac:dyDescent="0.4">
      <c r="A1423" s="6">
        <v>2026</v>
      </c>
      <c r="B1423" s="6">
        <f t="shared" si="172"/>
        <v>15</v>
      </c>
      <c r="C1423" s="13" t="s">
        <v>19</v>
      </c>
      <c r="D1423" s="2" t="s">
        <v>6</v>
      </c>
      <c r="E1423" s="14" t="str">
        <f t="shared" si="175"/>
        <v>Paint Line</v>
      </c>
      <c r="F1423" s="22">
        <f t="shared" si="176"/>
        <v>6</v>
      </c>
      <c r="H1423" s="5" t="str">
        <f ca="1">_xlfn.FORMULATEXT(표1[[#This Row],[Q''ty]])</f>
        <v>=F1324</v>
      </c>
    </row>
    <row r="1424" spans="1:10" ht="15" hidden="1" customHeight="1" x14ac:dyDescent="0.4">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10" ht="15" hidden="1" customHeight="1" x14ac:dyDescent="0.4">
      <c r="A1425" s="6">
        <v>2026</v>
      </c>
      <c r="B1425" s="6">
        <f t="shared" si="172"/>
        <v>15</v>
      </c>
      <c r="C1425" s="13" t="s">
        <v>19</v>
      </c>
      <c r="D1425" s="2" t="s">
        <v>6</v>
      </c>
      <c r="E1425" s="14" t="str">
        <f t="shared" si="175"/>
        <v>L/W Machine</v>
      </c>
      <c r="F1425" s="22">
        <f t="shared" si="176"/>
        <v>10</v>
      </c>
      <c r="H1425" s="5" t="str">
        <f ca="1">_xlfn.FORMULATEXT(표1[[#This Row],[Q''ty]])</f>
        <v>=F1326</v>
      </c>
    </row>
    <row r="1426" spans="1:10" ht="15" hidden="1" customHeight="1" x14ac:dyDescent="0.4">
      <c r="A1426" s="6">
        <v>2026</v>
      </c>
      <c r="B1426" s="6">
        <f t="shared" si="172"/>
        <v>15</v>
      </c>
      <c r="C1426" s="13" t="s">
        <v>19</v>
      </c>
      <c r="D1426" s="2" t="s">
        <v>6</v>
      </c>
      <c r="E1426" s="14" t="str">
        <f t="shared" si="175"/>
        <v>C/W Machine</v>
      </c>
      <c r="F1426" s="22">
        <f t="shared" si="176"/>
        <v>12</v>
      </c>
      <c r="H1426" s="5" t="str">
        <f ca="1">_xlfn.FORMULATEXT(표1[[#This Row],[Q''ty]])</f>
        <v>=F1327</v>
      </c>
    </row>
    <row r="1427" spans="1:10" ht="15" customHeight="1" thickTop="1" x14ac:dyDescent="0.4">
      <c r="A1427" s="6">
        <v>2026</v>
      </c>
      <c r="B1427" s="6">
        <f t="shared" si="172"/>
        <v>15</v>
      </c>
      <c r="C1427" s="13" t="s">
        <v>19</v>
      </c>
      <c r="D1427" s="2" t="s">
        <v>12</v>
      </c>
      <c r="E1427" s="14" t="str">
        <f t="shared" si="175"/>
        <v>BT GT</v>
      </c>
      <c r="F1427" s="22">
        <v>22</v>
      </c>
      <c r="H1427" s="5" t="e">
        <f ca="1">_xlfn.FORMULATEXT(표1[[#This Row],[Q''ty]])</f>
        <v>#N/A</v>
      </c>
      <c r="I1427" s="28">
        <v>46125</v>
      </c>
      <c r="J1427" s="28">
        <v>46122</v>
      </c>
    </row>
    <row r="1428" spans="1:10" ht="15" customHeight="1" x14ac:dyDescent="0.4">
      <c r="A1428" s="6">
        <v>2026</v>
      </c>
      <c r="B1428" s="6">
        <f t="shared" si="172"/>
        <v>15</v>
      </c>
      <c r="C1428" s="13" t="s">
        <v>19</v>
      </c>
      <c r="D1428" s="2" t="s">
        <v>12</v>
      </c>
      <c r="E1428" s="14" t="str">
        <f t="shared" si="175"/>
        <v>WT GT</v>
      </c>
      <c r="F1428" s="22">
        <v>19</v>
      </c>
      <c r="H1428" s="5" t="e">
        <f ca="1">_xlfn.FORMULATEXT(표1[[#This Row],[Q''ty]])</f>
        <v>#N/A</v>
      </c>
      <c r="I1428" s="28">
        <v>46125</v>
      </c>
      <c r="J1428" s="28">
        <v>46122</v>
      </c>
    </row>
    <row r="1429" spans="1:10" ht="15" customHeight="1" x14ac:dyDescent="0.4">
      <c r="A1429" s="6">
        <v>2026</v>
      </c>
      <c r="B1429" s="6">
        <f t="shared" si="172"/>
        <v>15</v>
      </c>
      <c r="C1429" s="13" t="s">
        <v>19</v>
      </c>
      <c r="D1429" s="2" t="s">
        <v>12</v>
      </c>
      <c r="E1429" s="14" t="str">
        <f t="shared" si="175"/>
        <v>Bending</v>
      </c>
      <c r="F1429" s="22">
        <v>131</v>
      </c>
      <c r="H1429" s="5" t="e">
        <f ca="1">_xlfn.FORMULATEXT(표1[[#This Row],[Q''ty]])</f>
        <v>#N/A</v>
      </c>
      <c r="I1429" s="28">
        <v>46125</v>
      </c>
      <c r="J1429" s="28">
        <v>46122</v>
      </c>
    </row>
    <row r="1430" spans="1:10" ht="15" customHeight="1" x14ac:dyDescent="0.4">
      <c r="A1430" s="6">
        <v>2026</v>
      </c>
      <c r="B1430" s="6">
        <f t="shared" si="172"/>
        <v>15</v>
      </c>
      <c r="C1430" s="13" t="s">
        <v>19</v>
      </c>
      <c r="D1430" s="2" t="s">
        <v>12</v>
      </c>
      <c r="E1430" s="14" t="str">
        <f t="shared" si="175"/>
        <v>L/W</v>
      </c>
      <c r="F1430" s="22">
        <v>131</v>
      </c>
      <c r="H1430" s="5" t="e">
        <f ca="1">_xlfn.FORMULATEXT(표1[[#This Row],[Q''ty]])</f>
        <v>#N/A</v>
      </c>
      <c r="I1430" s="28">
        <v>46125</v>
      </c>
      <c r="J1430" s="28">
        <v>46122</v>
      </c>
    </row>
    <row r="1431" spans="1:10" ht="15" customHeight="1" thickBot="1" x14ac:dyDescent="0.45">
      <c r="A1431" s="15">
        <v>2026</v>
      </c>
      <c r="B1431" s="15">
        <f t="shared" si="172"/>
        <v>15</v>
      </c>
      <c r="C1431" s="16" t="s">
        <v>19</v>
      </c>
      <c r="D1431" s="17" t="s">
        <v>12</v>
      </c>
      <c r="E1431" s="18" t="str">
        <f t="shared" si="175"/>
        <v>C/W</v>
      </c>
      <c r="F1431" s="23">
        <v>145</v>
      </c>
      <c r="H1431" s="5" t="e">
        <f ca="1">_xlfn.FORMULATEXT(표1[[#This Row],[Q''ty]])</f>
        <v>#N/A</v>
      </c>
      <c r="I1431" s="28">
        <v>46125</v>
      </c>
      <c r="J1431" s="28">
        <v>46122</v>
      </c>
    </row>
    <row r="1432" spans="1:10" ht="15" hidden="1" customHeight="1" thickTop="1" x14ac:dyDescent="0.4">
      <c r="A1432" s="6">
        <v>2026</v>
      </c>
      <c r="B1432" s="6">
        <f t="shared" si="172"/>
        <v>15</v>
      </c>
      <c r="C1432" s="13" t="s">
        <v>25</v>
      </c>
      <c r="D1432" s="2" t="s">
        <v>6</v>
      </c>
      <c r="E1432" s="14" t="s">
        <v>7</v>
      </c>
      <c r="F1432" s="22">
        <f t="shared" ref="F1432:F1437" si="177">F1333</f>
        <v>3</v>
      </c>
      <c r="H1432" s="5" t="str">
        <f ca="1">_xlfn.FORMULATEXT(표1[[#This Row],[Q''ty]])</f>
        <v>=F1333</v>
      </c>
    </row>
    <row r="1433" spans="1:10" ht="15" hidden="1" customHeight="1" x14ac:dyDescent="0.4">
      <c r="A1433" s="6">
        <v>2026</v>
      </c>
      <c r="B1433" s="6">
        <f t="shared" si="172"/>
        <v>15</v>
      </c>
      <c r="C1433" s="13" t="s">
        <v>25</v>
      </c>
      <c r="D1433" s="2" t="s">
        <v>6</v>
      </c>
      <c r="E1433" s="14" t="s">
        <v>8</v>
      </c>
      <c r="F1433" s="22">
        <f t="shared" si="177"/>
        <v>3</v>
      </c>
      <c r="H1433" s="5" t="str">
        <f ca="1">_xlfn.FORMULATEXT(표1[[#This Row],[Q''ty]])</f>
        <v>=F1334</v>
      </c>
    </row>
    <row r="1434" spans="1:10" ht="15" hidden="1" customHeight="1" x14ac:dyDescent="0.4">
      <c r="A1434" s="6">
        <v>2026</v>
      </c>
      <c r="B1434" s="6">
        <f t="shared" si="172"/>
        <v>15</v>
      </c>
      <c r="C1434" s="13" t="s">
        <v>25</v>
      </c>
      <c r="D1434" s="2" t="s">
        <v>6</v>
      </c>
      <c r="E1434" s="14" t="s">
        <v>9</v>
      </c>
      <c r="F1434" s="22">
        <f t="shared" si="177"/>
        <v>2</v>
      </c>
      <c r="H1434" s="5" t="str">
        <f ca="1">_xlfn.FORMULATEXT(표1[[#This Row],[Q''ty]])</f>
        <v>=F1335</v>
      </c>
    </row>
    <row r="1435" spans="1:10" ht="15" hidden="1" customHeight="1" x14ac:dyDescent="0.4">
      <c r="A1435" s="6">
        <v>2026</v>
      </c>
      <c r="B1435" s="6">
        <f t="shared" si="172"/>
        <v>15</v>
      </c>
      <c r="C1435" s="13" t="s">
        <v>25</v>
      </c>
      <c r="D1435" s="2" t="s">
        <v>6</v>
      </c>
      <c r="E1435" s="14" t="s">
        <v>27</v>
      </c>
      <c r="F1435" s="22">
        <f t="shared" si="177"/>
        <v>2</v>
      </c>
      <c r="H1435" s="5" t="str">
        <f ca="1">_xlfn.FORMULATEXT(표1[[#This Row],[Q''ty]])</f>
        <v>=F1336</v>
      </c>
    </row>
    <row r="1436" spans="1:10" ht="15" hidden="1" customHeight="1" x14ac:dyDescent="0.4">
      <c r="A1436" s="6">
        <v>2026</v>
      </c>
      <c r="B1436" s="6">
        <f t="shared" si="172"/>
        <v>15</v>
      </c>
      <c r="C1436" s="13" t="s">
        <v>25</v>
      </c>
      <c r="D1436" s="2" t="s">
        <v>6</v>
      </c>
      <c r="E1436" s="14" t="s">
        <v>10</v>
      </c>
      <c r="F1436" s="22">
        <f t="shared" si="177"/>
        <v>3</v>
      </c>
      <c r="H1436" s="5" t="str">
        <f ca="1">_xlfn.FORMULATEXT(표1[[#This Row],[Q''ty]])</f>
        <v>=F1337</v>
      </c>
    </row>
    <row r="1437" spans="1:10" ht="15" hidden="1" customHeight="1" x14ac:dyDescent="0.4">
      <c r="A1437" s="6">
        <v>2026</v>
      </c>
      <c r="B1437" s="6">
        <f t="shared" si="172"/>
        <v>15</v>
      </c>
      <c r="C1437" s="13" t="s">
        <v>25</v>
      </c>
      <c r="D1437" s="2" t="s">
        <v>6</v>
      </c>
      <c r="E1437" s="14" t="s">
        <v>11</v>
      </c>
      <c r="F1437" s="22">
        <f t="shared" si="177"/>
        <v>4</v>
      </c>
      <c r="H1437" s="5" t="str">
        <f ca="1">_xlfn.FORMULATEXT(표1[[#This Row],[Q''ty]])</f>
        <v>=F1338</v>
      </c>
    </row>
    <row r="1438" spans="1:10" ht="15" customHeight="1" thickTop="1" x14ac:dyDescent="0.4">
      <c r="A1438" s="6">
        <v>2026</v>
      </c>
      <c r="B1438" s="6">
        <f t="shared" si="172"/>
        <v>15</v>
      </c>
      <c r="C1438" s="13" t="s">
        <v>25</v>
      </c>
      <c r="D1438" s="2" t="s">
        <v>12</v>
      </c>
      <c r="E1438" s="14" t="s">
        <v>13</v>
      </c>
      <c r="F1438" s="22">
        <v>0</v>
      </c>
      <c r="H1438" s="5" t="e">
        <f ca="1">_xlfn.FORMULATEXT(표1[[#This Row],[Q''ty]])</f>
        <v>#N/A</v>
      </c>
    </row>
    <row r="1439" spans="1:10" ht="15" customHeight="1" x14ac:dyDescent="0.4">
      <c r="A1439" s="6">
        <v>2026</v>
      </c>
      <c r="B1439" s="6">
        <f t="shared" si="172"/>
        <v>15</v>
      </c>
      <c r="C1439" s="13" t="s">
        <v>25</v>
      </c>
      <c r="D1439" s="2" t="s">
        <v>12</v>
      </c>
      <c r="E1439" s="14" t="s">
        <v>14</v>
      </c>
      <c r="F1439" s="22">
        <v>0</v>
      </c>
      <c r="H1439" s="5" t="e">
        <f ca="1">_xlfn.FORMULATEXT(표1[[#This Row],[Q''ty]])</f>
        <v>#N/A</v>
      </c>
    </row>
    <row r="1440" spans="1:10" ht="15" customHeight="1" x14ac:dyDescent="0.4">
      <c r="A1440" s="6">
        <v>2026</v>
      </c>
      <c r="B1440" s="6">
        <f t="shared" si="172"/>
        <v>15</v>
      </c>
      <c r="C1440" s="13" t="s">
        <v>25</v>
      </c>
      <c r="D1440" s="2" t="s">
        <v>12</v>
      </c>
      <c r="E1440" s="14" t="s">
        <v>15</v>
      </c>
      <c r="F1440" s="22">
        <v>0</v>
      </c>
      <c r="H1440" s="5" t="e">
        <f ca="1">_xlfn.FORMULATEXT(표1[[#This Row],[Q''ty]])</f>
        <v>#N/A</v>
      </c>
    </row>
    <row r="1441" spans="1:10" ht="15" customHeight="1" x14ac:dyDescent="0.4">
      <c r="A1441" s="6">
        <v>2026</v>
      </c>
      <c r="B1441" s="6">
        <f t="shared" si="172"/>
        <v>15</v>
      </c>
      <c r="C1441" s="13" t="s">
        <v>25</v>
      </c>
      <c r="D1441" s="2" t="s">
        <v>12</v>
      </c>
      <c r="E1441" s="14" t="s">
        <v>16</v>
      </c>
      <c r="F1441" s="22">
        <v>0</v>
      </c>
      <c r="H1441" s="5" t="e">
        <f ca="1">_xlfn.FORMULATEXT(표1[[#This Row],[Q''ty]])</f>
        <v>#N/A</v>
      </c>
    </row>
    <row r="1442" spans="1:10" ht="15" customHeight="1" thickBot="1" x14ac:dyDescent="0.45">
      <c r="A1442" s="15">
        <v>2026</v>
      </c>
      <c r="B1442" s="15">
        <f t="shared" si="172"/>
        <v>15</v>
      </c>
      <c r="C1442" s="16" t="s">
        <v>25</v>
      </c>
      <c r="D1442" s="17" t="s">
        <v>12</v>
      </c>
      <c r="E1442" s="18" t="s">
        <v>17</v>
      </c>
      <c r="F1442" s="23">
        <v>0</v>
      </c>
      <c r="H1442" s="5" t="e">
        <f ca="1">_xlfn.FORMULATEXT(표1[[#This Row],[Q''ty]])</f>
        <v>#N/A</v>
      </c>
    </row>
    <row r="1443" spans="1:10" ht="15" hidden="1" customHeight="1" thickTop="1" x14ac:dyDescent="0.4">
      <c r="A1443" s="6">
        <v>2026</v>
      </c>
      <c r="B1443" s="6">
        <f t="shared" si="172"/>
        <v>15</v>
      </c>
      <c r="C1443" s="13" t="s">
        <v>26</v>
      </c>
      <c r="D1443" s="2" t="s">
        <v>6</v>
      </c>
      <c r="E1443" s="14" t="s">
        <v>7</v>
      </c>
      <c r="F1443" s="22">
        <f t="shared" ref="F1443:F1448" si="178">F1344</f>
        <v>6</v>
      </c>
      <c r="H1443" s="5" t="str">
        <f ca="1">_xlfn.FORMULATEXT(표1[[#This Row],[Q''ty]])</f>
        <v>=F1344</v>
      </c>
    </row>
    <row r="1444" spans="1:10" ht="15" hidden="1" customHeight="1" x14ac:dyDescent="0.4">
      <c r="A1444" s="6">
        <v>2026</v>
      </c>
      <c r="B1444" s="6">
        <f t="shared" si="172"/>
        <v>15</v>
      </c>
      <c r="C1444" s="13" t="s">
        <v>26</v>
      </c>
      <c r="D1444" s="2" t="s">
        <v>6</v>
      </c>
      <c r="E1444" s="14" t="s">
        <v>8</v>
      </c>
      <c r="F1444" s="22">
        <f t="shared" si="178"/>
        <v>4</v>
      </c>
      <c r="H1444" s="5" t="str">
        <f ca="1">_xlfn.FORMULATEXT(표1[[#This Row],[Q''ty]])</f>
        <v>=F1345</v>
      </c>
    </row>
    <row r="1445" spans="1:10" ht="15" hidden="1" customHeight="1" x14ac:dyDescent="0.4">
      <c r="A1445" s="6">
        <v>2026</v>
      </c>
      <c r="B1445" s="6">
        <f t="shared" si="172"/>
        <v>15</v>
      </c>
      <c r="C1445" s="13" t="s">
        <v>26</v>
      </c>
      <c r="D1445" s="2" t="s">
        <v>6</v>
      </c>
      <c r="E1445" s="14" t="s">
        <v>9</v>
      </c>
      <c r="F1445" s="22">
        <f t="shared" si="178"/>
        <v>2</v>
      </c>
      <c r="H1445" s="5" t="str">
        <f ca="1">_xlfn.FORMULATEXT(표1[[#This Row],[Q''ty]])</f>
        <v>=F1346</v>
      </c>
    </row>
    <row r="1446" spans="1:10" ht="15" hidden="1" customHeight="1" x14ac:dyDescent="0.4">
      <c r="A1446" s="6">
        <v>2026</v>
      </c>
      <c r="B1446" s="6">
        <f t="shared" si="172"/>
        <v>15</v>
      </c>
      <c r="C1446" s="13" t="s">
        <v>26</v>
      </c>
      <c r="D1446" s="2" t="s">
        <v>6</v>
      </c>
      <c r="E1446" s="14" t="s">
        <v>27</v>
      </c>
      <c r="F1446" s="22">
        <f t="shared" si="178"/>
        <v>3</v>
      </c>
      <c r="H1446" s="5" t="str">
        <f ca="1">_xlfn.FORMULATEXT(표1[[#This Row],[Q''ty]])</f>
        <v>=F1347</v>
      </c>
    </row>
    <row r="1447" spans="1:10" ht="15" hidden="1" customHeight="1" x14ac:dyDescent="0.4">
      <c r="A1447" s="6">
        <v>2026</v>
      </c>
      <c r="B1447" s="6">
        <f t="shared" si="172"/>
        <v>15</v>
      </c>
      <c r="C1447" s="13" t="s">
        <v>26</v>
      </c>
      <c r="D1447" s="2" t="s">
        <v>6</v>
      </c>
      <c r="E1447" s="14" t="s">
        <v>10</v>
      </c>
      <c r="F1447" s="22">
        <f t="shared" si="178"/>
        <v>4</v>
      </c>
      <c r="H1447" s="5" t="str">
        <f ca="1">_xlfn.FORMULATEXT(표1[[#This Row],[Q''ty]])</f>
        <v>=F1348</v>
      </c>
    </row>
    <row r="1448" spans="1:10" ht="15" hidden="1" customHeight="1" x14ac:dyDescent="0.4">
      <c r="A1448" s="6">
        <v>2026</v>
      </c>
      <c r="B1448" s="6">
        <f t="shared" si="172"/>
        <v>15</v>
      </c>
      <c r="C1448" s="13" t="s">
        <v>26</v>
      </c>
      <c r="D1448" s="2" t="s">
        <v>6</v>
      </c>
      <c r="E1448" s="14" t="s">
        <v>11</v>
      </c>
      <c r="F1448" s="22">
        <f t="shared" si="178"/>
        <v>6</v>
      </c>
      <c r="H1448" s="5" t="str">
        <f ca="1">_xlfn.FORMULATEXT(표1[[#This Row],[Q''ty]])</f>
        <v>=F1349</v>
      </c>
    </row>
    <row r="1449" spans="1:10" ht="15" customHeight="1" thickTop="1" x14ac:dyDescent="0.4">
      <c r="A1449" s="6">
        <v>2026</v>
      </c>
      <c r="B1449" s="6">
        <f t="shared" si="172"/>
        <v>15</v>
      </c>
      <c r="C1449" s="13" t="s">
        <v>26</v>
      </c>
      <c r="D1449" s="2" t="s">
        <v>12</v>
      </c>
      <c r="E1449" s="14" t="str">
        <f t="shared" ref="E1449:E1486" si="179">E1350</f>
        <v>BT GT</v>
      </c>
      <c r="F1449" s="22">
        <v>19</v>
      </c>
      <c r="H1449" s="5" t="e">
        <f ca="1">_xlfn.FORMULATEXT(표1[[#This Row],[Q''ty]])</f>
        <v>#N/A</v>
      </c>
      <c r="I1449" s="28">
        <v>46125</v>
      </c>
      <c r="J1449" s="28">
        <v>46122</v>
      </c>
    </row>
    <row r="1450" spans="1:10" ht="15" customHeight="1" x14ac:dyDescent="0.4">
      <c r="A1450" s="6">
        <v>2026</v>
      </c>
      <c r="B1450" s="6">
        <f t="shared" si="172"/>
        <v>15</v>
      </c>
      <c r="C1450" s="13" t="s">
        <v>26</v>
      </c>
      <c r="D1450" s="2" t="s">
        <v>12</v>
      </c>
      <c r="E1450" s="14" t="str">
        <f t="shared" si="179"/>
        <v>WT GT</v>
      </c>
      <c r="F1450" s="22">
        <v>13</v>
      </c>
      <c r="H1450" s="5" t="e">
        <f ca="1">_xlfn.FORMULATEXT(표1[[#This Row],[Q''ty]])</f>
        <v>#N/A</v>
      </c>
      <c r="I1450" s="28">
        <v>46125</v>
      </c>
      <c r="J1450" s="28">
        <v>46122</v>
      </c>
    </row>
    <row r="1451" spans="1:10" ht="15" customHeight="1" x14ac:dyDescent="0.4">
      <c r="A1451" s="6">
        <v>2026</v>
      </c>
      <c r="B1451" s="6">
        <f t="shared" si="172"/>
        <v>15</v>
      </c>
      <c r="C1451" s="13" t="s">
        <v>26</v>
      </c>
      <c r="D1451" s="2" t="s">
        <v>12</v>
      </c>
      <c r="E1451" s="14" t="str">
        <f t="shared" si="179"/>
        <v>Bending</v>
      </c>
      <c r="F1451" s="22">
        <v>138</v>
      </c>
      <c r="H1451" s="5" t="e">
        <f ca="1">_xlfn.FORMULATEXT(표1[[#This Row],[Q''ty]])</f>
        <v>#N/A</v>
      </c>
      <c r="I1451" s="28">
        <v>46125</v>
      </c>
      <c r="J1451" s="28">
        <v>46122</v>
      </c>
    </row>
    <row r="1452" spans="1:10" ht="15" customHeight="1" x14ac:dyDescent="0.4">
      <c r="A1452" s="6">
        <v>2026</v>
      </c>
      <c r="B1452" s="6">
        <f t="shared" si="172"/>
        <v>15</v>
      </c>
      <c r="C1452" s="13" t="s">
        <v>26</v>
      </c>
      <c r="D1452" s="2" t="s">
        <v>12</v>
      </c>
      <c r="E1452" s="14" t="str">
        <f t="shared" si="179"/>
        <v>L/W</v>
      </c>
      <c r="F1452" s="22">
        <v>136</v>
      </c>
      <c r="H1452" s="5" t="e">
        <f ca="1">_xlfn.FORMULATEXT(표1[[#This Row],[Q''ty]])</f>
        <v>#N/A</v>
      </c>
      <c r="I1452" s="28">
        <v>46125</v>
      </c>
      <c r="J1452" s="28">
        <v>46122</v>
      </c>
    </row>
    <row r="1453" spans="1:10" ht="15" customHeight="1" thickBot="1" x14ac:dyDescent="0.45">
      <c r="A1453" s="15">
        <v>2026</v>
      </c>
      <c r="B1453" s="15">
        <f t="shared" ref="B1453:B1486" si="180">B1354+1</f>
        <v>15</v>
      </c>
      <c r="C1453" s="16" t="s">
        <v>26</v>
      </c>
      <c r="D1453" s="17" t="s">
        <v>12</v>
      </c>
      <c r="E1453" s="18" t="str">
        <f t="shared" si="179"/>
        <v>C/W</v>
      </c>
      <c r="F1453" s="23">
        <v>142</v>
      </c>
      <c r="H1453" s="5" t="e">
        <f ca="1">_xlfn.FORMULATEXT(표1[[#This Row],[Q''ty]])</f>
        <v>#N/A</v>
      </c>
      <c r="I1453" s="28">
        <v>46125</v>
      </c>
      <c r="J1453" s="28">
        <v>46122</v>
      </c>
    </row>
    <row r="1454" spans="1:10" ht="15" hidden="1" customHeight="1" thickTop="1" x14ac:dyDescent="0.4">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10" ht="15" hidden="1" customHeight="1" x14ac:dyDescent="0.4">
      <c r="A1455" s="6">
        <v>2026</v>
      </c>
      <c r="B1455" s="6">
        <f t="shared" si="180"/>
        <v>15</v>
      </c>
      <c r="C1455" s="13" t="s">
        <v>20</v>
      </c>
      <c r="D1455" s="2" t="s">
        <v>6</v>
      </c>
      <c r="E1455" s="14" t="str">
        <f t="shared" si="179"/>
        <v>Paint Booth</v>
      </c>
      <c r="F1455" s="22">
        <f t="shared" si="181"/>
        <v>16</v>
      </c>
      <c r="H1455" s="5" t="str">
        <f ca="1">_xlfn.FORMULATEXT(표1[[#This Row],[Q''ty]])</f>
        <v>=F1356</v>
      </c>
    </row>
    <row r="1456" spans="1:10" ht="15" hidden="1" customHeight="1" x14ac:dyDescent="0.4">
      <c r="A1456" s="6">
        <v>2026</v>
      </c>
      <c r="B1456" s="6">
        <f t="shared" si="180"/>
        <v>15</v>
      </c>
      <c r="C1456" s="13" t="s">
        <v>20</v>
      </c>
      <c r="D1456" s="2" t="s">
        <v>6</v>
      </c>
      <c r="E1456" s="14" t="str">
        <f t="shared" si="179"/>
        <v>Paint Line</v>
      </c>
      <c r="F1456" s="22">
        <f t="shared" si="181"/>
        <v>8</v>
      </c>
      <c r="H1456" s="5" t="str">
        <f ca="1">_xlfn.FORMULATEXT(표1[[#This Row],[Q''ty]])</f>
        <v>=F1357</v>
      </c>
    </row>
    <row r="1457" spans="1:10" ht="15" hidden="1" customHeight="1" x14ac:dyDescent="0.4">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10" ht="15" hidden="1" customHeight="1" x14ac:dyDescent="0.4">
      <c r="A1458" s="6">
        <v>2026</v>
      </c>
      <c r="B1458" s="6">
        <f t="shared" si="180"/>
        <v>15</v>
      </c>
      <c r="C1458" s="13" t="s">
        <v>20</v>
      </c>
      <c r="D1458" s="2" t="s">
        <v>6</v>
      </c>
      <c r="E1458" s="14" t="str">
        <f t="shared" si="179"/>
        <v>L/W Machine</v>
      </c>
      <c r="F1458" s="22">
        <f t="shared" si="181"/>
        <v>11</v>
      </c>
      <c r="H1458" s="5" t="str">
        <f ca="1">_xlfn.FORMULATEXT(표1[[#This Row],[Q''ty]])</f>
        <v>=F1359</v>
      </c>
    </row>
    <row r="1459" spans="1:10" ht="15" hidden="1" customHeight="1" x14ac:dyDescent="0.4">
      <c r="A1459" s="6">
        <v>2026</v>
      </c>
      <c r="B1459" s="6">
        <f t="shared" si="180"/>
        <v>15</v>
      </c>
      <c r="C1459" s="13" t="s">
        <v>20</v>
      </c>
      <c r="D1459" s="2" t="s">
        <v>6</v>
      </c>
      <c r="E1459" s="14" t="str">
        <f t="shared" si="179"/>
        <v>C/W Machine</v>
      </c>
      <c r="F1459" s="22">
        <f t="shared" si="181"/>
        <v>15</v>
      </c>
      <c r="H1459" s="5" t="str">
        <f ca="1">_xlfn.FORMULATEXT(표1[[#This Row],[Q''ty]])</f>
        <v>=F1360</v>
      </c>
    </row>
    <row r="1460" spans="1:10" ht="15" customHeight="1" thickTop="1" x14ac:dyDescent="0.4">
      <c r="A1460" s="6">
        <v>2026</v>
      </c>
      <c r="B1460" s="6">
        <f t="shared" si="180"/>
        <v>15</v>
      </c>
      <c r="C1460" s="13" t="s">
        <v>20</v>
      </c>
      <c r="D1460" s="2" t="s">
        <v>12</v>
      </c>
      <c r="E1460" s="14" t="str">
        <f t="shared" si="179"/>
        <v>BT GT</v>
      </c>
      <c r="F1460" s="22">
        <v>68</v>
      </c>
      <c r="H1460" s="5" t="e">
        <f ca="1">_xlfn.FORMULATEXT(표1[[#This Row],[Q''ty]])</f>
        <v>#N/A</v>
      </c>
      <c r="I1460" s="28">
        <v>46125</v>
      </c>
      <c r="J1460" s="28">
        <v>46125</v>
      </c>
    </row>
    <row r="1461" spans="1:10" ht="15" customHeight="1" x14ac:dyDescent="0.4">
      <c r="A1461" s="6">
        <v>2026</v>
      </c>
      <c r="B1461" s="6">
        <f t="shared" si="180"/>
        <v>15</v>
      </c>
      <c r="C1461" s="13" t="s">
        <v>20</v>
      </c>
      <c r="D1461" s="2" t="s">
        <v>12</v>
      </c>
      <c r="E1461" s="14" t="str">
        <f t="shared" si="179"/>
        <v>WT GT</v>
      </c>
      <c r="F1461" s="22">
        <v>54</v>
      </c>
      <c r="H1461" s="5" t="e">
        <f ca="1">_xlfn.FORMULATEXT(표1[[#This Row],[Q''ty]])</f>
        <v>#N/A</v>
      </c>
      <c r="I1461" s="28">
        <v>46125</v>
      </c>
      <c r="J1461" s="28">
        <v>46125</v>
      </c>
    </row>
    <row r="1462" spans="1:10" ht="15" customHeight="1" x14ac:dyDescent="0.4">
      <c r="A1462" s="6">
        <v>2026</v>
      </c>
      <c r="B1462" s="6">
        <f t="shared" si="180"/>
        <v>15</v>
      </c>
      <c r="C1462" s="13" t="s">
        <v>20</v>
      </c>
      <c r="D1462" s="2" t="s">
        <v>12</v>
      </c>
      <c r="E1462" s="14" t="str">
        <f t="shared" si="179"/>
        <v>Bending</v>
      </c>
      <c r="F1462" s="22">
        <v>557</v>
      </c>
      <c r="H1462" s="5" t="e">
        <f ca="1">_xlfn.FORMULATEXT(표1[[#This Row],[Q''ty]])</f>
        <v>#N/A</v>
      </c>
      <c r="I1462" s="28">
        <v>46125</v>
      </c>
      <c r="J1462" s="28">
        <v>46125</v>
      </c>
    </row>
    <row r="1463" spans="1:10" ht="15" customHeight="1" x14ac:dyDescent="0.4">
      <c r="A1463" s="6">
        <v>2026</v>
      </c>
      <c r="B1463" s="6">
        <f t="shared" si="180"/>
        <v>15</v>
      </c>
      <c r="C1463" s="13" t="s">
        <v>20</v>
      </c>
      <c r="D1463" s="2" t="s">
        <v>12</v>
      </c>
      <c r="E1463" s="14" t="str">
        <f t="shared" si="179"/>
        <v>L/W</v>
      </c>
      <c r="F1463" s="22">
        <v>547</v>
      </c>
      <c r="H1463" s="5" t="e">
        <f ca="1">_xlfn.FORMULATEXT(표1[[#This Row],[Q''ty]])</f>
        <v>#N/A</v>
      </c>
      <c r="I1463" s="28">
        <v>46125</v>
      </c>
      <c r="J1463" s="28">
        <v>46125</v>
      </c>
    </row>
    <row r="1464" spans="1:10" ht="15" customHeight="1" thickBot="1" x14ac:dyDescent="0.45">
      <c r="A1464" s="15">
        <v>2026</v>
      </c>
      <c r="B1464" s="15">
        <f t="shared" si="180"/>
        <v>15</v>
      </c>
      <c r="C1464" s="16" t="s">
        <v>20</v>
      </c>
      <c r="D1464" s="17" t="s">
        <v>12</v>
      </c>
      <c r="E1464" s="18" t="str">
        <f t="shared" si="179"/>
        <v>C/W</v>
      </c>
      <c r="F1464" s="23">
        <v>519</v>
      </c>
      <c r="H1464" s="5" t="e">
        <f ca="1">_xlfn.FORMULATEXT(표1[[#This Row],[Q''ty]])</f>
        <v>#N/A</v>
      </c>
      <c r="I1464" s="28">
        <v>46125</v>
      </c>
      <c r="J1464" s="28">
        <v>46125</v>
      </c>
    </row>
    <row r="1465" spans="1:10" ht="15" hidden="1" customHeight="1" thickTop="1" x14ac:dyDescent="0.4">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10" ht="15" hidden="1" customHeight="1" x14ac:dyDescent="0.4">
      <c r="A1466" s="6">
        <v>2026</v>
      </c>
      <c r="B1466" s="6">
        <f t="shared" si="180"/>
        <v>15</v>
      </c>
      <c r="C1466" s="13" t="s">
        <v>21</v>
      </c>
      <c r="D1466" s="2" t="s">
        <v>6</v>
      </c>
      <c r="E1466" s="14" t="str">
        <f t="shared" si="179"/>
        <v>Paint Booth</v>
      </c>
      <c r="F1466" s="22">
        <f t="shared" si="182"/>
        <v>4</v>
      </c>
      <c r="H1466" s="5" t="str">
        <f ca="1">_xlfn.FORMULATEXT(표1[[#This Row],[Q''ty]])</f>
        <v>=F1367</v>
      </c>
    </row>
    <row r="1467" spans="1:10" ht="15" hidden="1" customHeight="1" x14ac:dyDescent="0.4">
      <c r="A1467" s="6">
        <v>2026</v>
      </c>
      <c r="B1467" s="6">
        <f t="shared" si="180"/>
        <v>15</v>
      </c>
      <c r="C1467" s="13" t="s">
        <v>21</v>
      </c>
      <c r="D1467" s="2" t="s">
        <v>6</v>
      </c>
      <c r="E1467" s="14" t="str">
        <f t="shared" si="179"/>
        <v>Paint Line</v>
      </c>
      <c r="F1467" s="22">
        <f t="shared" si="182"/>
        <v>4</v>
      </c>
      <c r="H1467" s="5" t="str">
        <f ca="1">_xlfn.FORMULATEXT(표1[[#This Row],[Q''ty]])</f>
        <v>=F1368</v>
      </c>
    </row>
    <row r="1468" spans="1:10" ht="15" hidden="1" customHeight="1" x14ac:dyDescent="0.4">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10" ht="15" hidden="1" customHeight="1" x14ac:dyDescent="0.4">
      <c r="A1469" s="6">
        <v>2026</v>
      </c>
      <c r="B1469" s="6">
        <f t="shared" si="180"/>
        <v>15</v>
      </c>
      <c r="C1469" s="13" t="s">
        <v>21</v>
      </c>
      <c r="D1469" s="2" t="s">
        <v>6</v>
      </c>
      <c r="E1469" s="14" t="str">
        <f t="shared" si="179"/>
        <v>L/W Machine</v>
      </c>
      <c r="F1469" s="22">
        <f t="shared" si="182"/>
        <v>4</v>
      </c>
      <c r="H1469" s="5" t="str">
        <f ca="1">_xlfn.FORMULATEXT(표1[[#This Row],[Q''ty]])</f>
        <v>=F1370</v>
      </c>
    </row>
    <row r="1470" spans="1:10" ht="15" hidden="1" customHeight="1" x14ac:dyDescent="0.4">
      <c r="A1470" s="6">
        <v>2026</v>
      </c>
      <c r="B1470" s="6">
        <f t="shared" si="180"/>
        <v>15</v>
      </c>
      <c r="C1470" s="13" t="s">
        <v>21</v>
      </c>
      <c r="D1470" s="2" t="s">
        <v>6</v>
      </c>
      <c r="E1470" s="14" t="str">
        <f t="shared" si="179"/>
        <v>C/W Machine</v>
      </c>
      <c r="F1470" s="22">
        <f t="shared" si="182"/>
        <v>6.5</v>
      </c>
      <c r="H1470" s="5" t="str">
        <f ca="1">_xlfn.FORMULATEXT(표1[[#This Row],[Q''ty]])</f>
        <v>=F1371</v>
      </c>
    </row>
    <row r="1471" spans="1:10" ht="15" customHeight="1" thickTop="1" x14ac:dyDescent="0.4">
      <c r="A1471" s="6">
        <v>2026</v>
      </c>
      <c r="B1471" s="6">
        <f t="shared" si="180"/>
        <v>15</v>
      </c>
      <c r="C1471" s="13" t="s">
        <v>21</v>
      </c>
      <c r="D1471" s="2" t="s">
        <v>12</v>
      </c>
      <c r="E1471" s="14" t="str">
        <f t="shared" si="179"/>
        <v>BT GT</v>
      </c>
      <c r="F1471" s="22">
        <v>10</v>
      </c>
      <c r="H1471" s="5" t="e">
        <f ca="1">_xlfn.FORMULATEXT(표1[[#This Row],[Q''ty]])</f>
        <v>#N/A</v>
      </c>
      <c r="I1471" s="28">
        <v>46125</v>
      </c>
      <c r="J1471" s="28">
        <v>46121</v>
      </c>
    </row>
    <row r="1472" spans="1:10" ht="15" customHeight="1" x14ac:dyDescent="0.4">
      <c r="A1472" s="6">
        <v>2026</v>
      </c>
      <c r="B1472" s="6">
        <f t="shared" si="180"/>
        <v>15</v>
      </c>
      <c r="C1472" s="13" t="s">
        <v>21</v>
      </c>
      <c r="D1472" s="2" t="s">
        <v>12</v>
      </c>
      <c r="E1472" s="14" t="str">
        <f t="shared" si="179"/>
        <v>WT GT</v>
      </c>
      <c r="F1472" s="22">
        <v>7</v>
      </c>
      <c r="H1472" s="5" t="e">
        <f ca="1">_xlfn.FORMULATEXT(표1[[#This Row],[Q''ty]])</f>
        <v>#N/A</v>
      </c>
      <c r="I1472" s="28">
        <v>46125</v>
      </c>
      <c r="J1472" s="28">
        <v>46121</v>
      </c>
    </row>
    <row r="1473" spans="1:10" ht="15" customHeight="1" x14ac:dyDescent="0.4">
      <c r="A1473" s="6">
        <v>2026</v>
      </c>
      <c r="B1473" s="6">
        <f t="shared" si="180"/>
        <v>15</v>
      </c>
      <c r="C1473" s="13" t="s">
        <v>21</v>
      </c>
      <c r="D1473" s="2" t="s">
        <v>12</v>
      </c>
      <c r="E1473" s="14" t="str">
        <f t="shared" si="179"/>
        <v>Bending</v>
      </c>
      <c r="F1473" s="22">
        <v>64</v>
      </c>
      <c r="H1473" s="5" t="e">
        <f ca="1">_xlfn.FORMULATEXT(표1[[#This Row],[Q''ty]])</f>
        <v>#N/A</v>
      </c>
      <c r="I1473" s="28">
        <v>46125</v>
      </c>
      <c r="J1473" s="28">
        <v>46121</v>
      </c>
    </row>
    <row r="1474" spans="1:10" ht="15" customHeight="1" x14ac:dyDescent="0.4">
      <c r="A1474" s="6">
        <v>2026</v>
      </c>
      <c r="B1474" s="6">
        <f t="shared" si="180"/>
        <v>15</v>
      </c>
      <c r="C1474" s="13" t="s">
        <v>21</v>
      </c>
      <c r="D1474" s="2" t="s">
        <v>12</v>
      </c>
      <c r="E1474" s="14" t="str">
        <f t="shared" si="179"/>
        <v>L/W</v>
      </c>
      <c r="F1474" s="22">
        <v>62</v>
      </c>
      <c r="H1474" s="5" t="e">
        <f ca="1">_xlfn.FORMULATEXT(표1[[#This Row],[Q''ty]])</f>
        <v>#N/A</v>
      </c>
      <c r="I1474" s="28">
        <v>46125</v>
      </c>
      <c r="J1474" s="28">
        <v>46121</v>
      </c>
    </row>
    <row r="1475" spans="1:10" ht="15" customHeight="1" thickBot="1" x14ac:dyDescent="0.45">
      <c r="A1475" s="15">
        <v>2026</v>
      </c>
      <c r="B1475" s="15">
        <f t="shared" si="180"/>
        <v>15</v>
      </c>
      <c r="C1475" s="16" t="s">
        <v>21</v>
      </c>
      <c r="D1475" s="17" t="s">
        <v>12</v>
      </c>
      <c r="E1475" s="18" t="str">
        <f t="shared" si="179"/>
        <v>C/W</v>
      </c>
      <c r="F1475" s="23">
        <v>71</v>
      </c>
      <c r="H1475" s="5" t="e">
        <f ca="1">_xlfn.FORMULATEXT(표1[[#This Row],[Q''ty]])</f>
        <v>#N/A</v>
      </c>
      <c r="I1475" s="28">
        <v>46125</v>
      </c>
      <c r="J1475" s="28">
        <v>46121</v>
      </c>
    </row>
    <row r="1476" spans="1:10" ht="15" hidden="1" customHeight="1" thickTop="1" x14ac:dyDescent="0.4">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10" ht="15" hidden="1" customHeight="1" x14ac:dyDescent="0.4">
      <c r="A1477" s="6">
        <v>2026</v>
      </c>
      <c r="B1477" s="6">
        <f t="shared" si="180"/>
        <v>15</v>
      </c>
      <c r="C1477" s="13" t="s">
        <v>22</v>
      </c>
      <c r="D1477" s="2" t="s">
        <v>6</v>
      </c>
      <c r="E1477" s="14" t="str">
        <f t="shared" si="179"/>
        <v>Paint Booth</v>
      </c>
      <c r="F1477" s="22">
        <f t="shared" si="183"/>
        <v>6</v>
      </c>
      <c r="H1477" s="5" t="str">
        <f ca="1">_xlfn.FORMULATEXT(표1[[#This Row],[Q''ty]])</f>
        <v>=F1378</v>
      </c>
    </row>
    <row r="1478" spans="1:10" ht="15" hidden="1" customHeight="1" x14ac:dyDescent="0.4">
      <c r="A1478" s="6">
        <v>2026</v>
      </c>
      <c r="B1478" s="6">
        <f t="shared" si="180"/>
        <v>15</v>
      </c>
      <c r="C1478" s="13" t="s">
        <v>22</v>
      </c>
      <c r="D1478" s="2" t="s">
        <v>6</v>
      </c>
      <c r="E1478" s="14" t="str">
        <f t="shared" si="179"/>
        <v>Paint Line</v>
      </c>
      <c r="F1478" s="22">
        <f t="shared" si="183"/>
        <v>4</v>
      </c>
      <c r="H1478" s="5" t="str">
        <f ca="1">_xlfn.FORMULATEXT(표1[[#This Row],[Q''ty]])</f>
        <v>=F1379</v>
      </c>
    </row>
    <row r="1479" spans="1:10" ht="15" hidden="1" customHeight="1" x14ac:dyDescent="0.4">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10" ht="15" hidden="1" customHeight="1" x14ac:dyDescent="0.4">
      <c r="A1480" s="6">
        <v>2026</v>
      </c>
      <c r="B1480" s="6">
        <f t="shared" si="180"/>
        <v>15</v>
      </c>
      <c r="C1480" s="13" t="s">
        <v>22</v>
      </c>
      <c r="D1480" s="2" t="s">
        <v>6</v>
      </c>
      <c r="E1480" s="14" t="str">
        <f t="shared" si="179"/>
        <v>L/W Machine</v>
      </c>
      <c r="F1480" s="22">
        <f t="shared" si="183"/>
        <v>7</v>
      </c>
      <c r="H1480" s="5" t="str">
        <f ca="1">_xlfn.FORMULATEXT(표1[[#This Row],[Q''ty]])</f>
        <v>=F1381</v>
      </c>
    </row>
    <row r="1481" spans="1:10" ht="15" hidden="1" customHeight="1" x14ac:dyDescent="0.4">
      <c r="A1481" s="6">
        <v>2026</v>
      </c>
      <c r="B1481" s="6">
        <f t="shared" si="180"/>
        <v>15</v>
      </c>
      <c r="C1481" s="13" t="s">
        <v>22</v>
      </c>
      <c r="D1481" s="2" t="s">
        <v>6</v>
      </c>
      <c r="E1481" s="14" t="str">
        <f t="shared" si="179"/>
        <v>C/W Machine</v>
      </c>
      <c r="F1481" s="22">
        <f t="shared" si="183"/>
        <v>12.5</v>
      </c>
      <c r="H1481" s="5" t="str">
        <f ca="1">_xlfn.FORMULATEXT(표1[[#This Row],[Q''ty]])</f>
        <v>=F1382</v>
      </c>
    </row>
    <row r="1482" spans="1:10" ht="15" customHeight="1" thickTop="1" x14ac:dyDescent="0.4">
      <c r="A1482" s="6">
        <v>2026</v>
      </c>
      <c r="B1482" s="6">
        <f t="shared" si="180"/>
        <v>15</v>
      </c>
      <c r="C1482" s="13" t="s">
        <v>22</v>
      </c>
      <c r="D1482" s="2" t="s">
        <v>12</v>
      </c>
      <c r="E1482" s="14" t="str">
        <f t="shared" si="179"/>
        <v>BT GT</v>
      </c>
      <c r="F1482" s="22">
        <v>3</v>
      </c>
      <c r="H1482" s="5" t="e">
        <f ca="1">_xlfn.FORMULATEXT(표1[[#This Row],[Q''ty]])</f>
        <v>#N/A</v>
      </c>
      <c r="I1482" s="28">
        <v>46125</v>
      </c>
      <c r="J1482" s="28">
        <v>46122</v>
      </c>
    </row>
    <row r="1483" spans="1:10" ht="15" customHeight="1" x14ac:dyDescent="0.4">
      <c r="A1483" s="6">
        <v>2026</v>
      </c>
      <c r="B1483" s="6">
        <f t="shared" si="180"/>
        <v>15</v>
      </c>
      <c r="C1483" s="13" t="s">
        <v>22</v>
      </c>
      <c r="D1483" s="2" t="s">
        <v>12</v>
      </c>
      <c r="E1483" s="14" t="str">
        <f t="shared" si="179"/>
        <v>WT GT</v>
      </c>
      <c r="F1483" s="22">
        <v>4</v>
      </c>
      <c r="H1483" s="5" t="e">
        <f ca="1">_xlfn.FORMULATEXT(표1[[#This Row],[Q''ty]])</f>
        <v>#N/A</v>
      </c>
      <c r="I1483" s="28">
        <v>46125</v>
      </c>
      <c r="J1483" s="28">
        <v>46122</v>
      </c>
    </row>
    <row r="1484" spans="1:10" ht="15" customHeight="1" x14ac:dyDescent="0.4">
      <c r="A1484" s="6">
        <v>2026</v>
      </c>
      <c r="B1484" s="6">
        <f t="shared" si="180"/>
        <v>15</v>
      </c>
      <c r="C1484" s="13" t="s">
        <v>22</v>
      </c>
      <c r="D1484" s="2" t="s">
        <v>12</v>
      </c>
      <c r="E1484" s="14" t="str">
        <f t="shared" si="179"/>
        <v>Bending</v>
      </c>
      <c r="F1484" s="22">
        <f>34+22</f>
        <v>56</v>
      </c>
      <c r="H1484" s="5" t="str">
        <f ca="1">_xlfn.FORMULATEXT(표1[[#This Row],[Q''ty]])</f>
        <v>=34+22</v>
      </c>
      <c r="I1484" s="28">
        <v>46125</v>
      </c>
      <c r="J1484" s="28">
        <v>46122</v>
      </c>
    </row>
    <row r="1485" spans="1:10" ht="15" customHeight="1" x14ac:dyDescent="0.4">
      <c r="A1485" s="6">
        <v>2026</v>
      </c>
      <c r="B1485" s="6">
        <f t="shared" si="180"/>
        <v>15</v>
      </c>
      <c r="C1485" s="13" t="s">
        <v>22</v>
      </c>
      <c r="D1485" s="2" t="s">
        <v>12</v>
      </c>
      <c r="E1485" s="14" t="str">
        <f t="shared" si="179"/>
        <v>L/W</v>
      </c>
      <c r="F1485" s="22">
        <f>22+37</f>
        <v>59</v>
      </c>
      <c r="H1485" s="5" t="str">
        <f ca="1">_xlfn.FORMULATEXT(표1[[#This Row],[Q''ty]])</f>
        <v>=22+37</v>
      </c>
      <c r="I1485" s="28">
        <v>46125</v>
      </c>
      <c r="J1485" s="28">
        <v>46122</v>
      </c>
    </row>
    <row r="1486" spans="1:10" ht="15" customHeight="1" x14ac:dyDescent="0.4">
      <c r="A1486" s="6">
        <v>2026</v>
      </c>
      <c r="B1486" s="6">
        <f t="shared" si="180"/>
        <v>15</v>
      </c>
      <c r="C1486" s="13" t="s">
        <v>22</v>
      </c>
      <c r="D1486" s="2" t="s">
        <v>12</v>
      </c>
      <c r="E1486" s="14" t="str">
        <f t="shared" si="179"/>
        <v>C/W</v>
      </c>
      <c r="F1486" s="22">
        <f>15+37</f>
        <v>52</v>
      </c>
      <c r="H1486" s="5" t="str">
        <f ca="1">_xlfn.FORMULATEXT(표1[[#This Row],[Q''ty]])</f>
        <v>=15+37</v>
      </c>
      <c r="I1486" s="28">
        <v>46125</v>
      </c>
      <c r="J1486" s="28">
        <v>46122</v>
      </c>
    </row>
    <row r="1487" spans="1:10" ht="15" hidden="1" customHeight="1" thickTop="1" x14ac:dyDescent="0.4">
      <c r="A1487" s="9">
        <v>2026</v>
      </c>
      <c r="B1487" s="9">
        <f>B1388+1</f>
        <v>16</v>
      </c>
      <c r="C1487" s="10" t="s">
        <v>28</v>
      </c>
      <c r="D1487" s="11" t="s">
        <v>6</v>
      </c>
      <c r="E1487" s="12" t="s">
        <v>7</v>
      </c>
      <c r="F1487" s="21">
        <f t="shared" ref="F1487:F1492" si="184">F1388</f>
        <v>15</v>
      </c>
      <c r="H1487" s="5" t="str">
        <f ca="1">_xlfn.FORMULATEXT(표1[[#This Row],[Q''ty]])</f>
        <v>=F1388</v>
      </c>
    </row>
    <row r="1488" spans="1:10" s="2" customFormat="1" ht="15" hidden="1" customHeight="1" x14ac:dyDescent="0.4">
      <c r="A1488" s="6">
        <v>2026</v>
      </c>
      <c r="B1488" s="6">
        <f t="shared" ref="B1488:B1551" si="185">B1389+1</f>
        <v>16</v>
      </c>
      <c r="C1488" s="13" t="s">
        <v>23</v>
      </c>
      <c r="D1488" s="2" t="s">
        <v>6</v>
      </c>
      <c r="E1488" s="14" t="s">
        <v>8</v>
      </c>
      <c r="F1488" s="22">
        <f t="shared" si="184"/>
        <v>10</v>
      </c>
      <c r="H1488" s="5" t="str">
        <f ca="1">_xlfn.FORMULATEXT(표1[[#This Row],[Q''ty]])</f>
        <v>=F1389</v>
      </c>
      <c r="I1488" s="26"/>
      <c r="J1488" s="26"/>
    </row>
    <row r="1489" spans="1:10" s="2" customFormat="1" ht="15" hidden="1" customHeight="1" x14ac:dyDescent="0.4">
      <c r="A1489" s="6">
        <v>2026</v>
      </c>
      <c r="B1489" s="6">
        <f t="shared" si="185"/>
        <v>16</v>
      </c>
      <c r="C1489" s="13" t="s">
        <v>23</v>
      </c>
      <c r="D1489" s="2" t="s">
        <v>6</v>
      </c>
      <c r="E1489" s="14" t="s">
        <v>9</v>
      </c>
      <c r="F1489" s="22">
        <f t="shared" si="184"/>
        <v>5</v>
      </c>
      <c r="H1489" s="5" t="str">
        <f ca="1">_xlfn.FORMULATEXT(표1[[#This Row],[Q''ty]])</f>
        <v>=F1390</v>
      </c>
      <c r="I1489" s="26"/>
      <c r="J1489" s="26"/>
    </row>
    <row r="1490" spans="1:10" ht="15" hidden="1" customHeight="1" x14ac:dyDescent="0.4">
      <c r="A1490" s="6">
        <v>2026</v>
      </c>
      <c r="B1490" s="6">
        <f t="shared" si="185"/>
        <v>16</v>
      </c>
      <c r="C1490" s="13" t="s">
        <v>23</v>
      </c>
      <c r="D1490" s="2" t="s">
        <v>6</v>
      </c>
      <c r="E1490" s="14" t="s">
        <v>27</v>
      </c>
      <c r="F1490" s="22">
        <f t="shared" si="184"/>
        <v>6</v>
      </c>
      <c r="H1490" s="5" t="str">
        <f ca="1">_xlfn.FORMULATEXT(표1[[#This Row],[Q''ty]])</f>
        <v>=F1391</v>
      </c>
    </row>
    <row r="1491" spans="1:10" ht="15" hidden="1" customHeight="1" x14ac:dyDescent="0.4">
      <c r="A1491" s="6">
        <v>2026</v>
      </c>
      <c r="B1491" s="6">
        <f t="shared" si="185"/>
        <v>16</v>
      </c>
      <c r="C1491" s="13" t="s">
        <v>23</v>
      </c>
      <c r="D1491" s="2" t="s">
        <v>6</v>
      </c>
      <c r="E1491" s="14" t="s">
        <v>10</v>
      </c>
      <c r="F1491" s="22">
        <f t="shared" si="184"/>
        <v>10</v>
      </c>
      <c r="H1491" s="5" t="str">
        <f ca="1">_xlfn.FORMULATEXT(표1[[#This Row],[Q''ty]])</f>
        <v>=F1392</v>
      </c>
    </row>
    <row r="1492" spans="1:10" ht="15" hidden="1" customHeight="1" x14ac:dyDescent="0.4">
      <c r="A1492" s="6">
        <v>2026</v>
      </c>
      <c r="B1492" s="6">
        <f t="shared" si="185"/>
        <v>16</v>
      </c>
      <c r="C1492" s="13" t="s">
        <v>23</v>
      </c>
      <c r="D1492" s="2" t="s">
        <v>6</v>
      </c>
      <c r="E1492" s="14" t="s">
        <v>11</v>
      </c>
      <c r="F1492" s="22">
        <f t="shared" si="184"/>
        <v>10</v>
      </c>
      <c r="H1492" s="5" t="str">
        <f ca="1">_xlfn.FORMULATEXT(표1[[#This Row],[Q''ty]])</f>
        <v>=F1393</v>
      </c>
    </row>
    <row r="1493" spans="1:10" ht="15" customHeight="1" x14ac:dyDescent="0.4">
      <c r="A1493" s="6">
        <v>2026</v>
      </c>
      <c r="B1493" s="6">
        <f t="shared" si="185"/>
        <v>16</v>
      </c>
      <c r="C1493" s="13" t="s">
        <v>23</v>
      </c>
      <c r="D1493" s="2" t="s">
        <v>12</v>
      </c>
      <c r="E1493" s="14" t="s">
        <v>13</v>
      </c>
      <c r="F1493" s="22">
        <v>15</v>
      </c>
      <c r="H1493" s="5" t="e">
        <f ca="1">_xlfn.FORMULATEXT(표1[[#This Row],[Q''ty]])</f>
        <v>#N/A</v>
      </c>
      <c r="I1493" s="28">
        <v>46132</v>
      </c>
      <c r="J1493" s="28">
        <v>46132</v>
      </c>
    </row>
    <row r="1494" spans="1:10" s="2" customFormat="1" ht="15" customHeight="1" x14ac:dyDescent="0.4">
      <c r="A1494" s="6">
        <v>2026</v>
      </c>
      <c r="B1494" s="6">
        <f t="shared" si="185"/>
        <v>16</v>
      </c>
      <c r="C1494" s="13" t="s">
        <v>23</v>
      </c>
      <c r="D1494" s="2" t="s">
        <v>12</v>
      </c>
      <c r="E1494" s="14" t="s">
        <v>14</v>
      </c>
      <c r="F1494" s="22">
        <v>12</v>
      </c>
      <c r="H1494" s="5" t="e">
        <f ca="1">_xlfn.FORMULATEXT(표1[[#This Row],[Q''ty]])</f>
        <v>#N/A</v>
      </c>
      <c r="I1494" s="28">
        <v>46132</v>
      </c>
      <c r="J1494" s="28">
        <v>46132</v>
      </c>
    </row>
    <row r="1495" spans="1:10" ht="15" customHeight="1" x14ac:dyDescent="0.4">
      <c r="A1495" s="6">
        <v>2026</v>
      </c>
      <c r="B1495" s="6">
        <f t="shared" si="185"/>
        <v>16</v>
      </c>
      <c r="C1495" s="13" t="s">
        <v>23</v>
      </c>
      <c r="D1495" s="2" t="s">
        <v>12</v>
      </c>
      <c r="E1495" s="14" t="s">
        <v>15</v>
      </c>
      <c r="F1495" s="22">
        <v>223</v>
      </c>
      <c r="H1495" s="5" t="e">
        <f ca="1">_xlfn.FORMULATEXT(표1[[#This Row],[Q''ty]])</f>
        <v>#N/A</v>
      </c>
      <c r="I1495" s="28">
        <v>46132</v>
      </c>
      <c r="J1495" s="28">
        <v>46132</v>
      </c>
    </row>
    <row r="1496" spans="1:10" ht="15" customHeight="1" x14ac:dyDescent="0.4">
      <c r="A1496" s="6">
        <v>2026</v>
      </c>
      <c r="B1496" s="6">
        <f t="shared" si="185"/>
        <v>16</v>
      </c>
      <c r="C1496" s="13" t="s">
        <v>23</v>
      </c>
      <c r="D1496" s="2" t="s">
        <v>12</v>
      </c>
      <c r="E1496" s="14" t="s">
        <v>16</v>
      </c>
      <c r="F1496" s="22">
        <v>227</v>
      </c>
      <c r="H1496" s="5" t="e">
        <f ca="1">_xlfn.FORMULATEXT(표1[[#This Row],[Q''ty]])</f>
        <v>#N/A</v>
      </c>
      <c r="I1496" s="28">
        <v>46132</v>
      </c>
      <c r="J1496" s="28">
        <v>46132</v>
      </c>
    </row>
    <row r="1497" spans="1:10" ht="15" customHeight="1" thickBot="1" x14ac:dyDescent="0.45">
      <c r="A1497" s="15">
        <v>2026</v>
      </c>
      <c r="B1497" s="15">
        <f t="shared" si="185"/>
        <v>16</v>
      </c>
      <c r="C1497" s="16" t="s">
        <v>23</v>
      </c>
      <c r="D1497" s="17" t="s">
        <v>12</v>
      </c>
      <c r="E1497" s="18" t="s">
        <v>17</v>
      </c>
      <c r="F1497" s="23">
        <v>216</v>
      </c>
      <c r="H1497" s="5" t="e">
        <f ca="1">_xlfn.FORMULATEXT(표1[[#This Row],[Q''ty]])</f>
        <v>#N/A</v>
      </c>
      <c r="I1497" s="28">
        <v>46132</v>
      </c>
      <c r="J1497" s="28">
        <v>46132</v>
      </c>
    </row>
    <row r="1498" spans="1:10" ht="15" hidden="1" customHeight="1" thickTop="1" x14ac:dyDescent="0.4">
      <c r="A1498" s="9">
        <v>2026</v>
      </c>
      <c r="B1498" s="9">
        <f t="shared" si="185"/>
        <v>16</v>
      </c>
      <c r="C1498" s="10" t="s">
        <v>29</v>
      </c>
      <c r="D1498" s="11" t="s">
        <v>6</v>
      </c>
      <c r="E1498" s="12" t="s">
        <v>7</v>
      </c>
      <c r="F1498" s="21">
        <f t="shared" ref="F1498:F1503" si="186">F1399</f>
        <v>14</v>
      </c>
      <c r="H1498" s="5" t="str">
        <f ca="1">_xlfn.FORMULATEXT(표1[[#This Row],[Q''ty]])</f>
        <v>=F1399</v>
      </c>
    </row>
    <row r="1499" spans="1:10" s="2" customFormat="1" ht="15" hidden="1" customHeight="1" x14ac:dyDescent="0.4">
      <c r="A1499" s="6">
        <v>2026</v>
      </c>
      <c r="B1499" s="6">
        <f t="shared" si="185"/>
        <v>16</v>
      </c>
      <c r="C1499" s="13" t="s">
        <v>24</v>
      </c>
      <c r="D1499" s="2" t="s">
        <v>6</v>
      </c>
      <c r="E1499" s="14" t="s">
        <v>8</v>
      </c>
      <c r="F1499" s="22">
        <f t="shared" si="186"/>
        <v>8</v>
      </c>
      <c r="H1499" s="5" t="str">
        <f ca="1">_xlfn.FORMULATEXT(표1[[#This Row],[Q''ty]])</f>
        <v>=F1400</v>
      </c>
      <c r="I1499" s="26"/>
      <c r="J1499" s="26"/>
    </row>
    <row r="1500" spans="1:10" s="2" customFormat="1" ht="15" hidden="1" customHeight="1" x14ac:dyDescent="0.4">
      <c r="A1500" s="6">
        <v>2026</v>
      </c>
      <c r="B1500" s="6">
        <f t="shared" si="185"/>
        <v>16</v>
      </c>
      <c r="C1500" s="13" t="s">
        <v>24</v>
      </c>
      <c r="D1500" s="2" t="s">
        <v>6</v>
      </c>
      <c r="E1500" s="14" t="s">
        <v>9</v>
      </c>
      <c r="F1500" s="22">
        <f t="shared" si="186"/>
        <v>4</v>
      </c>
      <c r="H1500" s="5" t="str">
        <f ca="1">_xlfn.FORMULATEXT(표1[[#This Row],[Q''ty]])</f>
        <v>=F1401</v>
      </c>
      <c r="I1500" s="26"/>
      <c r="J1500" s="26"/>
    </row>
    <row r="1501" spans="1:10" ht="15" hidden="1" customHeight="1" x14ac:dyDescent="0.4">
      <c r="A1501" s="6">
        <v>2026</v>
      </c>
      <c r="B1501" s="6">
        <f t="shared" si="185"/>
        <v>16</v>
      </c>
      <c r="C1501" s="13" t="s">
        <v>24</v>
      </c>
      <c r="D1501" s="2" t="s">
        <v>6</v>
      </c>
      <c r="E1501" s="14" t="s">
        <v>27</v>
      </c>
      <c r="F1501" s="22">
        <f t="shared" si="186"/>
        <v>3</v>
      </c>
      <c r="H1501" s="5" t="str">
        <f ca="1">_xlfn.FORMULATEXT(표1[[#This Row],[Q''ty]])</f>
        <v>=F1402</v>
      </c>
    </row>
    <row r="1502" spans="1:10" ht="15" hidden="1" customHeight="1" x14ac:dyDescent="0.4">
      <c r="A1502" s="6">
        <v>2026</v>
      </c>
      <c r="B1502" s="6">
        <f t="shared" si="185"/>
        <v>16</v>
      </c>
      <c r="C1502" s="13" t="s">
        <v>24</v>
      </c>
      <c r="D1502" s="2" t="s">
        <v>6</v>
      </c>
      <c r="E1502" s="14" t="s">
        <v>10</v>
      </c>
      <c r="F1502" s="22">
        <f t="shared" si="186"/>
        <v>6</v>
      </c>
      <c r="H1502" s="5" t="str">
        <f ca="1">_xlfn.FORMULATEXT(표1[[#This Row],[Q''ty]])</f>
        <v>=F1403</v>
      </c>
    </row>
    <row r="1503" spans="1:10" ht="15" hidden="1" customHeight="1" x14ac:dyDescent="0.4">
      <c r="A1503" s="6">
        <v>2026</v>
      </c>
      <c r="B1503" s="6">
        <f t="shared" si="185"/>
        <v>16</v>
      </c>
      <c r="C1503" s="13" t="s">
        <v>24</v>
      </c>
      <c r="D1503" s="2" t="s">
        <v>6</v>
      </c>
      <c r="E1503" s="14" t="s">
        <v>11</v>
      </c>
      <c r="F1503" s="22">
        <f t="shared" si="186"/>
        <v>8.8000000000000007</v>
      </c>
      <c r="H1503" s="5" t="str">
        <f ca="1">_xlfn.FORMULATEXT(표1[[#This Row],[Q''ty]])</f>
        <v>=F1404</v>
      </c>
    </row>
    <row r="1504" spans="1:10" ht="15" customHeight="1" thickTop="1" x14ac:dyDescent="0.4">
      <c r="A1504" s="6">
        <v>2026</v>
      </c>
      <c r="B1504" s="6">
        <f t="shared" si="185"/>
        <v>16</v>
      </c>
      <c r="C1504" s="13" t="s">
        <v>24</v>
      </c>
      <c r="D1504" s="2" t="s">
        <v>12</v>
      </c>
      <c r="E1504" s="14" t="s">
        <v>13</v>
      </c>
      <c r="F1504" s="22">
        <v>14</v>
      </c>
      <c r="H1504" s="5" t="e">
        <f ca="1">_xlfn.FORMULATEXT(표1[[#This Row],[Q''ty]])</f>
        <v>#N/A</v>
      </c>
      <c r="I1504" s="28">
        <v>46132</v>
      </c>
      <c r="J1504" s="28">
        <v>46132</v>
      </c>
    </row>
    <row r="1505" spans="1:10" s="2" customFormat="1" ht="15" customHeight="1" x14ac:dyDescent="0.4">
      <c r="A1505" s="6">
        <v>2026</v>
      </c>
      <c r="B1505" s="6">
        <f t="shared" si="185"/>
        <v>16</v>
      </c>
      <c r="C1505" s="13" t="s">
        <v>24</v>
      </c>
      <c r="D1505" s="2" t="s">
        <v>12</v>
      </c>
      <c r="E1505" s="14" t="s">
        <v>14</v>
      </c>
      <c r="F1505" s="22">
        <v>13</v>
      </c>
      <c r="H1505" s="5" t="e">
        <f ca="1">_xlfn.FORMULATEXT(표1[[#This Row],[Q''ty]])</f>
        <v>#N/A</v>
      </c>
      <c r="I1505" s="28">
        <v>46132</v>
      </c>
      <c r="J1505" s="28">
        <v>46132</v>
      </c>
    </row>
    <row r="1506" spans="1:10" ht="15" customHeight="1" x14ac:dyDescent="0.4">
      <c r="A1506" s="6">
        <v>2026</v>
      </c>
      <c r="B1506" s="6">
        <f t="shared" si="185"/>
        <v>16</v>
      </c>
      <c r="C1506" s="13" t="s">
        <v>24</v>
      </c>
      <c r="D1506" s="2" t="s">
        <v>12</v>
      </c>
      <c r="E1506" s="14" t="s">
        <v>15</v>
      </c>
      <c r="F1506" s="22">
        <v>155</v>
      </c>
      <c r="H1506" s="5" t="e">
        <f ca="1">_xlfn.FORMULATEXT(표1[[#This Row],[Q''ty]])</f>
        <v>#N/A</v>
      </c>
      <c r="I1506" s="28">
        <v>46132</v>
      </c>
      <c r="J1506" s="28">
        <v>46132</v>
      </c>
    </row>
    <row r="1507" spans="1:10" ht="15" customHeight="1" x14ac:dyDescent="0.4">
      <c r="A1507" s="6">
        <v>2026</v>
      </c>
      <c r="B1507" s="6">
        <f t="shared" si="185"/>
        <v>16</v>
      </c>
      <c r="C1507" s="13" t="s">
        <v>24</v>
      </c>
      <c r="D1507" s="2" t="s">
        <v>12</v>
      </c>
      <c r="E1507" s="14" t="s">
        <v>16</v>
      </c>
      <c r="F1507" s="22">
        <v>157</v>
      </c>
      <c r="H1507" s="5" t="e">
        <f ca="1">_xlfn.FORMULATEXT(표1[[#This Row],[Q''ty]])</f>
        <v>#N/A</v>
      </c>
      <c r="I1507" s="28">
        <v>46132</v>
      </c>
      <c r="J1507" s="28">
        <v>46132</v>
      </c>
    </row>
    <row r="1508" spans="1:10" ht="15" customHeight="1" thickBot="1" x14ac:dyDescent="0.45">
      <c r="A1508" s="15">
        <v>2026</v>
      </c>
      <c r="B1508" s="15">
        <f t="shared" si="185"/>
        <v>16</v>
      </c>
      <c r="C1508" s="16" t="s">
        <v>24</v>
      </c>
      <c r="D1508" s="17" t="s">
        <v>12</v>
      </c>
      <c r="E1508" s="18" t="s">
        <v>17</v>
      </c>
      <c r="F1508" s="23">
        <v>152</v>
      </c>
      <c r="H1508" s="5" t="e">
        <f ca="1">_xlfn.FORMULATEXT(표1[[#This Row],[Q''ty]])</f>
        <v>#N/A</v>
      </c>
      <c r="I1508" s="28">
        <v>46132</v>
      </c>
      <c r="J1508" s="28">
        <v>46132</v>
      </c>
    </row>
    <row r="1509" spans="1:10" ht="15" hidden="1" customHeight="1" thickTop="1" x14ac:dyDescent="0.4">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10" ht="15" hidden="1" customHeight="1" x14ac:dyDescent="0.4">
      <c r="A1510" s="6">
        <v>2026</v>
      </c>
      <c r="B1510" s="6">
        <f t="shared" si="185"/>
        <v>16</v>
      </c>
      <c r="C1510" s="13" t="s">
        <v>18</v>
      </c>
      <c r="D1510" s="2" t="s">
        <v>6</v>
      </c>
      <c r="E1510" s="14" t="str">
        <f t="shared" si="187"/>
        <v>Paint Booth</v>
      </c>
      <c r="F1510" s="22">
        <f t="shared" si="187"/>
        <v>3</v>
      </c>
      <c r="H1510" s="5" t="str">
        <f ca="1">_xlfn.FORMULATEXT(표1[[#This Row],[Q''ty]])</f>
        <v>=F1411</v>
      </c>
    </row>
    <row r="1511" spans="1:10" ht="15" hidden="1" customHeight="1" x14ac:dyDescent="0.4">
      <c r="A1511" s="6">
        <v>2026</v>
      </c>
      <c r="B1511" s="6">
        <f t="shared" si="185"/>
        <v>16</v>
      </c>
      <c r="C1511" s="13" t="s">
        <v>18</v>
      </c>
      <c r="D1511" s="2" t="s">
        <v>6</v>
      </c>
      <c r="E1511" s="14" t="str">
        <f t="shared" si="187"/>
        <v>Paint Line</v>
      </c>
      <c r="F1511" s="22">
        <f t="shared" si="187"/>
        <v>2</v>
      </c>
      <c r="H1511" s="5" t="str">
        <f ca="1">_xlfn.FORMULATEXT(표1[[#This Row],[Q''ty]])</f>
        <v>=F1412</v>
      </c>
    </row>
    <row r="1512" spans="1:10" ht="15" hidden="1" customHeight="1" x14ac:dyDescent="0.4">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10" ht="15" hidden="1" customHeight="1" x14ac:dyDescent="0.4">
      <c r="A1513" s="6">
        <v>2026</v>
      </c>
      <c r="B1513" s="6">
        <f t="shared" si="185"/>
        <v>16</v>
      </c>
      <c r="C1513" s="13" t="s">
        <v>18</v>
      </c>
      <c r="D1513" s="2" t="s">
        <v>6</v>
      </c>
      <c r="E1513" s="14" t="str">
        <f t="shared" si="187"/>
        <v>L/W Machine</v>
      </c>
      <c r="F1513" s="22">
        <f t="shared" si="187"/>
        <v>2</v>
      </c>
      <c r="H1513" s="5" t="str">
        <f ca="1">_xlfn.FORMULATEXT(표1[[#This Row],[Q''ty]])</f>
        <v>=F1414</v>
      </c>
    </row>
    <row r="1514" spans="1:10" ht="15" hidden="1" customHeight="1" x14ac:dyDescent="0.4">
      <c r="A1514" s="6">
        <v>2026</v>
      </c>
      <c r="B1514" s="6">
        <f t="shared" si="185"/>
        <v>16</v>
      </c>
      <c r="C1514" s="13" t="s">
        <v>18</v>
      </c>
      <c r="D1514" s="2" t="s">
        <v>6</v>
      </c>
      <c r="E1514" s="14" t="str">
        <f t="shared" si="187"/>
        <v>C/W Machine</v>
      </c>
      <c r="F1514" s="22">
        <f t="shared" si="187"/>
        <v>3</v>
      </c>
      <c r="H1514" s="5" t="str">
        <f ca="1">_xlfn.FORMULATEXT(표1[[#This Row],[Q''ty]])</f>
        <v>=F1415</v>
      </c>
    </row>
    <row r="1515" spans="1:10" ht="15" customHeight="1" thickTop="1" x14ac:dyDescent="0.4">
      <c r="A1515" s="6">
        <v>2026</v>
      </c>
      <c r="B1515" s="6">
        <f t="shared" si="185"/>
        <v>16</v>
      </c>
      <c r="C1515" s="13" t="s">
        <v>18</v>
      </c>
      <c r="D1515" s="2" t="s">
        <v>12</v>
      </c>
      <c r="E1515" s="14" t="str">
        <f t="shared" ref="E1515:E1530" si="188">E1416</f>
        <v>BT GT</v>
      </c>
      <c r="F1515" s="22">
        <v>1</v>
      </c>
      <c r="H1515" s="5" t="e">
        <f ca="1">_xlfn.FORMULATEXT(표1[[#This Row],[Q''ty]])</f>
        <v>#N/A</v>
      </c>
      <c r="I1515" s="28">
        <v>46133</v>
      </c>
      <c r="J1515" s="28">
        <v>46133</v>
      </c>
    </row>
    <row r="1516" spans="1:10" ht="15" customHeight="1" x14ac:dyDescent="0.4">
      <c r="A1516" s="6">
        <v>2026</v>
      </c>
      <c r="B1516" s="6">
        <f t="shared" si="185"/>
        <v>16</v>
      </c>
      <c r="C1516" s="13" t="s">
        <v>18</v>
      </c>
      <c r="D1516" s="2" t="s">
        <v>12</v>
      </c>
      <c r="E1516" s="14" t="str">
        <f t="shared" si="188"/>
        <v>WT GT</v>
      </c>
      <c r="F1516" s="22">
        <v>0</v>
      </c>
      <c r="H1516" s="5" t="e">
        <f ca="1">_xlfn.FORMULATEXT(표1[[#This Row],[Q''ty]])</f>
        <v>#N/A</v>
      </c>
      <c r="I1516" s="28">
        <v>46133</v>
      </c>
      <c r="J1516" s="28">
        <v>46133</v>
      </c>
    </row>
    <row r="1517" spans="1:10" ht="15" customHeight="1" x14ac:dyDescent="0.4">
      <c r="A1517" s="6">
        <v>2026</v>
      </c>
      <c r="B1517" s="6">
        <f t="shared" si="185"/>
        <v>16</v>
      </c>
      <c r="C1517" s="13" t="s">
        <v>18</v>
      </c>
      <c r="D1517" s="2" t="s">
        <v>12</v>
      </c>
      <c r="E1517" s="14" t="str">
        <f t="shared" si="188"/>
        <v>Bending</v>
      </c>
      <c r="F1517" s="22">
        <v>21</v>
      </c>
      <c r="H1517" s="5" t="e">
        <f ca="1">_xlfn.FORMULATEXT(표1[[#This Row],[Q''ty]])</f>
        <v>#N/A</v>
      </c>
      <c r="I1517" s="28">
        <v>46133</v>
      </c>
      <c r="J1517" s="28">
        <v>46133</v>
      </c>
    </row>
    <row r="1518" spans="1:10" ht="15" customHeight="1" x14ac:dyDescent="0.4">
      <c r="A1518" s="6">
        <v>2026</v>
      </c>
      <c r="B1518" s="6">
        <f t="shared" si="185"/>
        <v>16</v>
      </c>
      <c r="C1518" s="13" t="s">
        <v>18</v>
      </c>
      <c r="D1518" s="2" t="s">
        <v>12</v>
      </c>
      <c r="E1518" s="14" t="str">
        <f t="shared" si="188"/>
        <v>L/W</v>
      </c>
      <c r="F1518" s="22">
        <v>22.3</v>
      </c>
      <c r="H1518" s="5" t="e">
        <f ca="1">_xlfn.FORMULATEXT(표1[[#This Row],[Q''ty]])</f>
        <v>#N/A</v>
      </c>
      <c r="I1518" s="28">
        <v>46133</v>
      </c>
      <c r="J1518" s="28">
        <v>46133</v>
      </c>
    </row>
    <row r="1519" spans="1:10" ht="15" customHeight="1" thickBot="1" x14ac:dyDescent="0.45">
      <c r="A1519" s="15">
        <v>2026</v>
      </c>
      <c r="B1519" s="15">
        <f t="shared" si="185"/>
        <v>16</v>
      </c>
      <c r="C1519" s="16" t="s">
        <v>18</v>
      </c>
      <c r="D1519" s="17" t="s">
        <v>12</v>
      </c>
      <c r="E1519" s="18" t="str">
        <f t="shared" si="188"/>
        <v>C/W</v>
      </c>
      <c r="F1519" s="23">
        <v>20</v>
      </c>
      <c r="H1519" s="5" t="e">
        <f ca="1">_xlfn.FORMULATEXT(표1[[#This Row],[Q''ty]])</f>
        <v>#N/A</v>
      </c>
      <c r="I1519" s="28">
        <v>46133</v>
      </c>
      <c r="J1519" s="28">
        <v>46133</v>
      </c>
    </row>
    <row r="1520" spans="1:10" ht="15" hidden="1" customHeight="1" thickTop="1" x14ac:dyDescent="0.4">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10" ht="15" hidden="1" customHeight="1" x14ac:dyDescent="0.4">
      <c r="A1521" s="6">
        <v>2026</v>
      </c>
      <c r="B1521" s="6">
        <f t="shared" si="185"/>
        <v>16</v>
      </c>
      <c r="C1521" s="13" t="s">
        <v>19</v>
      </c>
      <c r="D1521" s="2" t="s">
        <v>6</v>
      </c>
      <c r="E1521" s="14" t="str">
        <f t="shared" si="188"/>
        <v>Paint Booth</v>
      </c>
      <c r="F1521" s="22">
        <f t="shared" si="189"/>
        <v>22</v>
      </c>
      <c r="H1521" s="5" t="str">
        <f ca="1">_xlfn.FORMULATEXT(표1[[#This Row],[Q''ty]])</f>
        <v>=F1422</v>
      </c>
    </row>
    <row r="1522" spans="1:10" ht="15" hidden="1" customHeight="1" x14ac:dyDescent="0.4">
      <c r="A1522" s="6">
        <v>2026</v>
      </c>
      <c r="B1522" s="6">
        <f t="shared" si="185"/>
        <v>16</v>
      </c>
      <c r="C1522" s="13" t="s">
        <v>19</v>
      </c>
      <c r="D1522" s="2" t="s">
        <v>6</v>
      </c>
      <c r="E1522" s="14" t="str">
        <f t="shared" si="188"/>
        <v>Paint Line</v>
      </c>
      <c r="F1522" s="22">
        <f t="shared" si="189"/>
        <v>6</v>
      </c>
      <c r="H1522" s="5" t="str">
        <f ca="1">_xlfn.FORMULATEXT(표1[[#This Row],[Q''ty]])</f>
        <v>=F1423</v>
      </c>
    </row>
    <row r="1523" spans="1:10" ht="15" hidden="1" customHeight="1" x14ac:dyDescent="0.4">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10" ht="15" hidden="1" customHeight="1" x14ac:dyDescent="0.4">
      <c r="A1524" s="6">
        <v>2026</v>
      </c>
      <c r="B1524" s="6">
        <f t="shared" si="185"/>
        <v>16</v>
      </c>
      <c r="C1524" s="13" t="s">
        <v>19</v>
      </c>
      <c r="D1524" s="2" t="s">
        <v>6</v>
      </c>
      <c r="E1524" s="14" t="str">
        <f t="shared" si="188"/>
        <v>L/W Machine</v>
      </c>
      <c r="F1524" s="22">
        <f t="shared" si="189"/>
        <v>10</v>
      </c>
      <c r="H1524" s="5" t="str">
        <f ca="1">_xlfn.FORMULATEXT(표1[[#This Row],[Q''ty]])</f>
        <v>=F1425</v>
      </c>
    </row>
    <row r="1525" spans="1:10" ht="15" hidden="1" customHeight="1" x14ac:dyDescent="0.4">
      <c r="A1525" s="6">
        <v>2026</v>
      </c>
      <c r="B1525" s="6">
        <f t="shared" si="185"/>
        <v>16</v>
      </c>
      <c r="C1525" s="13" t="s">
        <v>19</v>
      </c>
      <c r="D1525" s="2" t="s">
        <v>6</v>
      </c>
      <c r="E1525" s="14" t="str">
        <f t="shared" si="188"/>
        <v>C/W Machine</v>
      </c>
      <c r="F1525" s="22">
        <f t="shared" si="189"/>
        <v>12</v>
      </c>
      <c r="H1525" s="5" t="str">
        <f ca="1">_xlfn.FORMULATEXT(표1[[#This Row],[Q''ty]])</f>
        <v>=F1426</v>
      </c>
    </row>
    <row r="1526" spans="1:10" ht="15" customHeight="1" thickTop="1" x14ac:dyDescent="0.4">
      <c r="A1526" s="6">
        <v>2026</v>
      </c>
      <c r="B1526" s="6">
        <f t="shared" si="185"/>
        <v>16</v>
      </c>
      <c r="C1526" s="13" t="s">
        <v>19</v>
      </c>
      <c r="D1526" s="2" t="s">
        <v>12</v>
      </c>
      <c r="E1526" s="14" t="str">
        <f t="shared" si="188"/>
        <v>BT GT</v>
      </c>
      <c r="F1526" s="22">
        <v>37</v>
      </c>
      <c r="H1526" s="5" t="e">
        <f ca="1">_xlfn.FORMULATEXT(표1[[#This Row],[Q''ty]])</f>
        <v>#N/A</v>
      </c>
      <c r="I1526" s="28">
        <v>46132</v>
      </c>
      <c r="J1526" s="28">
        <v>46132</v>
      </c>
    </row>
    <row r="1527" spans="1:10" ht="15" customHeight="1" x14ac:dyDescent="0.4">
      <c r="A1527" s="6">
        <v>2026</v>
      </c>
      <c r="B1527" s="6">
        <f t="shared" si="185"/>
        <v>16</v>
      </c>
      <c r="C1527" s="13" t="s">
        <v>19</v>
      </c>
      <c r="D1527" s="2" t="s">
        <v>12</v>
      </c>
      <c r="E1527" s="14" t="str">
        <f t="shared" si="188"/>
        <v>WT GT</v>
      </c>
      <c r="F1527" s="22">
        <v>34</v>
      </c>
      <c r="H1527" s="5" t="e">
        <f ca="1">_xlfn.FORMULATEXT(표1[[#This Row],[Q''ty]])</f>
        <v>#N/A</v>
      </c>
      <c r="I1527" s="28">
        <v>46132</v>
      </c>
      <c r="J1527" s="28">
        <v>46132</v>
      </c>
    </row>
    <row r="1528" spans="1:10" ht="15" customHeight="1" x14ac:dyDescent="0.4">
      <c r="A1528" s="6">
        <v>2026</v>
      </c>
      <c r="B1528" s="6">
        <f t="shared" si="185"/>
        <v>16</v>
      </c>
      <c r="C1528" s="13" t="s">
        <v>19</v>
      </c>
      <c r="D1528" s="2" t="s">
        <v>12</v>
      </c>
      <c r="E1528" s="14" t="str">
        <f t="shared" si="188"/>
        <v>Bending</v>
      </c>
      <c r="F1528" s="22">
        <v>289</v>
      </c>
      <c r="H1528" s="5" t="e">
        <f ca="1">_xlfn.FORMULATEXT(표1[[#This Row],[Q''ty]])</f>
        <v>#N/A</v>
      </c>
      <c r="I1528" s="28">
        <v>46132</v>
      </c>
      <c r="J1528" s="28">
        <v>46132</v>
      </c>
    </row>
    <row r="1529" spans="1:10" ht="15" customHeight="1" x14ac:dyDescent="0.4">
      <c r="A1529" s="6">
        <v>2026</v>
      </c>
      <c r="B1529" s="6">
        <f t="shared" si="185"/>
        <v>16</v>
      </c>
      <c r="C1529" s="13" t="s">
        <v>19</v>
      </c>
      <c r="D1529" s="2" t="s">
        <v>12</v>
      </c>
      <c r="E1529" s="14" t="str">
        <f t="shared" si="188"/>
        <v>L/W</v>
      </c>
      <c r="F1529" s="22">
        <v>289</v>
      </c>
      <c r="H1529" s="5" t="e">
        <f ca="1">_xlfn.FORMULATEXT(표1[[#This Row],[Q''ty]])</f>
        <v>#N/A</v>
      </c>
      <c r="I1529" s="28">
        <v>46132</v>
      </c>
      <c r="J1529" s="28">
        <v>46132</v>
      </c>
    </row>
    <row r="1530" spans="1:10" ht="15" customHeight="1" thickBot="1" x14ac:dyDescent="0.45">
      <c r="A1530" s="15">
        <v>2026</v>
      </c>
      <c r="B1530" s="15">
        <f t="shared" si="185"/>
        <v>16</v>
      </c>
      <c r="C1530" s="16" t="s">
        <v>19</v>
      </c>
      <c r="D1530" s="17" t="s">
        <v>12</v>
      </c>
      <c r="E1530" s="18" t="str">
        <f t="shared" si="188"/>
        <v>C/W</v>
      </c>
      <c r="F1530" s="23">
        <v>322</v>
      </c>
      <c r="H1530" s="5" t="e">
        <f ca="1">_xlfn.FORMULATEXT(표1[[#This Row],[Q''ty]])</f>
        <v>#N/A</v>
      </c>
      <c r="I1530" s="28">
        <v>46132</v>
      </c>
      <c r="J1530" s="28">
        <v>46132</v>
      </c>
    </row>
    <row r="1531" spans="1:10" ht="15" hidden="1" customHeight="1" thickTop="1" x14ac:dyDescent="0.4">
      <c r="A1531" s="6">
        <v>2026</v>
      </c>
      <c r="B1531" s="6">
        <f t="shared" si="185"/>
        <v>16</v>
      </c>
      <c r="C1531" s="13" t="s">
        <v>25</v>
      </c>
      <c r="D1531" s="2" t="s">
        <v>6</v>
      </c>
      <c r="E1531" s="14" t="s">
        <v>7</v>
      </c>
      <c r="F1531" s="22">
        <f t="shared" ref="F1531:F1536" si="190">F1432</f>
        <v>3</v>
      </c>
      <c r="H1531" s="5" t="str">
        <f ca="1">_xlfn.FORMULATEXT(표1[[#This Row],[Q''ty]])</f>
        <v>=F1432</v>
      </c>
    </row>
    <row r="1532" spans="1:10" ht="15" hidden="1" customHeight="1" x14ac:dyDescent="0.4">
      <c r="A1532" s="6">
        <v>2026</v>
      </c>
      <c r="B1532" s="6">
        <f t="shared" si="185"/>
        <v>16</v>
      </c>
      <c r="C1532" s="13" t="s">
        <v>25</v>
      </c>
      <c r="D1532" s="2" t="s">
        <v>6</v>
      </c>
      <c r="E1532" s="14" t="s">
        <v>8</v>
      </c>
      <c r="F1532" s="22">
        <f t="shared" si="190"/>
        <v>3</v>
      </c>
      <c r="H1532" s="5" t="str">
        <f ca="1">_xlfn.FORMULATEXT(표1[[#This Row],[Q''ty]])</f>
        <v>=F1433</v>
      </c>
    </row>
    <row r="1533" spans="1:10" ht="15" hidden="1" customHeight="1" x14ac:dyDescent="0.4">
      <c r="A1533" s="6">
        <v>2026</v>
      </c>
      <c r="B1533" s="6">
        <f t="shared" si="185"/>
        <v>16</v>
      </c>
      <c r="C1533" s="13" t="s">
        <v>25</v>
      </c>
      <c r="D1533" s="2" t="s">
        <v>6</v>
      </c>
      <c r="E1533" s="14" t="s">
        <v>9</v>
      </c>
      <c r="F1533" s="22">
        <f t="shared" si="190"/>
        <v>2</v>
      </c>
      <c r="H1533" s="5" t="str">
        <f ca="1">_xlfn.FORMULATEXT(표1[[#This Row],[Q''ty]])</f>
        <v>=F1434</v>
      </c>
    </row>
    <row r="1534" spans="1:10" ht="15" hidden="1" customHeight="1" x14ac:dyDescent="0.4">
      <c r="A1534" s="6">
        <v>2026</v>
      </c>
      <c r="B1534" s="6">
        <f t="shared" si="185"/>
        <v>16</v>
      </c>
      <c r="C1534" s="13" t="s">
        <v>25</v>
      </c>
      <c r="D1534" s="2" t="s">
        <v>6</v>
      </c>
      <c r="E1534" s="14" t="s">
        <v>27</v>
      </c>
      <c r="F1534" s="22">
        <f t="shared" si="190"/>
        <v>2</v>
      </c>
      <c r="H1534" s="5" t="str">
        <f ca="1">_xlfn.FORMULATEXT(표1[[#This Row],[Q''ty]])</f>
        <v>=F1435</v>
      </c>
    </row>
    <row r="1535" spans="1:10" ht="15" hidden="1" customHeight="1" x14ac:dyDescent="0.4">
      <c r="A1535" s="6">
        <v>2026</v>
      </c>
      <c r="B1535" s="6">
        <f t="shared" si="185"/>
        <v>16</v>
      </c>
      <c r="C1535" s="13" t="s">
        <v>25</v>
      </c>
      <c r="D1535" s="2" t="s">
        <v>6</v>
      </c>
      <c r="E1535" s="14" t="s">
        <v>10</v>
      </c>
      <c r="F1535" s="22">
        <f t="shared" si="190"/>
        <v>3</v>
      </c>
      <c r="H1535" s="5" t="str">
        <f ca="1">_xlfn.FORMULATEXT(표1[[#This Row],[Q''ty]])</f>
        <v>=F1436</v>
      </c>
    </row>
    <row r="1536" spans="1:10" ht="15" hidden="1" customHeight="1" x14ac:dyDescent="0.4">
      <c r="A1536" s="6">
        <v>2026</v>
      </c>
      <c r="B1536" s="6">
        <f t="shared" si="185"/>
        <v>16</v>
      </c>
      <c r="C1536" s="13" t="s">
        <v>25</v>
      </c>
      <c r="D1536" s="2" t="s">
        <v>6</v>
      </c>
      <c r="E1536" s="14" t="s">
        <v>11</v>
      </c>
      <c r="F1536" s="22">
        <f t="shared" si="190"/>
        <v>4</v>
      </c>
      <c r="H1536" s="5" t="str">
        <f ca="1">_xlfn.FORMULATEXT(표1[[#This Row],[Q''ty]])</f>
        <v>=F1437</v>
      </c>
    </row>
    <row r="1537" spans="1:10" ht="15" customHeight="1" thickTop="1" x14ac:dyDescent="0.4">
      <c r="A1537" s="6">
        <v>2026</v>
      </c>
      <c r="B1537" s="6">
        <f t="shared" si="185"/>
        <v>16</v>
      </c>
      <c r="C1537" s="13" t="s">
        <v>25</v>
      </c>
      <c r="D1537" s="2" t="s">
        <v>12</v>
      </c>
      <c r="E1537" s="14" t="s">
        <v>13</v>
      </c>
      <c r="F1537" s="22">
        <v>0</v>
      </c>
      <c r="H1537" s="5" t="e">
        <f ca="1">_xlfn.FORMULATEXT(표1[[#This Row],[Q''ty]])</f>
        <v>#N/A</v>
      </c>
    </row>
    <row r="1538" spans="1:10" ht="15" customHeight="1" x14ac:dyDescent="0.4">
      <c r="A1538" s="6">
        <v>2026</v>
      </c>
      <c r="B1538" s="6">
        <f t="shared" si="185"/>
        <v>16</v>
      </c>
      <c r="C1538" s="13" t="s">
        <v>25</v>
      </c>
      <c r="D1538" s="2" t="s">
        <v>12</v>
      </c>
      <c r="E1538" s="14" t="s">
        <v>14</v>
      </c>
      <c r="F1538" s="22">
        <v>0</v>
      </c>
      <c r="H1538" s="5" t="e">
        <f ca="1">_xlfn.FORMULATEXT(표1[[#This Row],[Q''ty]])</f>
        <v>#N/A</v>
      </c>
    </row>
    <row r="1539" spans="1:10" ht="15" customHeight="1" x14ac:dyDescent="0.4">
      <c r="A1539" s="6">
        <v>2026</v>
      </c>
      <c r="B1539" s="6">
        <f t="shared" si="185"/>
        <v>16</v>
      </c>
      <c r="C1539" s="13" t="s">
        <v>25</v>
      </c>
      <c r="D1539" s="2" t="s">
        <v>12</v>
      </c>
      <c r="E1539" s="14" t="s">
        <v>15</v>
      </c>
      <c r="F1539" s="22">
        <v>0</v>
      </c>
      <c r="H1539" s="5" t="e">
        <f ca="1">_xlfn.FORMULATEXT(표1[[#This Row],[Q''ty]])</f>
        <v>#N/A</v>
      </c>
    </row>
    <row r="1540" spans="1:10" ht="15" customHeight="1" x14ac:dyDescent="0.4">
      <c r="A1540" s="6">
        <v>2026</v>
      </c>
      <c r="B1540" s="6">
        <f t="shared" si="185"/>
        <v>16</v>
      </c>
      <c r="C1540" s="13" t="s">
        <v>25</v>
      </c>
      <c r="D1540" s="2" t="s">
        <v>12</v>
      </c>
      <c r="E1540" s="14" t="s">
        <v>16</v>
      </c>
      <c r="F1540" s="22">
        <v>0</v>
      </c>
      <c r="H1540" s="5" t="e">
        <f ca="1">_xlfn.FORMULATEXT(표1[[#This Row],[Q''ty]])</f>
        <v>#N/A</v>
      </c>
    </row>
    <row r="1541" spans="1:10" ht="15" customHeight="1" thickBot="1" x14ac:dyDescent="0.45">
      <c r="A1541" s="15">
        <v>2026</v>
      </c>
      <c r="B1541" s="15">
        <f t="shared" si="185"/>
        <v>16</v>
      </c>
      <c r="C1541" s="16" t="s">
        <v>25</v>
      </c>
      <c r="D1541" s="17" t="s">
        <v>12</v>
      </c>
      <c r="E1541" s="18" t="s">
        <v>17</v>
      </c>
      <c r="F1541" s="23">
        <v>0</v>
      </c>
      <c r="H1541" s="5" t="e">
        <f ca="1">_xlfn.FORMULATEXT(표1[[#This Row],[Q''ty]])</f>
        <v>#N/A</v>
      </c>
    </row>
    <row r="1542" spans="1:10" ht="15" hidden="1" customHeight="1" thickTop="1" x14ac:dyDescent="0.4">
      <c r="A1542" s="6">
        <v>2026</v>
      </c>
      <c r="B1542" s="6">
        <f t="shared" si="185"/>
        <v>16</v>
      </c>
      <c r="C1542" s="13" t="s">
        <v>26</v>
      </c>
      <c r="D1542" s="2" t="s">
        <v>6</v>
      </c>
      <c r="E1542" s="14" t="s">
        <v>7</v>
      </c>
      <c r="F1542" s="22">
        <f t="shared" ref="F1542:F1547" si="191">F1443</f>
        <v>6</v>
      </c>
      <c r="H1542" s="5" t="str">
        <f ca="1">_xlfn.FORMULATEXT(표1[[#This Row],[Q''ty]])</f>
        <v>=F1443</v>
      </c>
    </row>
    <row r="1543" spans="1:10" ht="15" hidden="1" customHeight="1" x14ac:dyDescent="0.4">
      <c r="A1543" s="6">
        <v>2026</v>
      </c>
      <c r="B1543" s="6">
        <f t="shared" si="185"/>
        <v>16</v>
      </c>
      <c r="C1543" s="13" t="s">
        <v>26</v>
      </c>
      <c r="D1543" s="2" t="s">
        <v>6</v>
      </c>
      <c r="E1543" s="14" t="s">
        <v>8</v>
      </c>
      <c r="F1543" s="22">
        <f t="shared" si="191"/>
        <v>4</v>
      </c>
      <c r="H1543" s="5" t="str">
        <f ca="1">_xlfn.FORMULATEXT(표1[[#This Row],[Q''ty]])</f>
        <v>=F1444</v>
      </c>
    </row>
    <row r="1544" spans="1:10" ht="15" hidden="1" customHeight="1" x14ac:dyDescent="0.4">
      <c r="A1544" s="6">
        <v>2026</v>
      </c>
      <c r="B1544" s="6">
        <f t="shared" si="185"/>
        <v>16</v>
      </c>
      <c r="C1544" s="13" t="s">
        <v>26</v>
      </c>
      <c r="D1544" s="2" t="s">
        <v>6</v>
      </c>
      <c r="E1544" s="14" t="s">
        <v>9</v>
      </c>
      <c r="F1544" s="22">
        <f t="shared" si="191"/>
        <v>2</v>
      </c>
      <c r="H1544" s="5" t="str">
        <f ca="1">_xlfn.FORMULATEXT(표1[[#This Row],[Q''ty]])</f>
        <v>=F1445</v>
      </c>
    </row>
    <row r="1545" spans="1:10" ht="15" hidden="1" customHeight="1" x14ac:dyDescent="0.4">
      <c r="A1545" s="6">
        <v>2026</v>
      </c>
      <c r="B1545" s="6">
        <f t="shared" si="185"/>
        <v>16</v>
      </c>
      <c r="C1545" s="13" t="s">
        <v>26</v>
      </c>
      <c r="D1545" s="2" t="s">
        <v>6</v>
      </c>
      <c r="E1545" s="14" t="s">
        <v>27</v>
      </c>
      <c r="F1545" s="22">
        <f t="shared" si="191"/>
        <v>3</v>
      </c>
      <c r="H1545" s="5" t="str">
        <f ca="1">_xlfn.FORMULATEXT(표1[[#This Row],[Q''ty]])</f>
        <v>=F1446</v>
      </c>
    </row>
    <row r="1546" spans="1:10" ht="15" hidden="1" customHeight="1" x14ac:dyDescent="0.4">
      <c r="A1546" s="6">
        <v>2026</v>
      </c>
      <c r="B1546" s="6">
        <f t="shared" si="185"/>
        <v>16</v>
      </c>
      <c r="C1546" s="13" t="s">
        <v>26</v>
      </c>
      <c r="D1546" s="2" t="s">
        <v>6</v>
      </c>
      <c r="E1546" s="14" t="s">
        <v>10</v>
      </c>
      <c r="F1546" s="22">
        <f t="shared" si="191"/>
        <v>4</v>
      </c>
      <c r="H1546" s="5" t="str">
        <f ca="1">_xlfn.FORMULATEXT(표1[[#This Row],[Q''ty]])</f>
        <v>=F1447</v>
      </c>
    </row>
    <row r="1547" spans="1:10" ht="15" hidden="1" customHeight="1" x14ac:dyDescent="0.4">
      <c r="A1547" s="6">
        <v>2026</v>
      </c>
      <c r="B1547" s="6">
        <f t="shared" si="185"/>
        <v>16</v>
      </c>
      <c r="C1547" s="13" t="s">
        <v>26</v>
      </c>
      <c r="D1547" s="2" t="s">
        <v>6</v>
      </c>
      <c r="E1547" s="14" t="s">
        <v>11</v>
      </c>
      <c r="F1547" s="22">
        <f t="shared" si="191"/>
        <v>6</v>
      </c>
      <c r="H1547" s="5" t="str">
        <f ca="1">_xlfn.FORMULATEXT(표1[[#This Row],[Q''ty]])</f>
        <v>=F1448</v>
      </c>
    </row>
    <row r="1548" spans="1:10" ht="15" customHeight="1" thickTop="1" x14ac:dyDescent="0.4">
      <c r="A1548" s="6">
        <v>2026</v>
      </c>
      <c r="B1548" s="6">
        <f t="shared" si="185"/>
        <v>16</v>
      </c>
      <c r="C1548" s="13" t="s">
        <v>26</v>
      </c>
      <c r="D1548" s="2" t="s">
        <v>12</v>
      </c>
      <c r="E1548" s="14" t="str">
        <f t="shared" ref="E1548:E1585" si="192">E1449</f>
        <v>BT GT</v>
      </c>
      <c r="F1548" s="22">
        <v>27</v>
      </c>
      <c r="H1548" s="5" t="e">
        <f ca="1">_xlfn.FORMULATEXT(표1[[#This Row],[Q''ty]])</f>
        <v>#N/A</v>
      </c>
      <c r="I1548" s="28">
        <v>46133</v>
      </c>
      <c r="J1548" s="28">
        <v>46132</v>
      </c>
    </row>
    <row r="1549" spans="1:10" ht="15" customHeight="1" x14ac:dyDescent="0.4">
      <c r="A1549" s="6">
        <v>2026</v>
      </c>
      <c r="B1549" s="6">
        <f t="shared" si="185"/>
        <v>16</v>
      </c>
      <c r="C1549" s="13" t="s">
        <v>26</v>
      </c>
      <c r="D1549" s="2" t="s">
        <v>12</v>
      </c>
      <c r="E1549" s="14" t="str">
        <f t="shared" si="192"/>
        <v>WT GT</v>
      </c>
      <c r="F1549" s="22">
        <v>29</v>
      </c>
      <c r="H1549" s="5" t="e">
        <f ca="1">_xlfn.FORMULATEXT(표1[[#This Row],[Q''ty]])</f>
        <v>#N/A</v>
      </c>
      <c r="I1549" s="28">
        <v>46133</v>
      </c>
      <c r="J1549" s="28">
        <v>46132</v>
      </c>
    </row>
    <row r="1550" spans="1:10" ht="15" customHeight="1" x14ac:dyDescent="0.4">
      <c r="A1550" s="6">
        <v>2026</v>
      </c>
      <c r="B1550" s="6">
        <f t="shared" si="185"/>
        <v>16</v>
      </c>
      <c r="C1550" s="13" t="s">
        <v>26</v>
      </c>
      <c r="D1550" s="2" t="s">
        <v>12</v>
      </c>
      <c r="E1550" s="14" t="str">
        <f t="shared" si="192"/>
        <v>Bending</v>
      </c>
      <c r="F1550" s="22">
        <v>207</v>
      </c>
      <c r="H1550" s="5" t="e">
        <f ca="1">_xlfn.FORMULATEXT(표1[[#This Row],[Q''ty]])</f>
        <v>#N/A</v>
      </c>
      <c r="I1550" s="28">
        <v>46133</v>
      </c>
      <c r="J1550" s="28">
        <v>46132</v>
      </c>
    </row>
    <row r="1551" spans="1:10" ht="15" customHeight="1" x14ac:dyDescent="0.4">
      <c r="A1551" s="6">
        <v>2026</v>
      </c>
      <c r="B1551" s="6">
        <f t="shared" si="185"/>
        <v>16</v>
      </c>
      <c r="C1551" s="13" t="s">
        <v>26</v>
      </c>
      <c r="D1551" s="2" t="s">
        <v>12</v>
      </c>
      <c r="E1551" s="14" t="str">
        <f t="shared" si="192"/>
        <v>L/W</v>
      </c>
      <c r="F1551" s="22">
        <v>207</v>
      </c>
      <c r="H1551" s="5" t="e">
        <f ca="1">_xlfn.FORMULATEXT(표1[[#This Row],[Q''ty]])</f>
        <v>#N/A</v>
      </c>
      <c r="I1551" s="28">
        <v>46133</v>
      </c>
      <c r="J1551" s="28">
        <v>46132</v>
      </c>
    </row>
    <row r="1552" spans="1:10" ht="15" customHeight="1" thickBot="1" x14ac:dyDescent="0.45">
      <c r="A1552" s="15">
        <v>2026</v>
      </c>
      <c r="B1552" s="15">
        <f t="shared" ref="B1552:B1585" si="193">B1453+1</f>
        <v>16</v>
      </c>
      <c r="C1552" s="16" t="s">
        <v>26</v>
      </c>
      <c r="D1552" s="17" t="s">
        <v>12</v>
      </c>
      <c r="E1552" s="18" t="str">
        <f t="shared" si="192"/>
        <v>C/W</v>
      </c>
      <c r="F1552" s="23">
        <v>234</v>
      </c>
      <c r="H1552" s="5" t="e">
        <f ca="1">_xlfn.FORMULATEXT(표1[[#This Row],[Q''ty]])</f>
        <v>#N/A</v>
      </c>
      <c r="I1552" s="28">
        <v>46133</v>
      </c>
      <c r="J1552" s="28">
        <v>46132</v>
      </c>
    </row>
    <row r="1553" spans="1:10" ht="15" hidden="1" customHeight="1" thickTop="1" x14ac:dyDescent="0.4">
      <c r="A1553" s="6">
        <v>2026</v>
      </c>
      <c r="B1553" s="6">
        <f t="shared" si="193"/>
        <v>16</v>
      </c>
      <c r="C1553" s="13" t="s">
        <v>20</v>
      </c>
      <c r="D1553" s="2" t="s">
        <v>6</v>
      </c>
      <c r="E1553" s="14" t="str">
        <f t="shared" si="192"/>
        <v>Growing Line</v>
      </c>
      <c r="F1553" s="22">
        <f t="shared" ref="F1553:F1558" si="194">F1454</f>
        <v>30</v>
      </c>
      <c r="H1553" s="5" t="str">
        <f ca="1">_xlfn.FORMULATEXT(표1[[#This Row],[Q''ty]])</f>
        <v>=F1454</v>
      </c>
      <c r="I1553" s="28">
        <v>46133</v>
      </c>
    </row>
    <row r="1554" spans="1:10" ht="15" hidden="1" customHeight="1" x14ac:dyDescent="0.4">
      <c r="A1554" s="6">
        <v>2026</v>
      </c>
      <c r="B1554" s="6">
        <f t="shared" si="193"/>
        <v>16</v>
      </c>
      <c r="C1554" s="13" t="s">
        <v>20</v>
      </c>
      <c r="D1554" s="2" t="s">
        <v>6</v>
      </c>
      <c r="E1554" s="14" t="str">
        <f t="shared" si="192"/>
        <v>Paint Booth</v>
      </c>
      <c r="F1554" s="22">
        <f t="shared" si="194"/>
        <v>16</v>
      </c>
      <c r="H1554" s="5" t="str">
        <f ca="1">_xlfn.FORMULATEXT(표1[[#This Row],[Q''ty]])</f>
        <v>=F1455</v>
      </c>
      <c r="I1554" s="28">
        <v>46133</v>
      </c>
    </row>
    <row r="1555" spans="1:10" ht="15" hidden="1" customHeight="1" x14ac:dyDescent="0.4">
      <c r="A1555" s="6">
        <v>2026</v>
      </c>
      <c r="B1555" s="6">
        <f t="shared" si="193"/>
        <v>16</v>
      </c>
      <c r="C1555" s="13" t="s">
        <v>20</v>
      </c>
      <c r="D1555" s="2" t="s">
        <v>6</v>
      </c>
      <c r="E1555" s="14" t="str">
        <f t="shared" si="192"/>
        <v>Paint Line</v>
      </c>
      <c r="F1555" s="22">
        <f t="shared" si="194"/>
        <v>8</v>
      </c>
      <c r="H1555" s="5" t="str">
        <f ca="1">_xlfn.FORMULATEXT(표1[[#This Row],[Q''ty]])</f>
        <v>=F1456</v>
      </c>
      <c r="I1555" s="28">
        <v>46133</v>
      </c>
    </row>
    <row r="1556" spans="1:10" ht="15" hidden="1" customHeight="1" x14ac:dyDescent="0.4">
      <c r="A1556" s="6">
        <v>2026</v>
      </c>
      <c r="B1556" s="6">
        <f t="shared" si="193"/>
        <v>16</v>
      </c>
      <c r="C1556" s="13" t="s">
        <v>20</v>
      </c>
      <c r="D1556" s="2" t="s">
        <v>6</v>
      </c>
      <c r="E1556" s="14" t="str">
        <f t="shared" si="192"/>
        <v>Roll Bending Machine</v>
      </c>
      <c r="F1556" s="22">
        <f t="shared" si="194"/>
        <v>6</v>
      </c>
      <c r="H1556" s="5" t="str">
        <f ca="1">_xlfn.FORMULATEXT(표1[[#This Row],[Q''ty]])</f>
        <v>=F1457</v>
      </c>
      <c r="I1556" s="28">
        <v>46133</v>
      </c>
    </row>
    <row r="1557" spans="1:10" ht="15" hidden="1" customHeight="1" x14ac:dyDescent="0.4">
      <c r="A1557" s="6">
        <v>2026</v>
      </c>
      <c r="B1557" s="6">
        <f t="shared" si="193"/>
        <v>16</v>
      </c>
      <c r="C1557" s="13" t="s">
        <v>20</v>
      </c>
      <c r="D1557" s="2" t="s">
        <v>6</v>
      </c>
      <c r="E1557" s="14" t="str">
        <f t="shared" si="192"/>
        <v>L/W Machine</v>
      </c>
      <c r="F1557" s="22">
        <f t="shared" si="194"/>
        <v>11</v>
      </c>
      <c r="H1557" s="5" t="str">
        <f ca="1">_xlfn.FORMULATEXT(표1[[#This Row],[Q''ty]])</f>
        <v>=F1458</v>
      </c>
      <c r="I1557" s="28">
        <v>46133</v>
      </c>
    </row>
    <row r="1558" spans="1:10" ht="15" hidden="1" customHeight="1" x14ac:dyDescent="0.4">
      <c r="A1558" s="6">
        <v>2026</v>
      </c>
      <c r="B1558" s="6">
        <f t="shared" si="193"/>
        <v>16</v>
      </c>
      <c r="C1558" s="13" t="s">
        <v>20</v>
      </c>
      <c r="D1558" s="2" t="s">
        <v>6</v>
      </c>
      <c r="E1558" s="14" t="str">
        <f t="shared" si="192"/>
        <v>C/W Machine</v>
      </c>
      <c r="F1558" s="22">
        <f t="shared" si="194"/>
        <v>15</v>
      </c>
      <c r="H1558" s="5" t="str">
        <f ca="1">_xlfn.FORMULATEXT(표1[[#This Row],[Q''ty]])</f>
        <v>=F1459</v>
      </c>
      <c r="I1558" s="28">
        <v>46133</v>
      </c>
    </row>
    <row r="1559" spans="1:10" ht="15" customHeight="1" thickTop="1" x14ac:dyDescent="0.4">
      <c r="A1559" s="6">
        <v>2026</v>
      </c>
      <c r="B1559" s="6">
        <f t="shared" si="193"/>
        <v>16</v>
      </c>
      <c r="C1559" s="13" t="s">
        <v>20</v>
      </c>
      <c r="D1559" s="2" t="s">
        <v>12</v>
      </c>
      <c r="E1559" s="14" t="str">
        <f t="shared" si="192"/>
        <v>BT GT</v>
      </c>
      <c r="F1559" s="22">
        <v>65</v>
      </c>
      <c r="H1559" s="5" t="e">
        <f ca="1">_xlfn.FORMULATEXT(표1[[#This Row],[Q''ty]])</f>
        <v>#N/A</v>
      </c>
      <c r="I1559" s="28">
        <v>46133</v>
      </c>
      <c r="J1559" s="28">
        <v>46133</v>
      </c>
    </row>
    <row r="1560" spans="1:10" ht="15" customHeight="1" x14ac:dyDescent="0.4">
      <c r="A1560" s="6">
        <v>2026</v>
      </c>
      <c r="B1560" s="6">
        <f t="shared" si="193"/>
        <v>16</v>
      </c>
      <c r="C1560" s="13" t="s">
        <v>20</v>
      </c>
      <c r="D1560" s="2" t="s">
        <v>12</v>
      </c>
      <c r="E1560" s="14" t="str">
        <f t="shared" si="192"/>
        <v>WT GT</v>
      </c>
      <c r="F1560" s="22">
        <v>59</v>
      </c>
      <c r="H1560" s="5" t="e">
        <f ca="1">_xlfn.FORMULATEXT(표1[[#This Row],[Q''ty]])</f>
        <v>#N/A</v>
      </c>
      <c r="I1560" s="28">
        <v>46133</v>
      </c>
      <c r="J1560" s="28">
        <v>46133</v>
      </c>
    </row>
    <row r="1561" spans="1:10" ht="15" customHeight="1" x14ac:dyDescent="0.4">
      <c r="A1561" s="6">
        <v>2026</v>
      </c>
      <c r="B1561" s="6">
        <f t="shared" si="193"/>
        <v>16</v>
      </c>
      <c r="C1561" s="13" t="s">
        <v>20</v>
      </c>
      <c r="D1561" s="2" t="s">
        <v>12</v>
      </c>
      <c r="E1561" s="14" t="str">
        <f t="shared" si="192"/>
        <v>Bending</v>
      </c>
      <c r="F1561" s="22">
        <v>575</v>
      </c>
      <c r="H1561" s="5" t="e">
        <f ca="1">_xlfn.FORMULATEXT(표1[[#This Row],[Q''ty]])</f>
        <v>#N/A</v>
      </c>
      <c r="I1561" s="28">
        <v>46133</v>
      </c>
      <c r="J1561" s="28">
        <v>46133</v>
      </c>
    </row>
    <row r="1562" spans="1:10" ht="15" customHeight="1" x14ac:dyDescent="0.4">
      <c r="A1562" s="6">
        <v>2026</v>
      </c>
      <c r="B1562" s="6">
        <f t="shared" si="193"/>
        <v>16</v>
      </c>
      <c r="C1562" s="13" t="s">
        <v>20</v>
      </c>
      <c r="D1562" s="2" t="s">
        <v>12</v>
      </c>
      <c r="E1562" s="14" t="str">
        <f t="shared" si="192"/>
        <v>L/W</v>
      </c>
      <c r="F1562" s="22">
        <v>562</v>
      </c>
      <c r="H1562" s="5" t="e">
        <f ca="1">_xlfn.FORMULATEXT(표1[[#This Row],[Q''ty]])</f>
        <v>#N/A</v>
      </c>
      <c r="I1562" s="28">
        <v>46133</v>
      </c>
      <c r="J1562" s="28">
        <v>46133</v>
      </c>
    </row>
    <row r="1563" spans="1:10" ht="15" customHeight="1" thickBot="1" x14ac:dyDescent="0.45">
      <c r="A1563" s="15">
        <v>2026</v>
      </c>
      <c r="B1563" s="15">
        <f t="shared" si="193"/>
        <v>16</v>
      </c>
      <c r="C1563" s="16" t="s">
        <v>20</v>
      </c>
      <c r="D1563" s="17" t="s">
        <v>12</v>
      </c>
      <c r="E1563" s="18" t="str">
        <f t="shared" si="192"/>
        <v>C/W</v>
      </c>
      <c r="F1563" s="23">
        <v>511</v>
      </c>
      <c r="H1563" s="5" t="e">
        <f ca="1">_xlfn.FORMULATEXT(표1[[#This Row],[Q''ty]])</f>
        <v>#N/A</v>
      </c>
      <c r="I1563" s="28">
        <v>46133</v>
      </c>
      <c r="J1563" s="28">
        <v>46133</v>
      </c>
    </row>
    <row r="1564" spans="1:10" ht="15" hidden="1" customHeight="1" thickTop="1" x14ac:dyDescent="0.4">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10" ht="15" hidden="1" customHeight="1" x14ac:dyDescent="0.4">
      <c r="A1565" s="6">
        <v>2026</v>
      </c>
      <c r="B1565" s="6">
        <f t="shared" si="193"/>
        <v>16</v>
      </c>
      <c r="C1565" s="13" t="s">
        <v>21</v>
      </c>
      <c r="D1565" s="2" t="s">
        <v>6</v>
      </c>
      <c r="E1565" s="14" t="str">
        <f t="shared" si="192"/>
        <v>Paint Booth</v>
      </c>
      <c r="F1565" s="22">
        <f t="shared" si="195"/>
        <v>4</v>
      </c>
      <c r="H1565" s="5" t="str">
        <f ca="1">_xlfn.FORMULATEXT(표1[[#This Row],[Q''ty]])</f>
        <v>=F1466</v>
      </c>
    </row>
    <row r="1566" spans="1:10" ht="15" hidden="1" customHeight="1" x14ac:dyDescent="0.4">
      <c r="A1566" s="6">
        <v>2026</v>
      </c>
      <c r="B1566" s="6">
        <f t="shared" si="193"/>
        <v>16</v>
      </c>
      <c r="C1566" s="13" t="s">
        <v>21</v>
      </c>
      <c r="D1566" s="2" t="s">
        <v>6</v>
      </c>
      <c r="E1566" s="14" t="str">
        <f t="shared" si="192"/>
        <v>Paint Line</v>
      </c>
      <c r="F1566" s="22">
        <f t="shared" si="195"/>
        <v>4</v>
      </c>
      <c r="H1566" s="5" t="str">
        <f ca="1">_xlfn.FORMULATEXT(표1[[#This Row],[Q''ty]])</f>
        <v>=F1467</v>
      </c>
    </row>
    <row r="1567" spans="1:10" ht="15" hidden="1" customHeight="1" x14ac:dyDescent="0.4">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10" ht="15" hidden="1" customHeight="1" x14ac:dyDescent="0.4">
      <c r="A1568" s="6">
        <v>2026</v>
      </c>
      <c r="B1568" s="6">
        <f t="shared" si="193"/>
        <v>16</v>
      </c>
      <c r="C1568" s="13" t="s">
        <v>21</v>
      </c>
      <c r="D1568" s="2" t="s">
        <v>6</v>
      </c>
      <c r="E1568" s="14" t="str">
        <f t="shared" si="192"/>
        <v>L/W Machine</v>
      </c>
      <c r="F1568" s="22">
        <f t="shared" si="195"/>
        <v>4</v>
      </c>
      <c r="H1568" s="5" t="str">
        <f ca="1">_xlfn.FORMULATEXT(표1[[#This Row],[Q''ty]])</f>
        <v>=F1469</v>
      </c>
    </row>
    <row r="1569" spans="1:10" ht="15" hidden="1" customHeight="1" x14ac:dyDescent="0.4">
      <c r="A1569" s="6">
        <v>2026</v>
      </c>
      <c r="B1569" s="6">
        <f t="shared" si="193"/>
        <v>16</v>
      </c>
      <c r="C1569" s="13" t="s">
        <v>21</v>
      </c>
      <c r="D1569" s="2" t="s">
        <v>6</v>
      </c>
      <c r="E1569" s="14" t="str">
        <f t="shared" si="192"/>
        <v>C/W Machine</v>
      </c>
      <c r="F1569" s="22">
        <f t="shared" si="195"/>
        <v>6.5</v>
      </c>
      <c r="H1569" s="5" t="str">
        <f ca="1">_xlfn.FORMULATEXT(표1[[#This Row],[Q''ty]])</f>
        <v>=F1470</v>
      </c>
    </row>
    <row r="1570" spans="1:10" ht="15" customHeight="1" thickTop="1" x14ac:dyDescent="0.4">
      <c r="A1570" s="6">
        <v>2026</v>
      </c>
      <c r="B1570" s="6">
        <f t="shared" si="193"/>
        <v>16</v>
      </c>
      <c r="C1570" s="13" t="s">
        <v>21</v>
      </c>
      <c r="D1570" s="2" t="s">
        <v>12</v>
      </c>
      <c r="E1570" s="14" t="str">
        <f t="shared" si="192"/>
        <v>BT GT</v>
      </c>
      <c r="F1570" s="22">
        <v>16</v>
      </c>
      <c r="H1570" s="5" t="e">
        <f ca="1">_xlfn.FORMULATEXT(표1[[#This Row],[Q''ty]])</f>
        <v>#N/A</v>
      </c>
      <c r="I1570" s="28">
        <v>46133</v>
      </c>
      <c r="J1570" s="28">
        <v>46132</v>
      </c>
    </row>
    <row r="1571" spans="1:10" ht="15" customHeight="1" x14ac:dyDescent="0.4">
      <c r="A1571" s="6">
        <v>2026</v>
      </c>
      <c r="B1571" s="6">
        <f t="shared" si="193"/>
        <v>16</v>
      </c>
      <c r="C1571" s="13" t="s">
        <v>21</v>
      </c>
      <c r="D1571" s="2" t="s">
        <v>12</v>
      </c>
      <c r="E1571" s="14" t="str">
        <f t="shared" si="192"/>
        <v>WT GT</v>
      </c>
      <c r="F1571" s="22">
        <v>16</v>
      </c>
      <c r="H1571" s="5" t="e">
        <f ca="1">_xlfn.FORMULATEXT(표1[[#This Row],[Q''ty]])</f>
        <v>#N/A</v>
      </c>
      <c r="I1571" s="28">
        <v>46133</v>
      </c>
      <c r="J1571" s="28">
        <v>46132</v>
      </c>
    </row>
    <row r="1572" spans="1:10" ht="15" customHeight="1" x14ac:dyDescent="0.4">
      <c r="A1572" s="6">
        <v>2026</v>
      </c>
      <c r="B1572" s="6">
        <f t="shared" si="193"/>
        <v>16</v>
      </c>
      <c r="C1572" s="13" t="s">
        <v>21</v>
      </c>
      <c r="D1572" s="2" t="s">
        <v>12</v>
      </c>
      <c r="E1572" s="14" t="str">
        <f t="shared" si="192"/>
        <v>Bending</v>
      </c>
      <c r="F1572" s="22">
        <v>100</v>
      </c>
      <c r="H1572" s="5" t="e">
        <f ca="1">_xlfn.FORMULATEXT(표1[[#This Row],[Q''ty]])</f>
        <v>#N/A</v>
      </c>
      <c r="I1572" s="28">
        <v>46133</v>
      </c>
      <c r="J1572" s="28">
        <v>46132</v>
      </c>
    </row>
    <row r="1573" spans="1:10" ht="15" customHeight="1" x14ac:dyDescent="0.4">
      <c r="A1573" s="6">
        <v>2026</v>
      </c>
      <c r="B1573" s="6">
        <f t="shared" si="193"/>
        <v>16</v>
      </c>
      <c r="C1573" s="13" t="s">
        <v>21</v>
      </c>
      <c r="D1573" s="2" t="s">
        <v>12</v>
      </c>
      <c r="E1573" s="14" t="str">
        <f t="shared" si="192"/>
        <v>L/W</v>
      </c>
      <c r="F1573" s="22">
        <v>101</v>
      </c>
      <c r="H1573" s="5" t="e">
        <f ca="1">_xlfn.FORMULATEXT(표1[[#This Row],[Q''ty]])</f>
        <v>#N/A</v>
      </c>
      <c r="I1573" s="28">
        <v>46133</v>
      </c>
      <c r="J1573" s="28">
        <v>46132</v>
      </c>
    </row>
    <row r="1574" spans="1:10" ht="15" customHeight="1" thickBot="1" x14ac:dyDescent="0.45">
      <c r="A1574" s="15">
        <v>2026</v>
      </c>
      <c r="B1574" s="15">
        <f t="shared" si="193"/>
        <v>16</v>
      </c>
      <c r="C1574" s="16" t="s">
        <v>21</v>
      </c>
      <c r="D1574" s="17" t="s">
        <v>12</v>
      </c>
      <c r="E1574" s="18" t="str">
        <f t="shared" si="192"/>
        <v>C/W</v>
      </c>
      <c r="F1574" s="23">
        <v>141</v>
      </c>
      <c r="H1574" s="5" t="e">
        <f ca="1">_xlfn.FORMULATEXT(표1[[#This Row],[Q''ty]])</f>
        <v>#N/A</v>
      </c>
      <c r="I1574" s="28">
        <v>46133</v>
      </c>
      <c r="J1574" s="28">
        <v>46132</v>
      </c>
    </row>
    <row r="1575" spans="1:10" ht="15" hidden="1" customHeight="1" thickTop="1" x14ac:dyDescent="0.4">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10" ht="15" hidden="1" customHeight="1" x14ac:dyDescent="0.4">
      <c r="A1576" s="6">
        <v>2026</v>
      </c>
      <c r="B1576" s="6">
        <f t="shared" si="193"/>
        <v>16</v>
      </c>
      <c r="C1576" s="13" t="s">
        <v>22</v>
      </c>
      <c r="D1576" s="2" t="s">
        <v>6</v>
      </c>
      <c r="E1576" s="14" t="str">
        <f t="shared" si="192"/>
        <v>Paint Booth</v>
      </c>
      <c r="F1576" s="22">
        <f t="shared" si="196"/>
        <v>6</v>
      </c>
      <c r="H1576" s="5" t="str">
        <f ca="1">_xlfn.FORMULATEXT(표1[[#This Row],[Q''ty]])</f>
        <v>=F1477</v>
      </c>
    </row>
    <row r="1577" spans="1:10" ht="15" hidden="1" customHeight="1" x14ac:dyDescent="0.4">
      <c r="A1577" s="6">
        <v>2026</v>
      </c>
      <c r="B1577" s="6">
        <f t="shared" si="193"/>
        <v>16</v>
      </c>
      <c r="C1577" s="13" t="s">
        <v>22</v>
      </c>
      <c r="D1577" s="2" t="s">
        <v>6</v>
      </c>
      <c r="E1577" s="14" t="str">
        <f t="shared" si="192"/>
        <v>Paint Line</v>
      </c>
      <c r="F1577" s="22">
        <f t="shared" si="196"/>
        <v>4</v>
      </c>
      <c r="H1577" s="5" t="str">
        <f ca="1">_xlfn.FORMULATEXT(표1[[#This Row],[Q''ty]])</f>
        <v>=F1478</v>
      </c>
    </row>
    <row r="1578" spans="1:10" ht="15" hidden="1" customHeight="1" x14ac:dyDescent="0.4">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10" ht="15" hidden="1" customHeight="1" x14ac:dyDescent="0.4">
      <c r="A1579" s="6">
        <v>2026</v>
      </c>
      <c r="B1579" s="6">
        <f t="shared" si="193"/>
        <v>16</v>
      </c>
      <c r="C1579" s="13" t="s">
        <v>22</v>
      </c>
      <c r="D1579" s="2" t="s">
        <v>6</v>
      </c>
      <c r="E1579" s="14" t="str">
        <f t="shared" si="192"/>
        <v>L/W Machine</v>
      </c>
      <c r="F1579" s="22">
        <f t="shared" si="196"/>
        <v>7</v>
      </c>
      <c r="H1579" s="5" t="str">
        <f ca="1">_xlfn.FORMULATEXT(표1[[#This Row],[Q''ty]])</f>
        <v>=F1480</v>
      </c>
    </row>
    <row r="1580" spans="1:10" ht="15" hidden="1" customHeight="1" x14ac:dyDescent="0.4">
      <c r="A1580" s="6">
        <v>2026</v>
      </c>
      <c r="B1580" s="6">
        <f t="shared" si="193"/>
        <v>16</v>
      </c>
      <c r="C1580" s="13" t="s">
        <v>22</v>
      </c>
      <c r="D1580" s="2" t="s">
        <v>6</v>
      </c>
      <c r="E1580" s="14" t="str">
        <f t="shared" si="192"/>
        <v>C/W Machine</v>
      </c>
      <c r="F1580" s="22">
        <f t="shared" si="196"/>
        <v>12.5</v>
      </c>
      <c r="H1580" s="5" t="str">
        <f ca="1">_xlfn.FORMULATEXT(표1[[#This Row],[Q''ty]])</f>
        <v>=F1481</v>
      </c>
    </row>
    <row r="1581" spans="1:10" ht="15" customHeight="1" thickTop="1" x14ac:dyDescent="0.4">
      <c r="A1581" s="6">
        <v>2026</v>
      </c>
      <c r="B1581" s="6">
        <f t="shared" si="193"/>
        <v>16</v>
      </c>
      <c r="C1581" s="13" t="s">
        <v>22</v>
      </c>
      <c r="D1581" s="2" t="s">
        <v>12</v>
      </c>
      <c r="E1581" s="14" t="str">
        <f t="shared" si="192"/>
        <v>BT GT</v>
      </c>
      <c r="F1581" s="22">
        <v>6</v>
      </c>
      <c r="H1581" s="5" t="e">
        <f ca="1">_xlfn.FORMULATEXT(표1[[#This Row],[Q''ty]])</f>
        <v>#N/A</v>
      </c>
      <c r="I1581" s="28">
        <v>46133</v>
      </c>
      <c r="J1581" s="28">
        <v>46132</v>
      </c>
    </row>
    <row r="1582" spans="1:10" ht="15" customHeight="1" x14ac:dyDescent="0.4">
      <c r="A1582" s="6">
        <v>2026</v>
      </c>
      <c r="B1582" s="6">
        <f t="shared" si="193"/>
        <v>16</v>
      </c>
      <c r="C1582" s="13" t="s">
        <v>22</v>
      </c>
      <c r="D1582" s="2" t="s">
        <v>12</v>
      </c>
      <c r="E1582" s="14" t="str">
        <f t="shared" si="192"/>
        <v>WT GT</v>
      </c>
      <c r="F1582" s="22">
        <v>9</v>
      </c>
      <c r="H1582" s="5" t="e">
        <f ca="1">_xlfn.FORMULATEXT(표1[[#This Row],[Q''ty]])</f>
        <v>#N/A</v>
      </c>
      <c r="I1582" s="28">
        <v>46133</v>
      </c>
      <c r="J1582" s="28">
        <v>46132</v>
      </c>
    </row>
    <row r="1583" spans="1:10" ht="15" customHeight="1" x14ac:dyDescent="0.4">
      <c r="A1583" s="6">
        <v>2026</v>
      </c>
      <c r="B1583" s="6">
        <f t="shared" si="193"/>
        <v>16</v>
      </c>
      <c r="C1583" s="13" t="s">
        <v>22</v>
      </c>
      <c r="D1583" s="2" t="s">
        <v>12</v>
      </c>
      <c r="E1583" s="14" t="str">
        <f t="shared" si="192"/>
        <v>Bending</v>
      </c>
      <c r="F1583" s="22">
        <f>54+49</f>
        <v>103</v>
      </c>
      <c r="H1583" s="5" t="str">
        <f ca="1">_xlfn.FORMULATEXT(표1[[#This Row],[Q''ty]])</f>
        <v>=54+49</v>
      </c>
      <c r="I1583" s="28">
        <v>46133</v>
      </c>
      <c r="J1583" s="28">
        <v>46132</v>
      </c>
    </row>
    <row r="1584" spans="1:10" ht="15" customHeight="1" x14ac:dyDescent="0.4">
      <c r="A1584" s="6">
        <v>2026</v>
      </c>
      <c r="B1584" s="6">
        <f t="shared" si="193"/>
        <v>16</v>
      </c>
      <c r="C1584" s="13" t="s">
        <v>22</v>
      </c>
      <c r="D1584" s="2" t="s">
        <v>12</v>
      </c>
      <c r="E1584" s="14" t="str">
        <f t="shared" si="192"/>
        <v>L/W</v>
      </c>
      <c r="F1584" s="22">
        <f>40+72</f>
        <v>112</v>
      </c>
      <c r="H1584" s="5" t="str">
        <f ca="1">_xlfn.FORMULATEXT(표1[[#This Row],[Q''ty]])</f>
        <v>=40+72</v>
      </c>
      <c r="I1584" s="28">
        <v>46133</v>
      </c>
      <c r="J1584" s="28">
        <v>46132</v>
      </c>
    </row>
    <row r="1585" spans="1:10" ht="15" customHeight="1" x14ac:dyDescent="0.4">
      <c r="A1585" s="6">
        <v>2026</v>
      </c>
      <c r="B1585" s="6">
        <f t="shared" si="193"/>
        <v>16</v>
      </c>
      <c r="C1585" s="13" t="s">
        <v>22</v>
      </c>
      <c r="D1585" s="2" t="s">
        <v>12</v>
      </c>
      <c r="E1585" s="14" t="str">
        <f t="shared" si="192"/>
        <v>C/W</v>
      </c>
      <c r="F1585" s="22">
        <f>36+55</f>
        <v>91</v>
      </c>
      <c r="H1585" s="5" t="str">
        <f ca="1">_xlfn.FORMULATEXT(표1[[#This Row],[Q''ty]])</f>
        <v>=36+55</v>
      </c>
      <c r="I1585" s="28">
        <v>46133</v>
      </c>
      <c r="J1585" s="28">
        <v>46132</v>
      </c>
    </row>
    <row r="1586" spans="1:10" ht="15" hidden="1" customHeight="1" thickTop="1" x14ac:dyDescent="0.4">
      <c r="A1586" s="9">
        <v>2026</v>
      </c>
      <c r="B1586" s="9">
        <f>B1487+1</f>
        <v>17</v>
      </c>
      <c r="C1586" s="10" t="s">
        <v>28</v>
      </c>
      <c r="D1586" s="11" t="s">
        <v>6</v>
      </c>
      <c r="E1586" s="12" t="s">
        <v>7</v>
      </c>
      <c r="F1586" s="21">
        <f t="shared" ref="F1586:F1591" si="197">F1487</f>
        <v>15</v>
      </c>
      <c r="H1586" s="5" t="str">
        <f ca="1">_xlfn.FORMULATEXT(표1[[#This Row],[Q''ty]])</f>
        <v>=F1487</v>
      </c>
    </row>
    <row r="1587" spans="1:10" s="2" customFormat="1" ht="15" hidden="1" customHeight="1" x14ac:dyDescent="0.4">
      <c r="A1587" s="6">
        <v>2026</v>
      </c>
      <c r="B1587" s="6">
        <f t="shared" ref="B1587:B1650" si="198">B1488+1</f>
        <v>17</v>
      </c>
      <c r="C1587" s="13" t="s">
        <v>23</v>
      </c>
      <c r="D1587" s="2" t="s">
        <v>6</v>
      </c>
      <c r="E1587" s="14" t="s">
        <v>8</v>
      </c>
      <c r="F1587" s="22">
        <f t="shared" si="197"/>
        <v>10</v>
      </c>
      <c r="H1587" s="5" t="str">
        <f ca="1">_xlfn.FORMULATEXT(표1[[#This Row],[Q''ty]])</f>
        <v>=F1488</v>
      </c>
      <c r="I1587" s="26"/>
      <c r="J1587" s="26"/>
    </row>
    <row r="1588" spans="1:10" s="2" customFormat="1" ht="15" hidden="1" customHeight="1" x14ac:dyDescent="0.4">
      <c r="A1588" s="6">
        <v>2026</v>
      </c>
      <c r="B1588" s="6">
        <f t="shared" si="198"/>
        <v>17</v>
      </c>
      <c r="C1588" s="13" t="s">
        <v>23</v>
      </c>
      <c r="D1588" s="2" t="s">
        <v>6</v>
      </c>
      <c r="E1588" s="14" t="s">
        <v>9</v>
      </c>
      <c r="F1588" s="22">
        <f t="shared" si="197"/>
        <v>5</v>
      </c>
      <c r="H1588" s="5" t="str">
        <f ca="1">_xlfn.FORMULATEXT(표1[[#This Row],[Q''ty]])</f>
        <v>=F1489</v>
      </c>
      <c r="I1588" s="26"/>
      <c r="J1588" s="26"/>
    </row>
    <row r="1589" spans="1:10" ht="15" hidden="1" customHeight="1" x14ac:dyDescent="0.4">
      <c r="A1589" s="6">
        <v>2026</v>
      </c>
      <c r="B1589" s="6">
        <f t="shared" si="198"/>
        <v>17</v>
      </c>
      <c r="C1589" s="13" t="s">
        <v>23</v>
      </c>
      <c r="D1589" s="2" t="s">
        <v>6</v>
      </c>
      <c r="E1589" s="14" t="s">
        <v>27</v>
      </c>
      <c r="F1589" s="22">
        <f t="shared" si="197"/>
        <v>6</v>
      </c>
      <c r="H1589" s="5" t="str">
        <f ca="1">_xlfn.FORMULATEXT(표1[[#This Row],[Q''ty]])</f>
        <v>=F1490</v>
      </c>
    </row>
    <row r="1590" spans="1:10" ht="15" hidden="1" customHeight="1" x14ac:dyDescent="0.4">
      <c r="A1590" s="6">
        <v>2026</v>
      </c>
      <c r="B1590" s="6">
        <f t="shared" si="198"/>
        <v>17</v>
      </c>
      <c r="C1590" s="13" t="s">
        <v>23</v>
      </c>
      <c r="D1590" s="2" t="s">
        <v>6</v>
      </c>
      <c r="E1590" s="14" t="s">
        <v>10</v>
      </c>
      <c r="F1590" s="22">
        <f t="shared" si="197"/>
        <v>10</v>
      </c>
      <c r="H1590" s="5" t="str">
        <f ca="1">_xlfn.FORMULATEXT(표1[[#This Row],[Q''ty]])</f>
        <v>=F1491</v>
      </c>
    </row>
    <row r="1591" spans="1:10" ht="15" hidden="1" customHeight="1" x14ac:dyDescent="0.4">
      <c r="A1591" s="6">
        <v>2026</v>
      </c>
      <c r="B1591" s="6">
        <f t="shared" si="198"/>
        <v>17</v>
      </c>
      <c r="C1591" s="13" t="s">
        <v>23</v>
      </c>
      <c r="D1591" s="2" t="s">
        <v>6</v>
      </c>
      <c r="E1591" s="14" t="s">
        <v>11</v>
      </c>
      <c r="F1591" s="22">
        <f t="shared" si="197"/>
        <v>10</v>
      </c>
      <c r="H1591" s="5" t="str">
        <f ca="1">_xlfn.FORMULATEXT(표1[[#This Row],[Q''ty]])</f>
        <v>=F1492</v>
      </c>
    </row>
    <row r="1592" spans="1:10" ht="15" customHeight="1" x14ac:dyDescent="0.4">
      <c r="A1592" s="6">
        <v>2026</v>
      </c>
      <c r="B1592" s="6">
        <f t="shared" si="198"/>
        <v>17</v>
      </c>
      <c r="C1592" s="13" t="s">
        <v>23</v>
      </c>
      <c r="D1592" s="2" t="s">
        <v>12</v>
      </c>
      <c r="E1592" s="14" t="s">
        <v>13</v>
      </c>
      <c r="F1592" s="22">
        <v>16</v>
      </c>
      <c r="H1592" s="5" t="e">
        <f ca="1">_xlfn.FORMULATEXT(표1[[#This Row],[Q''ty]])</f>
        <v>#N/A</v>
      </c>
      <c r="I1592" s="28">
        <v>46139</v>
      </c>
      <c r="J1592" s="28">
        <v>46136</v>
      </c>
    </row>
    <row r="1593" spans="1:10" s="2" customFormat="1" ht="15" customHeight="1" x14ac:dyDescent="0.4">
      <c r="A1593" s="6">
        <v>2026</v>
      </c>
      <c r="B1593" s="6">
        <f t="shared" si="198"/>
        <v>17</v>
      </c>
      <c r="C1593" s="13" t="s">
        <v>23</v>
      </c>
      <c r="D1593" s="2" t="s">
        <v>12</v>
      </c>
      <c r="E1593" s="14" t="s">
        <v>14</v>
      </c>
      <c r="F1593" s="22">
        <v>7</v>
      </c>
      <c r="H1593" s="5" t="e">
        <f ca="1">_xlfn.FORMULATEXT(표1[[#This Row],[Q''ty]])</f>
        <v>#N/A</v>
      </c>
      <c r="I1593" s="28">
        <v>46139</v>
      </c>
      <c r="J1593" s="28">
        <v>46136</v>
      </c>
    </row>
    <row r="1594" spans="1:10" ht="15" customHeight="1" x14ac:dyDescent="0.4">
      <c r="A1594" s="6">
        <v>2026</v>
      </c>
      <c r="B1594" s="6">
        <f t="shared" si="198"/>
        <v>17</v>
      </c>
      <c r="C1594" s="13" t="s">
        <v>23</v>
      </c>
      <c r="D1594" s="2" t="s">
        <v>12</v>
      </c>
      <c r="E1594" s="14" t="s">
        <v>15</v>
      </c>
      <c r="F1594" s="22">
        <v>178</v>
      </c>
      <c r="H1594" s="5" t="e">
        <f ca="1">_xlfn.FORMULATEXT(표1[[#This Row],[Q''ty]])</f>
        <v>#N/A</v>
      </c>
      <c r="I1594" s="28">
        <v>46139</v>
      </c>
      <c r="J1594" s="28">
        <v>46136</v>
      </c>
    </row>
    <row r="1595" spans="1:10" ht="15" customHeight="1" x14ac:dyDescent="0.4">
      <c r="A1595" s="6">
        <v>2026</v>
      </c>
      <c r="B1595" s="6">
        <f t="shared" si="198"/>
        <v>17</v>
      </c>
      <c r="C1595" s="13" t="s">
        <v>23</v>
      </c>
      <c r="D1595" s="2" t="s">
        <v>12</v>
      </c>
      <c r="E1595" s="14" t="s">
        <v>16</v>
      </c>
      <c r="F1595" s="22">
        <v>185</v>
      </c>
      <c r="H1595" s="5" t="e">
        <f ca="1">_xlfn.FORMULATEXT(표1[[#This Row],[Q''ty]])</f>
        <v>#N/A</v>
      </c>
      <c r="I1595" s="28">
        <v>46139</v>
      </c>
      <c r="J1595" s="28">
        <v>46136</v>
      </c>
    </row>
    <row r="1596" spans="1:10" ht="15" customHeight="1" thickBot="1" x14ac:dyDescent="0.45">
      <c r="A1596" s="15">
        <v>2026</v>
      </c>
      <c r="B1596" s="15">
        <f t="shared" si="198"/>
        <v>17</v>
      </c>
      <c r="C1596" s="16" t="s">
        <v>23</v>
      </c>
      <c r="D1596" s="17" t="s">
        <v>12</v>
      </c>
      <c r="E1596" s="18" t="s">
        <v>17</v>
      </c>
      <c r="F1596" s="23">
        <v>190</v>
      </c>
      <c r="H1596" s="5" t="e">
        <f ca="1">_xlfn.FORMULATEXT(표1[[#This Row],[Q''ty]])</f>
        <v>#N/A</v>
      </c>
      <c r="I1596" s="28">
        <v>46139</v>
      </c>
      <c r="J1596" s="28">
        <v>46136</v>
      </c>
    </row>
    <row r="1597" spans="1:10" ht="15" hidden="1" customHeight="1" thickTop="1" x14ac:dyDescent="0.4">
      <c r="A1597" s="9">
        <v>2026</v>
      </c>
      <c r="B1597" s="9">
        <f t="shared" si="198"/>
        <v>17</v>
      </c>
      <c r="C1597" s="10" t="s">
        <v>29</v>
      </c>
      <c r="D1597" s="11" t="s">
        <v>6</v>
      </c>
      <c r="E1597" s="12" t="s">
        <v>7</v>
      </c>
      <c r="F1597" s="21">
        <f t="shared" ref="F1597:F1602" si="199">F1498</f>
        <v>14</v>
      </c>
      <c r="H1597" s="5" t="str">
        <f ca="1">_xlfn.FORMULATEXT(표1[[#This Row],[Q''ty]])</f>
        <v>=F1498</v>
      </c>
    </row>
    <row r="1598" spans="1:10" s="2" customFormat="1" ht="15" hidden="1" customHeight="1" x14ac:dyDescent="0.4">
      <c r="A1598" s="6">
        <v>2026</v>
      </c>
      <c r="B1598" s="6">
        <f t="shared" si="198"/>
        <v>17</v>
      </c>
      <c r="C1598" s="13" t="s">
        <v>24</v>
      </c>
      <c r="D1598" s="2" t="s">
        <v>6</v>
      </c>
      <c r="E1598" s="14" t="s">
        <v>8</v>
      </c>
      <c r="F1598" s="22">
        <f t="shared" si="199"/>
        <v>8</v>
      </c>
      <c r="H1598" s="5" t="str">
        <f ca="1">_xlfn.FORMULATEXT(표1[[#This Row],[Q''ty]])</f>
        <v>=F1499</v>
      </c>
      <c r="I1598" s="26"/>
      <c r="J1598" s="26"/>
    </row>
    <row r="1599" spans="1:10" s="2" customFormat="1" ht="15" hidden="1" customHeight="1" x14ac:dyDescent="0.4">
      <c r="A1599" s="6">
        <v>2026</v>
      </c>
      <c r="B1599" s="6">
        <f t="shared" si="198"/>
        <v>17</v>
      </c>
      <c r="C1599" s="13" t="s">
        <v>24</v>
      </c>
      <c r="D1599" s="2" t="s">
        <v>6</v>
      </c>
      <c r="E1599" s="14" t="s">
        <v>9</v>
      </c>
      <c r="F1599" s="22">
        <f t="shared" si="199"/>
        <v>4</v>
      </c>
      <c r="H1599" s="5" t="str">
        <f ca="1">_xlfn.FORMULATEXT(표1[[#This Row],[Q''ty]])</f>
        <v>=F1500</v>
      </c>
      <c r="I1599" s="26"/>
      <c r="J1599" s="26"/>
    </row>
    <row r="1600" spans="1:10" ht="15" hidden="1" customHeight="1" x14ac:dyDescent="0.4">
      <c r="A1600" s="6">
        <v>2026</v>
      </c>
      <c r="B1600" s="6">
        <f t="shared" si="198"/>
        <v>17</v>
      </c>
      <c r="C1600" s="13" t="s">
        <v>24</v>
      </c>
      <c r="D1600" s="2" t="s">
        <v>6</v>
      </c>
      <c r="E1600" s="14" t="s">
        <v>27</v>
      </c>
      <c r="F1600" s="22">
        <f t="shared" si="199"/>
        <v>3</v>
      </c>
      <c r="H1600" s="5" t="str">
        <f ca="1">_xlfn.FORMULATEXT(표1[[#This Row],[Q''ty]])</f>
        <v>=F1501</v>
      </c>
    </row>
    <row r="1601" spans="1:10" ht="15" hidden="1" customHeight="1" x14ac:dyDescent="0.4">
      <c r="A1601" s="6">
        <v>2026</v>
      </c>
      <c r="B1601" s="6">
        <f t="shared" si="198"/>
        <v>17</v>
      </c>
      <c r="C1601" s="13" t="s">
        <v>24</v>
      </c>
      <c r="D1601" s="2" t="s">
        <v>6</v>
      </c>
      <c r="E1601" s="14" t="s">
        <v>10</v>
      </c>
      <c r="F1601" s="22">
        <f t="shared" si="199"/>
        <v>6</v>
      </c>
      <c r="H1601" s="5" t="str">
        <f ca="1">_xlfn.FORMULATEXT(표1[[#This Row],[Q''ty]])</f>
        <v>=F1502</v>
      </c>
    </row>
    <row r="1602" spans="1:10" ht="15" hidden="1" customHeight="1" x14ac:dyDescent="0.4">
      <c r="A1602" s="6">
        <v>2026</v>
      </c>
      <c r="B1602" s="6">
        <f t="shared" si="198"/>
        <v>17</v>
      </c>
      <c r="C1602" s="13" t="s">
        <v>24</v>
      </c>
      <c r="D1602" s="2" t="s">
        <v>6</v>
      </c>
      <c r="E1602" s="14" t="s">
        <v>11</v>
      </c>
      <c r="F1602" s="22">
        <f t="shared" si="199"/>
        <v>8.8000000000000007</v>
      </c>
      <c r="H1602" s="5" t="str">
        <f ca="1">_xlfn.FORMULATEXT(표1[[#This Row],[Q''ty]])</f>
        <v>=F1503</v>
      </c>
    </row>
    <row r="1603" spans="1:10" ht="15" customHeight="1" thickTop="1" x14ac:dyDescent="0.4">
      <c r="A1603" s="6">
        <v>2026</v>
      </c>
      <c r="B1603" s="6">
        <f t="shared" si="198"/>
        <v>17</v>
      </c>
      <c r="C1603" s="13" t="s">
        <v>24</v>
      </c>
      <c r="D1603" s="2" t="s">
        <v>12</v>
      </c>
      <c r="E1603" s="14" t="s">
        <v>13</v>
      </c>
      <c r="F1603" s="22">
        <v>12</v>
      </c>
      <c r="H1603" s="5" t="e">
        <f ca="1">_xlfn.FORMULATEXT(표1[[#This Row],[Q''ty]])</f>
        <v>#N/A</v>
      </c>
      <c r="I1603" s="28">
        <v>46139</v>
      </c>
      <c r="J1603" s="28">
        <v>46136</v>
      </c>
    </row>
    <row r="1604" spans="1:10" s="2" customFormat="1" ht="15" customHeight="1" x14ac:dyDescent="0.4">
      <c r="A1604" s="6">
        <v>2026</v>
      </c>
      <c r="B1604" s="6">
        <f t="shared" si="198"/>
        <v>17</v>
      </c>
      <c r="C1604" s="13" t="s">
        <v>24</v>
      </c>
      <c r="D1604" s="2" t="s">
        <v>12</v>
      </c>
      <c r="E1604" s="14" t="s">
        <v>14</v>
      </c>
      <c r="F1604" s="22">
        <v>12</v>
      </c>
      <c r="H1604" s="5" t="e">
        <f ca="1">_xlfn.FORMULATEXT(표1[[#This Row],[Q''ty]])</f>
        <v>#N/A</v>
      </c>
      <c r="I1604" s="28">
        <v>46139</v>
      </c>
      <c r="J1604" s="28">
        <v>46136</v>
      </c>
    </row>
    <row r="1605" spans="1:10" ht="15" customHeight="1" x14ac:dyDescent="0.4">
      <c r="A1605" s="6">
        <v>2026</v>
      </c>
      <c r="B1605" s="6">
        <f t="shared" si="198"/>
        <v>17</v>
      </c>
      <c r="C1605" s="13" t="s">
        <v>24</v>
      </c>
      <c r="D1605" s="2" t="s">
        <v>12</v>
      </c>
      <c r="E1605" s="14" t="s">
        <v>15</v>
      </c>
      <c r="F1605" s="22">
        <v>132</v>
      </c>
      <c r="H1605" s="5" t="e">
        <f ca="1">_xlfn.FORMULATEXT(표1[[#This Row],[Q''ty]])</f>
        <v>#N/A</v>
      </c>
      <c r="I1605" s="28">
        <v>46139</v>
      </c>
      <c r="J1605" s="28">
        <v>46136</v>
      </c>
    </row>
    <row r="1606" spans="1:10" ht="15" customHeight="1" x14ac:dyDescent="0.4">
      <c r="A1606" s="6">
        <v>2026</v>
      </c>
      <c r="B1606" s="6">
        <f t="shared" si="198"/>
        <v>17</v>
      </c>
      <c r="C1606" s="13" t="s">
        <v>24</v>
      </c>
      <c r="D1606" s="2" t="s">
        <v>12</v>
      </c>
      <c r="E1606" s="14" t="s">
        <v>16</v>
      </c>
      <c r="F1606" s="22">
        <v>129</v>
      </c>
      <c r="H1606" s="5" t="e">
        <f ca="1">_xlfn.FORMULATEXT(표1[[#This Row],[Q''ty]])</f>
        <v>#N/A</v>
      </c>
      <c r="I1606" s="28">
        <v>46139</v>
      </c>
      <c r="J1606" s="28">
        <v>46136</v>
      </c>
    </row>
    <row r="1607" spans="1:10" ht="15" customHeight="1" thickBot="1" x14ac:dyDescent="0.45">
      <c r="A1607" s="15">
        <v>2026</v>
      </c>
      <c r="B1607" s="15">
        <f t="shared" si="198"/>
        <v>17</v>
      </c>
      <c r="C1607" s="16" t="s">
        <v>24</v>
      </c>
      <c r="D1607" s="17" t="s">
        <v>12</v>
      </c>
      <c r="E1607" s="18" t="s">
        <v>17</v>
      </c>
      <c r="F1607" s="23">
        <v>151</v>
      </c>
      <c r="H1607" s="5" t="e">
        <f ca="1">_xlfn.FORMULATEXT(표1[[#This Row],[Q''ty]])</f>
        <v>#N/A</v>
      </c>
      <c r="I1607" s="28">
        <v>46139</v>
      </c>
      <c r="J1607" s="28">
        <v>46136</v>
      </c>
    </row>
    <row r="1608" spans="1:10" ht="15" hidden="1" customHeight="1" thickTop="1" x14ac:dyDescent="0.4">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10" ht="15" hidden="1" customHeight="1" x14ac:dyDescent="0.4">
      <c r="A1609" s="6">
        <v>2026</v>
      </c>
      <c r="B1609" s="6">
        <f t="shared" si="198"/>
        <v>17</v>
      </c>
      <c r="C1609" s="13" t="s">
        <v>18</v>
      </c>
      <c r="D1609" s="2" t="s">
        <v>6</v>
      </c>
      <c r="E1609" s="14" t="str">
        <f t="shared" si="200"/>
        <v>Paint Booth</v>
      </c>
      <c r="F1609" s="22">
        <f t="shared" si="200"/>
        <v>3</v>
      </c>
      <c r="H1609" s="5" t="str">
        <f ca="1">_xlfn.FORMULATEXT(표1[[#This Row],[Q''ty]])</f>
        <v>=F1510</v>
      </c>
    </row>
    <row r="1610" spans="1:10" ht="15" hidden="1" customHeight="1" x14ac:dyDescent="0.4">
      <c r="A1610" s="6">
        <v>2026</v>
      </c>
      <c r="B1610" s="6">
        <f t="shared" si="198"/>
        <v>17</v>
      </c>
      <c r="C1610" s="13" t="s">
        <v>18</v>
      </c>
      <c r="D1610" s="2" t="s">
        <v>6</v>
      </c>
      <c r="E1610" s="14" t="str">
        <f t="shared" si="200"/>
        <v>Paint Line</v>
      </c>
      <c r="F1610" s="22">
        <f t="shared" si="200"/>
        <v>2</v>
      </c>
      <c r="H1610" s="5" t="str">
        <f ca="1">_xlfn.FORMULATEXT(표1[[#This Row],[Q''ty]])</f>
        <v>=F1511</v>
      </c>
    </row>
    <row r="1611" spans="1:10" ht="15" hidden="1" customHeight="1" x14ac:dyDescent="0.4">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10" ht="15" hidden="1" customHeight="1" x14ac:dyDescent="0.4">
      <c r="A1612" s="6">
        <v>2026</v>
      </c>
      <c r="B1612" s="6">
        <f t="shared" si="198"/>
        <v>17</v>
      </c>
      <c r="C1612" s="13" t="s">
        <v>18</v>
      </c>
      <c r="D1612" s="2" t="s">
        <v>6</v>
      </c>
      <c r="E1612" s="14" t="str">
        <f t="shared" si="200"/>
        <v>L/W Machine</v>
      </c>
      <c r="F1612" s="22">
        <f t="shared" si="200"/>
        <v>2</v>
      </c>
      <c r="H1612" s="5" t="str">
        <f ca="1">_xlfn.FORMULATEXT(표1[[#This Row],[Q''ty]])</f>
        <v>=F1513</v>
      </c>
    </row>
    <row r="1613" spans="1:10" ht="15" hidden="1" customHeight="1" x14ac:dyDescent="0.4">
      <c r="A1613" s="6">
        <v>2026</v>
      </c>
      <c r="B1613" s="6">
        <f t="shared" si="198"/>
        <v>17</v>
      </c>
      <c r="C1613" s="13" t="s">
        <v>18</v>
      </c>
      <c r="D1613" s="2" t="s">
        <v>6</v>
      </c>
      <c r="E1613" s="14" t="str">
        <f t="shared" si="200"/>
        <v>C/W Machine</v>
      </c>
      <c r="F1613" s="22">
        <f t="shared" si="200"/>
        <v>3</v>
      </c>
      <c r="H1613" s="5" t="str">
        <f ca="1">_xlfn.FORMULATEXT(표1[[#This Row],[Q''ty]])</f>
        <v>=F1514</v>
      </c>
    </row>
    <row r="1614" spans="1:10" ht="15" customHeight="1" thickTop="1" x14ac:dyDescent="0.4">
      <c r="A1614" s="6">
        <v>2026</v>
      </c>
      <c r="B1614" s="6">
        <f t="shared" si="198"/>
        <v>17</v>
      </c>
      <c r="C1614" s="13" t="s">
        <v>18</v>
      </c>
      <c r="D1614" s="2" t="s">
        <v>12</v>
      </c>
      <c r="E1614" s="14" t="str">
        <f t="shared" ref="E1614:E1629" si="201">E1515</f>
        <v>BT GT</v>
      </c>
      <c r="F1614" s="22">
        <v>2</v>
      </c>
      <c r="H1614" s="5" t="e">
        <f ca="1">_xlfn.FORMULATEXT(표1[[#This Row],[Q''ty]])</f>
        <v>#N/A</v>
      </c>
      <c r="I1614" s="28">
        <v>46140</v>
      </c>
      <c r="J1614" s="28">
        <v>46139</v>
      </c>
    </row>
    <row r="1615" spans="1:10" ht="15" customHeight="1" x14ac:dyDescent="0.4">
      <c r="A1615" s="6">
        <v>2026</v>
      </c>
      <c r="B1615" s="6">
        <f t="shared" si="198"/>
        <v>17</v>
      </c>
      <c r="C1615" s="13" t="s">
        <v>18</v>
      </c>
      <c r="D1615" s="2" t="s">
        <v>12</v>
      </c>
      <c r="E1615" s="14" t="str">
        <f t="shared" si="201"/>
        <v>WT GT</v>
      </c>
      <c r="F1615" s="22">
        <v>1</v>
      </c>
      <c r="H1615" s="5" t="e">
        <f ca="1">_xlfn.FORMULATEXT(표1[[#This Row],[Q''ty]])</f>
        <v>#N/A</v>
      </c>
      <c r="I1615" s="28">
        <v>46140</v>
      </c>
      <c r="J1615" s="28">
        <v>46139</v>
      </c>
    </row>
    <row r="1616" spans="1:10" ht="15" customHeight="1" x14ac:dyDescent="0.4">
      <c r="A1616" s="6">
        <v>2026</v>
      </c>
      <c r="B1616" s="6">
        <f t="shared" si="198"/>
        <v>17</v>
      </c>
      <c r="C1616" s="13" t="s">
        <v>18</v>
      </c>
      <c r="D1616" s="2" t="s">
        <v>12</v>
      </c>
      <c r="E1616" s="14" t="str">
        <f t="shared" si="201"/>
        <v>Bending</v>
      </c>
      <c r="F1616" s="22">
        <v>22</v>
      </c>
      <c r="H1616" s="5" t="e">
        <f ca="1">_xlfn.FORMULATEXT(표1[[#This Row],[Q''ty]])</f>
        <v>#N/A</v>
      </c>
      <c r="I1616" s="28">
        <v>46140</v>
      </c>
      <c r="J1616" s="28">
        <v>46139</v>
      </c>
    </row>
    <row r="1617" spans="1:10" ht="15" customHeight="1" x14ac:dyDescent="0.4">
      <c r="A1617" s="6">
        <v>2026</v>
      </c>
      <c r="B1617" s="6">
        <f t="shared" si="198"/>
        <v>17</v>
      </c>
      <c r="C1617" s="13" t="s">
        <v>18</v>
      </c>
      <c r="D1617" s="2" t="s">
        <v>12</v>
      </c>
      <c r="E1617" s="14" t="str">
        <f t="shared" si="201"/>
        <v>L/W</v>
      </c>
      <c r="F1617" s="22">
        <v>22</v>
      </c>
      <c r="H1617" s="5" t="e">
        <f ca="1">_xlfn.FORMULATEXT(표1[[#This Row],[Q''ty]])</f>
        <v>#N/A</v>
      </c>
      <c r="I1617" s="28">
        <v>46140</v>
      </c>
      <c r="J1617" s="28">
        <v>46139</v>
      </c>
    </row>
    <row r="1618" spans="1:10" ht="15" customHeight="1" thickBot="1" x14ac:dyDescent="0.45">
      <c r="A1618" s="15">
        <v>2026</v>
      </c>
      <c r="B1618" s="15">
        <f t="shared" si="198"/>
        <v>17</v>
      </c>
      <c r="C1618" s="16" t="s">
        <v>18</v>
      </c>
      <c r="D1618" s="17" t="s">
        <v>12</v>
      </c>
      <c r="E1618" s="18" t="str">
        <f t="shared" si="201"/>
        <v>C/W</v>
      </c>
      <c r="F1618" s="23">
        <v>18.5</v>
      </c>
      <c r="H1618" s="5" t="e">
        <f ca="1">_xlfn.FORMULATEXT(표1[[#This Row],[Q''ty]])</f>
        <v>#N/A</v>
      </c>
      <c r="I1618" s="28">
        <v>46140</v>
      </c>
      <c r="J1618" s="28">
        <v>46139</v>
      </c>
    </row>
    <row r="1619" spans="1:10" ht="15" hidden="1" customHeight="1" thickTop="1" x14ac:dyDescent="0.4">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10" ht="15" hidden="1" customHeight="1" x14ac:dyDescent="0.4">
      <c r="A1620" s="6">
        <v>2026</v>
      </c>
      <c r="B1620" s="6">
        <f t="shared" si="198"/>
        <v>17</v>
      </c>
      <c r="C1620" s="13" t="s">
        <v>19</v>
      </c>
      <c r="D1620" s="2" t="s">
        <v>6</v>
      </c>
      <c r="E1620" s="14" t="str">
        <f t="shared" si="201"/>
        <v>Paint Booth</v>
      </c>
      <c r="F1620" s="22">
        <f t="shared" si="202"/>
        <v>22</v>
      </c>
      <c r="H1620" s="5" t="str">
        <f ca="1">_xlfn.FORMULATEXT(표1[[#This Row],[Q''ty]])</f>
        <v>=F1521</v>
      </c>
    </row>
    <row r="1621" spans="1:10" ht="15" hidden="1" customHeight="1" x14ac:dyDescent="0.4">
      <c r="A1621" s="6">
        <v>2026</v>
      </c>
      <c r="B1621" s="6">
        <f t="shared" si="198"/>
        <v>17</v>
      </c>
      <c r="C1621" s="13" t="s">
        <v>19</v>
      </c>
      <c r="D1621" s="2" t="s">
        <v>6</v>
      </c>
      <c r="E1621" s="14" t="str">
        <f t="shared" si="201"/>
        <v>Paint Line</v>
      </c>
      <c r="F1621" s="22">
        <f t="shared" si="202"/>
        <v>6</v>
      </c>
      <c r="H1621" s="5" t="str">
        <f ca="1">_xlfn.FORMULATEXT(표1[[#This Row],[Q''ty]])</f>
        <v>=F1522</v>
      </c>
    </row>
    <row r="1622" spans="1:10" ht="15" hidden="1" customHeight="1" x14ac:dyDescent="0.4">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10" ht="15" hidden="1" customHeight="1" x14ac:dyDescent="0.4">
      <c r="A1623" s="6">
        <v>2026</v>
      </c>
      <c r="B1623" s="6">
        <f t="shared" si="198"/>
        <v>17</v>
      </c>
      <c r="C1623" s="13" t="s">
        <v>19</v>
      </c>
      <c r="D1623" s="2" t="s">
        <v>6</v>
      </c>
      <c r="E1623" s="14" t="str">
        <f t="shared" si="201"/>
        <v>L/W Machine</v>
      </c>
      <c r="F1623" s="22">
        <f t="shared" si="202"/>
        <v>10</v>
      </c>
      <c r="H1623" s="5" t="str">
        <f ca="1">_xlfn.FORMULATEXT(표1[[#This Row],[Q''ty]])</f>
        <v>=F1524</v>
      </c>
    </row>
    <row r="1624" spans="1:10" ht="15" hidden="1" customHeight="1" x14ac:dyDescent="0.4">
      <c r="A1624" s="6">
        <v>2026</v>
      </c>
      <c r="B1624" s="6">
        <f t="shared" si="198"/>
        <v>17</v>
      </c>
      <c r="C1624" s="13" t="s">
        <v>19</v>
      </c>
      <c r="D1624" s="2" t="s">
        <v>6</v>
      </c>
      <c r="E1624" s="14" t="str">
        <f t="shared" si="201"/>
        <v>C/W Machine</v>
      </c>
      <c r="F1624" s="22">
        <f t="shared" si="202"/>
        <v>12</v>
      </c>
      <c r="H1624" s="5" t="str">
        <f ca="1">_xlfn.FORMULATEXT(표1[[#This Row],[Q''ty]])</f>
        <v>=F1525</v>
      </c>
    </row>
    <row r="1625" spans="1:10" ht="15" customHeight="1" thickTop="1" x14ac:dyDescent="0.4">
      <c r="A1625" s="6">
        <v>2026</v>
      </c>
      <c r="B1625" s="6">
        <f t="shared" si="198"/>
        <v>17</v>
      </c>
      <c r="C1625" s="13" t="s">
        <v>19</v>
      </c>
      <c r="D1625" s="2" t="s">
        <v>12</v>
      </c>
      <c r="E1625" s="14" t="str">
        <f t="shared" si="201"/>
        <v>BT GT</v>
      </c>
      <c r="F1625" s="22">
        <v>40</v>
      </c>
      <c r="H1625" s="5" t="e">
        <f ca="1">_xlfn.FORMULATEXT(표1[[#This Row],[Q''ty]])</f>
        <v>#N/A</v>
      </c>
      <c r="I1625" s="28">
        <v>46139</v>
      </c>
      <c r="J1625" s="28">
        <v>46139</v>
      </c>
    </row>
    <row r="1626" spans="1:10" ht="15" customHeight="1" x14ac:dyDescent="0.4">
      <c r="A1626" s="6">
        <v>2026</v>
      </c>
      <c r="B1626" s="6">
        <f t="shared" si="198"/>
        <v>17</v>
      </c>
      <c r="C1626" s="13" t="s">
        <v>19</v>
      </c>
      <c r="D1626" s="2" t="s">
        <v>12</v>
      </c>
      <c r="E1626" s="14" t="str">
        <f t="shared" si="201"/>
        <v>WT GT</v>
      </c>
      <c r="F1626" s="22">
        <v>39</v>
      </c>
      <c r="H1626" s="5" t="e">
        <f ca="1">_xlfn.FORMULATEXT(표1[[#This Row],[Q''ty]])</f>
        <v>#N/A</v>
      </c>
      <c r="I1626" s="28">
        <v>46139</v>
      </c>
      <c r="J1626" s="28">
        <v>46139</v>
      </c>
    </row>
    <row r="1627" spans="1:10" ht="15" customHeight="1" x14ac:dyDescent="0.4">
      <c r="A1627" s="6">
        <v>2026</v>
      </c>
      <c r="B1627" s="6">
        <f t="shared" si="198"/>
        <v>17</v>
      </c>
      <c r="C1627" s="13" t="s">
        <v>19</v>
      </c>
      <c r="D1627" s="2" t="s">
        <v>12</v>
      </c>
      <c r="E1627" s="14" t="str">
        <f t="shared" si="201"/>
        <v>Bending</v>
      </c>
      <c r="F1627" s="22">
        <v>316</v>
      </c>
      <c r="H1627" s="5" t="e">
        <f ca="1">_xlfn.FORMULATEXT(표1[[#This Row],[Q''ty]])</f>
        <v>#N/A</v>
      </c>
      <c r="I1627" s="28">
        <v>46139</v>
      </c>
      <c r="J1627" s="28">
        <v>46139</v>
      </c>
    </row>
    <row r="1628" spans="1:10" ht="15" customHeight="1" x14ac:dyDescent="0.4">
      <c r="A1628" s="6">
        <v>2026</v>
      </c>
      <c r="B1628" s="6">
        <f t="shared" si="198"/>
        <v>17</v>
      </c>
      <c r="C1628" s="13" t="s">
        <v>19</v>
      </c>
      <c r="D1628" s="2" t="s">
        <v>12</v>
      </c>
      <c r="E1628" s="14" t="str">
        <f t="shared" si="201"/>
        <v>L/W</v>
      </c>
      <c r="F1628" s="22">
        <v>316</v>
      </c>
      <c r="H1628" s="5" t="e">
        <f ca="1">_xlfn.FORMULATEXT(표1[[#This Row],[Q''ty]])</f>
        <v>#N/A</v>
      </c>
      <c r="I1628" s="28">
        <v>46139</v>
      </c>
      <c r="J1628" s="28">
        <v>46139</v>
      </c>
    </row>
    <row r="1629" spans="1:10" ht="15" customHeight="1" thickBot="1" x14ac:dyDescent="0.45">
      <c r="A1629" s="15">
        <v>2026</v>
      </c>
      <c r="B1629" s="15">
        <f t="shared" si="198"/>
        <v>17</v>
      </c>
      <c r="C1629" s="16" t="s">
        <v>19</v>
      </c>
      <c r="D1629" s="17" t="s">
        <v>12</v>
      </c>
      <c r="E1629" s="18" t="str">
        <f t="shared" si="201"/>
        <v>C/W</v>
      </c>
      <c r="F1629" s="23">
        <v>353</v>
      </c>
      <c r="H1629" s="5" t="e">
        <f ca="1">_xlfn.FORMULATEXT(표1[[#This Row],[Q''ty]])</f>
        <v>#N/A</v>
      </c>
      <c r="I1629" s="28">
        <v>46139</v>
      </c>
      <c r="J1629" s="28">
        <v>46139</v>
      </c>
    </row>
    <row r="1630" spans="1:10" ht="15" hidden="1" customHeight="1" thickTop="1" x14ac:dyDescent="0.4">
      <c r="A1630" s="6">
        <v>2026</v>
      </c>
      <c r="B1630" s="6">
        <f t="shared" si="198"/>
        <v>17</v>
      </c>
      <c r="C1630" s="13" t="s">
        <v>25</v>
      </c>
      <c r="D1630" s="2" t="s">
        <v>6</v>
      </c>
      <c r="E1630" s="14" t="s">
        <v>7</v>
      </c>
      <c r="F1630" s="22">
        <f t="shared" ref="F1630:F1635" si="203">F1531</f>
        <v>3</v>
      </c>
      <c r="H1630" s="5" t="str">
        <f ca="1">_xlfn.FORMULATEXT(표1[[#This Row],[Q''ty]])</f>
        <v>=F1531</v>
      </c>
    </row>
    <row r="1631" spans="1:10" ht="15" hidden="1" customHeight="1" x14ac:dyDescent="0.4">
      <c r="A1631" s="6">
        <v>2026</v>
      </c>
      <c r="B1631" s="6">
        <f t="shared" si="198"/>
        <v>17</v>
      </c>
      <c r="C1631" s="13" t="s">
        <v>25</v>
      </c>
      <c r="D1631" s="2" t="s">
        <v>6</v>
      </c>
      <c r="E1631" s="14" t="s">
        <v>8</v>
      </c>
      <c r="F1631" s="22">
        <f t="shared" si="203"/>
        <v>3</v>
      </c>
      <c r="H1631" s="5" t="str">
        <f ca="1">_xlfn.FORMULATEXT(표1[[#This Row],[Q''ty]])</f>
        <v>=F1532</v>
      </c>
    </row>
    <row r="1632" spans="1:10" ht="15" hidden="1" customHeight="1" x14ac:dyDescent="0.4">
      <c r="A1632" s="6">
        <v>2026</v>
      </c>
      <c r="B1632" s="6">
        <f t="shared" si="198"/>
        <v>17</v>
      </c>
      <c r="C1632" s="13" t="s">
        <v>25</v>
      </c>
      <c r="D1632" s="2" t="s">
        <v>6</v>
      </c>
      <c r="E1632" s="14" t="s">
        <v>9</v>
      </c>
      <c r="F1632" s="22">
        <f t="shared" si="203"/>
        <v>2</v>
      </c>
      <c r="H1632" s="5" t="str">
        <f ca="1">_xlfn.FORMULATEXT(표1[[#This Row],[Q''ty]])</f>
        <v>=F1533</v>
      </c>
    </row>
    <row r="1633" spans="1:10" ht="15" hidden="1" customHeight="1" x14ac:dyDescent="0.4">
      <c r="A1633" s="6">
        <v>2026</v>
      </c>
      <c r="B1633" s="6">
        <f t="shared" si="198"/>
        <v>17</v>
      </c>
      <c r="C1633" s="13" t="s">
        <v>25</v>
      </c>
      <c r="D1633" s="2" t="s">
        <v>6</v>
      </c>
      <c r="E1633" s="14" t="s">
        <v>27</v>
      </c>
      <c r="F1633" s="22">
        <f t="shared" si="203"/>
        <v>2</v>
      </c>
      <c r="H1633" s="5" t="str">
        <f ca="1">_xlfn.FORMULATEXT(표1[[#This Row],[Q''ty]])</f>
        <v>=F1534</v>
      </c>
    </row>
    <row r="1634" spans="1:10" ht="15" hidden="1" customHeight="1" x14ac:dyDescent="0.4">
      <c r="A1634" s="6">
        <v>2026</v>
      </c>
      <c r="B1634" s="6">
        <f t="shared" si="198"/>
        <v>17</v>
      </c>
      <c r="C1634" s="13" t="s">
        <v>25</v>
      </c>
      <c r="D1634" s="2" t="s">
        <v>6</v>
      </c>
      <c r="E1634" s="14" t="s">
        <v>10</v>
      </c>
      <c r="F1634" s="22">
        <f t="shared" si="203"/>
        <v>3</v>
      </c>
      <c r="H1634" s="5" t="str">
        <f ca="1">_xlfn.FORMULATEXT(표1[[#This Row],[Q''ty]])</f>
        <v>=F1535</v>
      </c>
    </row>
    <row r="1635" spans="1:10" ht="15" hidden="1" customHeight="1" x14ac:dyDescent="0.4">
      <c r="A1635" s="6">
        <v>2026</v>
      </c>
      <c r="B1635" s="6">
        <f t="shared" si="198"/>
        <v>17</v>
      </c>
      <c r="C1635" s="13" t="s">
        <v>25</v>
      </c>
      <c r="D1635" s="2" t="s">
        <v>6</v>
      </c>
      <c r="E1635" s="14" t="s">
        <v>11</v>
      </c>
      <c r="F1635" s="22">
        <f t="shared" si="203"/>
        <v>4</v>
      </c>
      <c r="H1635" s="5" t="str">
        <f ca="1">_xlfn.FORMULATEXT(표1[[#This Row],[Q''ty]])</f>
        <v>=F1536</v>
      </c>
    </row>
    <row r="1636" spans="1:10" ht="15" customHeight="1" thickTop="1" x14ac:dyDescent="0.4">
      <c r="A1636" s="6">
        <v>2026</v>
      </c>
      <c r="B1636" s="6">
        <f t="shared" si="198"/>
        <v>17</v>
      </c>
      <c r="C1636" s="13" t="s">
        <v>25</v>
      </c>
      <c r="D1636" s="2" t="s">
        <v>12</v>
      </c>
      <c r="E1636" s="14" t="s">
        <v>13</v>
      </c>
      <c r="F1636" s="22">
        <v>0</v>
      </c>
      <c r="H1636" s="5" t="e">
        <f ca="1">_xlfn.FORMULATEXT(표1[[#This Row],[Q''ty]])</f>
        <v>#N/A</v>
      </c>
    </row>
    <row r="1637" spans="1:10" ht="15" customHeight="1" x14ac:dyDescent="0.4">
      <c r="A1637" s="6">
        <v>2026</v>
      </c>
      <c r="B1637" s="6">
        <f t="shared" si="198"/>
        <v>17</v>
      </c>
      <c r="C1637" s="13" t="s">
        <v>25</v>
      </c>
      <c r="D1637" s="2" t="s">
        <v>12</v>
      </c>
      <c r="E1637" s="14" t="s">
        <v>14</v>
      </c>
      <c r="F1637" s="22">
        <v>0</v>
      </c>
      <c r="H1637" s="5" t="e">
        <f ca="1">_xlfn.FORMULATEXT(표1[[#This Row],[Q''ty]])</f>
        <v>#N/A</v>
      </c>
    </row>
    <row r="1638" spans="1:10" ht="15" customHeight="1" x14ac:dyDescent="0.4">
      <c r="A1638" s="6">
        <v>2026</v>
      </c>
      <c r="B1638" s="6">
        <f t="shared" si="198"/>
        <v>17</v>
      </c>
      <c r="C1638" s="13" t="s">
        <v>25</v>
      </c>
      <c r="D1638" s="2" t="s">
        <v>12</v>
      </c>
      <c r="E1638" s="14" t="s">
        <v>15</v>
      </c>
      <c r="F1638" s="22">
        <v>0</v>
      </c>
      <c r="H1638" s="5" t="e">
        <f ca="1">_xlfn.FORMULATEXT(표1[[#This Row],[Q''ty]])</f>
        <v>#N/A</v>
      </c>
    </row>
    <row r="1639" spans="1:10" ht="15" customHeight="1" x14ac:dyDescent="0.4">
      <c r="A1639" s="6">
        <v>2026</v>
      </c>
      <c r="B1639" s="6">
        <f t="shared" si="198"/>
        <v>17</v>
      </c>
      <c r="C1639" s="13" t="s">
        <v>25</v>
      </c>
      <c r="D1639" s="2" t="s">
        <v>12</v>
      </c>
      <c r="E1639" s="14" t="s">
        <v>16</v>
      </c>
      <c r="F1639" s="22">
        <v>0</v>
      </c>
      <c r="H1639" s="5" t="e">
        <f ca="1">_xlfn.FORMULATEXT(표1[[#This Row],[Q''ty]])</f>
        <v>#N/A</v>
      </c>
    </row>
    <row r="1640" spans="1:10" ht="15" customHeight="1" thickBot="1" x14ac:dyDescent="0.45">
      <c r="A1640" s="15">
        <v>2026</v>
      </c>
      <c r="B1640" s="15">
        <f t="shared" si="198"/>
        <v>17</v>
      </c>
      <c r="C1640" s="16" t="s">
        <v>25</v>
      </c>
      <c r="D1640" s="17" t="s">
        <v>12</v>
      </c>
      <c r="E1640" s="18" t="s">
        <v>17</v>
      </c>
      <c r="F1640" s="23">
        <v>0</v>
      </c>
      <c r="H1640" s="5" t="e">
        <f ca="1">_xlfn.FORMULATEXT(표1[[#This Row],[Q''ty]])</f>
        <v>#N/A</v>
      </c>
    </row>
    <row r="1641" spans="1:10" ht="15" hidden="1" customHeight="1" thickTop="1" x14ac:dyDescent="0.4">
      <c r="A1641" s="6">
        <v>2026</v>
      </c>
      <c r="B1641" s="6">
        <f t="shared" si="198"/>
        <v>17</v>
      </c>
      <c r="C1641" s="13" t="s">
        <v>26</v>
      </c>
      <c r="D1641" s="2" t="s">
        <v>6</v>
      </c>
      <c r="E1641" s="14" t="s">
        <v>7</v>
      </c>
      <c r="F1641" s="22">
        <f t="shared" ref="F1641:F1646" si="204">F1542</f>
        <v>6</v>
      </c>
      <c r="H1641" s="5" t="str">
        <f ca="1">_xlfn.FORMULATEXT(표1[[#This Row],[Q''ty]])</f>
        <v>=F1542</v>
      </c>
    </row>
    <row r="1642" spans="1:10" ht="15" hidden="1" customHeight="1" x14ac:dyDescent="0.4">
      <c r="A1642" s="6">
        <v>2026</v>
      </c>
      <c r="B1642" s="6">
        <f t="shared" si="198"/>
        <v>17</v>
      </c>
      <c r="C1642" s="13" t="s">
        <v>26</v>
      </c>
      <c r="D1642" s="2" t="s">
        <v>6</v>
      </c>
      <c r="E1642" s="14" t="s">
        <v>8</v>
      </c>
      <c r="F1642" s="22">
        <f t="shared" si="204"/>
        <v>4</v>
      </c>
      <c r="H1642" s="5" t="str">
        <f ca="1">_xlfn.FORMULATEXT(표1[[#This Row],[Q''ty]])</f>
        <v>=F1543</v>
      </c>
    </row>
    <row r="1643" spans="1:10" ht="15" hidden="1" customHeight="1" x14ac:dyDescent="0.4">
      <c r="A1643" s="6">
        <v>2026</v>
      </c>
      <c r="B1643" s="6">
        <f t="shared" si="198"/>
        <v>17</v>
      </c>
      <c r="C1643" s="13" t="s">
        <v>26</v>
      </c>
      <c r="D1643" s="2" t="s">
        <v>6</v>
      </c>
      <c r="E1643" s="14" t="s">
        <v>9</v>
      </c>
      <c r="F1643" s="22">
        <f t="shared" si="204"/>
        <v>2</v>
      </c>
      <c r="H1643" s="5" t="str">
        <f ca="1">_xlfn.FORMULATEXT(표1[[#This Row],[Q''ty]])</f>
        <v>=F1544</v>
      </c>
    </row>
    <row r="1644" spans="1:10" ht="15" hidden="1" customHeight="1" x14ac:dyDescent="0.4">
      <c r="A1644" s="6">
        <v>2026</v>
      </c>
      <c r="B1644" s="6">
        <f t="shared" si="198"/>
        <v>17</v>
      </c>
      <c r="C1644" s="13" t="s">
        <v>26</v>
      </c>
      <c r="D1644" s="2" t="s">
        <v>6</v>
      </c>
      <c r="E1644" s="14" t="s">
        <v>27</v>
      </c>
      <c r="F1644" s="22">
        <f t="shared" si="204"/>
        <v>3</v>
      </c>
      <c r="H1644" s="5" t="str">
        <f ca="1">_xlfn.FORMULATEXT(표1[[#This Row],[Q''ty]])</f>
        <v>=F1545</v>
      </c>
    </row>
    <row r="1645" spans="1:10" ht="15" hidden="1" customHeight="1" x14ac:dyDescent="0.4">
      <c r="A1645" s="6">
        <v>2026</v>
      </c>
      <c r="B1645" s="6">
        <f t="shared" si="198"/>
        <v>17</v>
      </c>
      <c r="C1645" s="13" t="s">
        <v>26</v>
      </c>
      <c r="D1645" s="2" t="s">
        <v>6</v>
      </c>
      <c r="E1645" s="14" t="s">
        <v>10</v>
      </c>
      <c r="F1645" s="22">
        <f t="shared" si="204"/>
        <v>4</v>
      </c>
      <c r="H1645" s="5" t="str">
        <f ca="1">_xlfn.FORMULATEXT(표1[[#This Row],[Q''ty]])</f>
        <v>=F1546</v>
      </c>
    </row>
    <row r="1646" spans="1:10" ht="15" hidden="1" customHeight="1" x14ac:dyDescent="0.4">
      <c r="A1646" s="6">
        <v>2026</v>
      </c>
      <c r="B1646" s="6">
        <f t="shared" si="198"/>
        <v>17</v>
      </c>
      <c r="C1646" s="13" t="s">
        <v>26</v>
      </c>
      <c r="D1646" s="2" t="s">
        <v>6</v>
      </c>
      <c r="E1646" s="14" t="s">
        <v>11</v>
      </c>
      <c r="F1646" s="22">
        <f t="shared" si="204"/>
        <v>6</v>
      </c>
      <c r="H1646" s="5" t="str">
        <f ca="1">_xlfn.FORMULATEXT(표1[[#This Row],[Q''ty]])</f>
        <v>=F1547</v>
      </c>
    </row>
    <row r="1647" spans="1:10" ht="15" customHeight="1" thickTop="1" x14ac:dyDescent="0.4">
      <c r="A1647" s="6">
        <v>2026</v>
      </c>
      <c r="B1647" s="6">
        <f t="shared" si="198"/>
        <v>17</v>
      </c>
      <c r="C1647" s="13" t="s">
        <v>26</v>
      </c>
      <c r="D1647" s="2" t="s">
        <v>12</v>
      </c>
      <c r="E1647" s="14" t="str">
        <f t="shared" ref="E1647:E1684" si="205">E1548</f>
        <v>BT GT</v>
      </c>
      <c r="F1647" s="22">
        <v>22</v>
      </c>
      <c r="H1647" s="5" t="e">
        <f ca="1">_xlfn.FORMULATEXT(표1[[#This Row],[Q''ty]])</f>
        <v>#N/A</v>
      </c>
      <c r="I1647" s="28">
        <v>46140</v>
      </c>
      <c r="J1647" s="28">
        <v>46139</v>
      </c>
    </row>
    <row r="1648" spans="1:10" ht="15" customHeight="1" x14ac:dyDescent="0.4">
      <c r="A1648" s="6">
        <v>2026</v>
      </c>
      <c r="B1648" s="6">
        <f t="shared" si="198"/>
        <v>17</v>
      </c>
      <c r="C1648" s="13" t="s">
        <v>26</v>
      </c>
      <c r="D1648" s="2" t="s">
        <v>12</v>
      </c>
      <c r="E1648" s="14" t="str">
        <f t="shared" si="205"/>
        <v>WT GT</v>
      </c>
      <c r="F1648" s="22">
        <v>25</v>
      </c>
      <c r="H1648" s="5" t="e">
        <f ca="1">_xlfn.FORMULATEXT(표1[[#This Row],[Q''ty]])</f>
        <v>#N/A</v>
      </c>
      <c r="I1648" s="28">
        <v>46140</v>
      </c>
      <c r="J1648" s="28">
        <v>46139</v>
      </c>
    </row>
    <row r="1649" spans="1:10" ht="15" customHeight="1" x14ac:dyDescent="0.4">
      <c r="A1649" s="6">
        <v>2026</v>
      </c>
      <c r="B1649" s="6">
        <f t="shared" si="198"/>
        <v>17</v>
      </c>
      <c r="C1649" s="13" t="s">
        <v>26</v>
      </c>
      <c r="D1649" s="2" t="s">
        <v>12</v>
      </c>
      <c r="E1649" s="14" t="str">
        <f t="shared" si="205"/>
        <v>Bending</v>
      </c>
      <c r="F1649" s="22">
        <v>182</v>
      </c>
      <c r="H1649" s="5" t="e">
        <f ca="1">_xlfn.FORMULATEXT(표1[[#This Row],[Q''ty]])</f>
        <v>#N/A</v>
      </c>
      <c r="I1649" s="28">
        <v>46140</v>
      </c>
      <c r="J1649" s="28">
        <v>46139</v>
      </c>
    </row>
    <row r="1650" spans="1:10" ht="15" customHeight="1" x14ac:dyDescent="0.4">
      <c r="A1650" s="6">
        <v>2026</v>
      </c>
      <c r="B1650" s="6">
        <f t="shared" si="198"/>
        <v>17</v>
      </c>
      <c r="C1650" s="13" t="s">
        <v>26</v>
      </c>
      <c r="D1650" s="2" t="s">
        <v>12</v>
      </c>
      <c r="E1650" s="14" t="str">
        <f t="shared" si="205"/>
        <v>L/W</v>
      </c>
      <c r="F1650" s="22">
        <v>182</v>
      </c>
      <c r="H1650" s="5" t="e">
        <f ca="1">_xlfn.FORMULATEXT(표1[[#This Row],[Q''ty]])</f>
        <v>#N/A</v>
      </c>
      <c r="I1650" s="28">
        <v>46140</v>
      </c>
      <c r="J1650" s="28">
        <v>46139</v>
      </c>
    </row>
    <row r="1651" spans="1:10" ht="15" customHeight="1" thickBot="1" x14ac:dyDescent="0.45">
      <c r="A1651" s="15">
        <v>2026</v>
      </c>
      <c r="B1651" s="15">
        <f t="shared" ref="B1651:B1684" si="206">B1552+1</f>
        <v>17</v>
      </c>
      <c r="C1651" s="16" t="s">
        <v>26</v>
      </c>
      <c r="D1651" s="17" t="s">
        <v>12</v>
      </c>
      <c r="E1651" s="18" t="str">
        <f t="shared" si="205"/>
        <v>C/W</v>
      </c>
      <c r="F1651" s="23">
        <v>195</v>
      </c>
      <c r="H1651" s="5" t="e">
        <f ca="1">_xlfn.FORMULATEXT(표1[[#This Row],[Q''ty]])</f>
        <v>#N/A</v>
      </c>
      <c r="I1651" s="28">
        <v>46140</v>
      </c>
      <c r="J1651" s="28">
        <v>46139</v>
      </c>
    </row>
    <row r="1652" spans="1:10" ht="15" hidden="1" customHeight="1" thickTop="1" x14ac:dyDescent="0.4">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10" ht="15" hidden="1" customHeight="1" x14ac:dyDescent="0.4">
      <c r="A1653" s="6">
        <v>2026</v>
      </c>
      <c r="B1653" s="6">
        <f t="shared" si="206"/>
        <v>17</v>
      </c>
      <c r="C1653" s="13" t="s">
        <v>20</v>
      </c>
      <c r="D1653" s="2" t="s">
        <v>6</v>
      </c>
      <c r="E1653" s="14" t="str">
        <f t="shared" si="205"/>
        <v>Paint Booth</v>
      </c>
      <c r="F1653" s="22">
        <f t="shared" si="207"/>
        <v>16</v>
      </c>
      <c r="H1653" s="5" t="str">
        <f ca="1">_xlfn.FORMULATEXT(표1[[#This Row],[Q''ty]])</f>
        <v>=F1554</v>
      </c>
    </row>
    <row r="1654" spans="1:10" ht="15" hidden="1" customHeight="1" x14ac:dyDescent="0.4">
      <c r="A1654" s="6">
        <v>2026</v>
      </c>
      <c r="B1654" s="6">
        <f t="shared" si="206"/>
        <v>17</v>
      </c>
      <c r="C1654" s="13" t="s">
        <v>20</v>
      </c>
      <c r="D1654" s="2" t="s">
        <v>6</v>
      </c>
      <c r="E1654" s="14" t="str">
        <f t="shared" si="205"/>
        <v>Paint Line</v>
      </c>
      <c r="F1654" s="22">
        <f t="shared" si="207"/>
        <v>8</v>
      </c>
      <c r="H1654" s="5" t="str">
        <f ca="1">_xlfn.FORMULATEXT(표1[[#This Row],[Q''ty]])</f>
        <v>=F1555</v>
      </c>
    </row>
    <row r="1655" spans="1:10" ht="15" hidden="1" customHeight="1" x14ac:dyDescent="0.4">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10" ht="15" hidden="1" customHeight="1" x14ac:dyDescent="0.4">
      <c r="A1656" s="6">
        <v>2026</v>
      </c>
      <c r="B1656" s="6">
        <f t="shared" si="206"/>
        <v>17</v>
      </c>
      <c r="C1656" s="13" t="s">
        <v>20</v>
      </c>
      <c r="D1656" s="2" t="s">
        <v>6</v>
      </c>
      <c r="E1656" s="14" t="str">
        <f t="shared" si="205"/>
        <v>L/W Machine</v>
      </c>
      <c r="F1656" s="22">
        <f t="shared" si="207"/>
        <v>11</v>
      </c>
      <c r="H1656" s="5" t="str">
        <f ca="1">_xlfn.FORMULATEXT(표1[[#This Row],[Q''ty]])</f>
        <v>=F1557</v>
      </c>
    </row>
    <row r="1657" spans="1:10" ht="15" hidden="1" customHeight="1" x14ac:dyDescent="0.4">
      <c r="A1657" s="6">
        <v>2026</v>
      </c>
      <c r="B1657" s="6">
        <f t="shared" si="206"/>
        <v>17</v>
      </c>
      <c r="C1657" s="13" t="s">
        <v>20</v>
      </c>
      <c r="D1657" s="2" t="s">
        <v>6</v>
      </c>
      <c r="E1657" s="14" t="str">
        <f t="shared" si="205"/>
        <v>C/W Machine</v>
      </c>
      <c r="F1657" s="22">
        <f t="shared" si="207"/>
        <v>15</v>
      </c>
      <c r="H1657" s="5" t="str">
        <f ca="1">_xlfn.FORMULATEXT(표1[[#This Row],[Q''ty]])</f>
        <v>=F1558</v>
      </c>
    </row>
    <row r="1658" spans="1:10" ht="15" customHeight="1" thickTop="1" x14ac:dyDescent="0.4">
      <c r="A1658" s="6">
        <v>2026</v>
      </c>
      <c r="B1658" s="6">
        <f t="shared" si="206"/>
        <v>17</v>
      </c>
      <c r="C1658" s="13" t="s">
        <v>20</v>
      </c>
      <c r="D1658" s="2" t="s">
        <v>12</v>
      </c>
      <c r="E1658" s="14" t="str">
        <f t="shared" si="205"/>
        <v>BT GT</v>
      </c>
      <c r="F1658" s="22">
        <v>63</v>
      </c>
      <c r="H1658" s="5" t="e">
        <f ca="1">_xlfn.FORMULATEXT(표1[[#This Row],[Q''ty]])</f>
        <v>#N/A</v>
      </c>
      <c r="I1658" s="28">
        <v>46139</v>
      </c>
      <c r="J1658" s="28">
        <v>46139</v>
      </c>
    </row>
    <row r="1659" spans="1:10" ht="15" customHeight="1" x14ac:dyDescent="0.4">
      <c r="A1659" s="6">
        <v>2026</v>
      </c>
      <c r="B1659" s="6">
        <f t="shared" si="206"/>
        <v>17</v>
      </c>
      <c r="C1659" s="13" t="s">
        <v>20</v>
      </c>
      <c r="D1659" s="2" t="s">
        <v>12</v>
      </c>
      <c r="E1659" s="14" t="str">
        <f t="shared" si="205"/>
        <v>WT GT</v>
      </c>
      <c r="F1659" s="22">
        <v>58</v>
      </c>
      <c r="H1659" s="5" t="e">
        <f ca="1">_xlfn.FORMULATEXT(표1[[#This Row],[Q''ty]])</f>
        <v>#N/A</v>
      </c>
      <c r="I1659" s="28">
        <v>46139</v>
      </c>
      <c r="J1659" s="28">
        <v>46139</v>
      </c>
    </row>
    <row r="1660" spans="1:10" ht="15" customHeight="1" x14ac:dyDescent="0.4">
      <c r="A1660" s="6">
        <v>2026</v>
      </c>
      <c r="B1660" s="6">
        <f t="shared" si="206"/>
        <v>17</v>
      </c>
      <c r="C1660" s="13" t="s">
        <v>20</v>
      </c>
      <c r="D1660" s="2" t="s">
        <v>12</v>
      </c>
      <c r="E1660" s="14" t="str">
        <f t="shared" si="205"/>
        <v>Bending</v>
      </c>
      <c r="F1660" s="22">
        <v>555</v>
      </c>
      <c r="H1660" s="5" t="e">
        <f ca="1">_xlfn.FORMULATEXT(표1[[#This Row],[Q''ty]])</f>
        <v>#N/A</v>
      </c>
      <c r="I1660" s="28">
        <v>46139</v>
      </c>
      <c r="J1660" s="28">
        <v>46139</v>
      </c>
    </row>
    <row r="1661" spans="1:10" ht="15" customHeight="1" x14ac:dyDescent="0.4">
      <c r="A1661" s="6">
        <v>2026</v>
      </c>
      <c r="B1661" s="6">
        <f t="shared" si="206"/>
        <v>17</v>
      </c>
      <c r="C1661" s="13" t="s">
        <v>20</v>
      </c>
      <c r="D1661" s="2" t="s">
        <v>12</v>
      </c>
      <c r="E1661" s="14" t="str">
        <f t="shared" si="205"/>
        <v>L/W</v>
      </c>
      <c r="F1661" s="22">
        <v>553</v>
      </c>
      <c r="H1661" s="5" t="e">
        <f ca="1">_xlfn.FORMULATEXT(표1[[#This Row],[Q''ty]])</f>
        <v>#N/A</v>
      </c>
      <c r="I1661" s="28">
        <v>46139</v>
      </c>
      <c r="J1661" s="28">
        <v>46139</v>
      </c>
    </row>
    <row r="1662" spans="1:10" ht="15" customHeight="1" thickBot="1" x14ac:dyDescent="0.45">
      <c r="A1662" s="15">
        <v>2026</v>
      </c>
      <c r="B1662" s="15">
        <f t="shared" si="206"/>
        <v>17</v>
      </c>
      <c r="C1662" s="16" t="s">
        <v>20</v>
      </c>
      <c r="D1662" s="17" t="s">
        <v>12</v>
      </c>
      <c r="E1662" s="18" t="str">
        <f t="shared" si="205"/>
        <v>C/W</v>
      </c>
      <c r="F1662" s="23">
        <v>451</v>
      </c>
      <c r="H1662" s="5" t="e">
        <f ca="1">_xlfn.FORMULATEXT(표1[[#This Row],[Q''ty]])</f>
        <v>#N/A</v>
      </c>
      <c r="I1662" s="28">
        <v>46139</v>
      </c>
      <c r="J1662" s="28">
        <v>46139</v>
      </c>
    </row>
    <row r="1663" spans="1:10" ht="15" hidden="1" customHeight="1" thickTop="1" x14ac:dyDescent="0.4">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10" ht="15" hidden="1" customHeight="1" x14ac:dyDescent="0.4">
      <c r="A1664" s="6">
        <v>2026</v>
      </c>
      <c r="B1664" s="6">
        <f t="shared" si="206"/>
        <v>17</v>
      </c>
      <c r="C1664" s="13" t="s">
        <v>21</v>
      </c>
      <c r="D1664" s="2" t="s">
        <v>6</v>
      </c>
      <c r="E1664" s="14" t="str">
        <f t="shared" si="205"/>
        <v>Paint Booth</v>
      </c>
      <c r="F1664" s="22">
        <f t="shared" si="208"/>
        <v>4</v>
      </c>
      <c r="H1664" s="5" t="str">
        <f ca="1">_xlfn.FORMULATEXT(표1[[#This Row],[Q''ty]])</f>
        <v>=F1565</v>
      </c>
    </row>
    <row r="1665" spans="1:10" ht="15" hidden="1" customHeight="1" x14ac:dyDescent="0.4">
      <c r="A1665" s="6">
        <v>2026</v>
      </c>
      <c r="B1665" s="6">
        <f t="shared" si="206"/>
        <v>17</v>
      </c>
      <c r="C1665" s="13" t="s">
        <v>21</v>
      </c>
      <c r="D1665" s="2" t="s">
        <v>6</v>
      </c>
      <c r="E1665" s="14" t="str">
        <f t="shared" si="205"/>
        <v>Paint Line</v>
      </c>
      <c r="F1665" s="22">
        <f t="shared" si="208"/>
        <v>4</v>
      </c>
      <c r="H1665" s="5" t="str">
        <f ca="1">_xlfn.FORMULATEXT(표1[[#This Row],[Q''ty]])</f>
        <v>=F1566</v>
      </c>
    </row>
    <row r="1666" spans="1:10" ht="15" hidden="1" customHeight="1" x14ac:dyDescent="0.4">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10" ht="15" hidden="1" customHeight="1" x14ac:dyDescent="0.4">
      <c r="A1667" s="6">
        <v>2026</v>
      </c>
      <c r="B1667" s="6">
        <f t="shared" si="206"/>
        <v>17</v>
      </c>
      <c r="C1667" s="13" t="s">
        <v>21</v>
      </c>
      <c r="D1667" s="2" t="s">
        <v>6</v>
      </c>
      <c r="E1667" s="14" t="str">
        <f t="shared" si="205"/>
        <v>L/W Machine</v>
      </c>
      <c r="F1667" s="22">
        <f t="shared" si="208"/>
        <v>4</v>
      </c>
      <c r="H1667" s="5" t="str">
        <f ca="1">_xlfn.FORMULATEXT(표1[[#This Row],[Q''ty]])</f>
        <v>=F1568</v>
      </c>
    </row>
    <row r="1668" spans="1:10" ht="15" hidden="1" customHeight="1" x14ac:dyDescent="0.4">
      <c r="A1668" s="6">
        <v>2026</v>
      </c>
      <c r="B1668" s="6">
        <f t="shared" si="206"/>
        <v>17</v>
      </c>
      <c r="C1668" s="13" t="s">
        <v>21</v>
      </c>
      <c r="D1668" s="2" t="s">
        <v>6</v>
      </c>
      <c r="E1668" s="14" t="str">
        <f t="shared" si="205"/>
        <v>C/W Machine</v>
      </c>
      <c r="F1668" s="22">
        <f t="shared" si="208"/>
        <v>6.5</v>
      </c>
      <c r="H1668" s="5" t="str">
        <f ca="1">_xlfn.FORMULATEXT(표1[[#This Row],[Q''ty]])</f>
        <v>=F1569</v>
      </c>
    </row>
    <row r="1669" spans="1:10" ht="15" customHeight="1" thickTop="1" x14ac:dyDescent="0.4">
      <c r="A1669" s="6">
        <v>2026</v>
      </c>
      <c r="B1669" s="6">
        <f t="shared" si="206"/>
        <v>17</v>
      </c>
      <c r="C1669" s="13" t="s">
        <v>21</v>
      </c>
      <c r="D1669" s="2" t="s">
        <v>12</v>
      </c>
      <c r="E1669" s="14" t="str">
        <f t="shared" si="205"/>
        <v>BT GT</v>
      </c>
      <c r="F1669" s="22">
        <v>12</v>
      </c>
      <c r="H1669" s="5" t="e">
        <f ca="1">_xlfn.FORMULATEXT(표1[[#This Row],[Q''ty]])</f>
        <v>#N/A</v>
      </c>
      <c r="I1669" s="28">
        <v>46140</v>
      </c>
      <c r="J1669" s="28">
        <v>46139</v>
      </c>
    </row>
    <row r="1670" spans="1:10" ht="15" customHeight="1" x14ac:dyDescent="0.4">
      <c r="A1670" s="6">
        <v>2026</v>
      </c>
      <c r="B1670" s="6">
        <f t="shared" si="206"/>
        <v>17</v>
      </c>
      <c r="C1670" s="13" t="s">
        <v>21</v>
      </c>
      <c r="D1670" s="2" t="s">
        <v>12</v>
      </c>
      <c r="E1670" s="14" t="str">
        <f t="shared" si="205"/>
        <v>WT GT</v>
      </c>
      <c r="F1670" s="22">
        <v>12</v>
      </c>
      <c r="H1670" s="5" t="e">
        <f ca="1">_xlfn.FORMULATEXT(표1[[#This Row],[Q''ty]])</f>
        <v>#N/A</v>
      </c>
      <c r="I1670" s="28">
        <v>46140</v>
      </c>
      <c r="J1670" s="28">
        <v>46139</v>
      </c>
    </row>
    <row r="1671" spans="1:10" ht="15" customHeight="1" x14ac:dyDescent="0.4">
      <c r="A1671" s="6">
        <v>2026</v>
      </c>
      <c r="B1671" s="6">
        <f t="shared" si="206"/>
        <v>17</v>
      </c>
      <c r="C1671" s="13" t="s">
        <v>21</v>
      </c>
      <c r="D1671" s="2" t="s">
        <v>12</v>
      </c>
      <c r="E1671" s="14" t="str">
        <f t="shared" si="205"/>
        <v>Bending</v>
      </c>
      <c r="F1671" s="22">
        <v>131</v>
      </c>
      <c r="H1671" s="5" t="e">
        <f ca="1">_xlfn.FORMULATEXT(표1[[#This Row],[Q''ty]])</f>
        <v>#N/A</v>
      </c>
      <c r="I1671" s="28">
        <v>46140</v>
      </c>
      <c r="J1671" s="28">
        <v>46139</v>
      </c>
    </row>
    <row r="1672" spans="1:10" ht="15" customHeight="1" x14ac:dyDescent="0.4">
      <c r="A1672" s="6">
        <v>2026</v>
      </c>
      <c r="B1672" s="6">
        <f t="shared" si="206"/>
        <v>17</v>
      </c>
      <c r="C1672" s="13" t="s">
        <v>21</v>
      </c>
      <c r="D1672" s="2" t="s">
        <v>12</v>
      </c>
      <c r="E1672" s="14" t="str">
        <f t="shared" si="205"/>
        <v>L/W</v>
      </c>
      <c r="F1672" s="22">
        <v>131</v>
      </c>
      <c r="H1672" s="5" t="e">
        <f ca="1">_xlfn.FORMULATEXT(표1[[#This Row],[Q''ty]])</f>
        <v>#N/A</v>
      </c>
      <c r="I1672" s="28">
        <v>46140</v>
      </c>
      <c r="J1672" s="28">
        <v>46139</v>
      </c>
    </row>
    <row r="1673" spans="1:10" ht="15" customHeight="1" thickBot="1" x14ac:dyDescent="0.45">
      <c r="A1673" s="15">
        <v>2026</v>
      </c>
      <c r="B1673" s="15">
        <f t="shared" si="206"/>
        <v>17</v>
      </c>
      <c r="C1673" s="16" t="s">
        <v>21</v>
      </c>
      <c r="D1673" s="17" t="s">
        <v>12</v>
      </c>
      <c r="E1673" s="18" t="str">
        <f t="shared" si="205"/>
        <v>C/W</v>
      </c>
      <c r="F1673" s="23">
        <v>140</v>
      </c>
      <c r="H1673" s="5" t="e">
        <f ca="1">_xlfn.FORMULATEXT(표1[[#This Row],[Q''ty]])</f>
        <v>#N/A</v>
      </c>
      <c r="I1673" s="28">
        <v>46140</v>
      </c>
      <c r="J1673" s="28">
        <v>46139</v>
      </c>
    </row>
    <row r="1674" spans="1:10" ht="15" hidden="1" customHeight="1" thickTop="1" x14ac:dyDescent="0.4">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10" ht="15" hidden="1" customHeight="1" x14ac:dyDescent="0.4">
      <c r="A1675" s="6">
        <v>2026</v>
      </c>
      <c r="B1675" s="6">
        <f t="shared" si="206"/>
        <v>17</v>
      </c>
      <c r="C1675" s="13" t="s">
        <v>22</v>
      </c>
      <c r="D1675" s="2" t="s">
        <v>6</v>
      </c>
      <c r="E1675" s="14" t="str">
        <f t="shared" si="205"/>
        <v>Paint Booth</v>
      </c>
      <c r="F1675" s="22">
        <f t="shared" si="209"/>
        <v>6</v>
      </c>
      <c r="H1675" s="5" t="str">
        <f ca="1">_xlfn.FORMULATEXT(표1[[#This Row],[Q''ty]])</f>
        <v>=F1576</v>
      </c>
    </row>
    <row r="1676" spans="1:10" ht="15" hidden="1" customHeight="1" x14ac:dyDescent="0.4">
      <c r="A1676" s="6">
        <v>2026</v>
      </c>
      <c r="B1676" s="6">
        <f t="shared" si="206"/>
        <v>17</v>
      </c>
      <c r="C1676" s="13" t="s">
        <v>22</v>
      </c>
      <c r="D1676" s="2" t="s">
        <v>6</v>
      </c>
      <c r="E1676" s="14" t="str">
        <f t="shared" si="205"/>
        <v>Paint Line</v>
      </c>
      <c r="F1676" s="22">
        <f t="shared" si="209"/>
        <v>4</v>
      </c>
      <c r="H1676" s="5" t="str">
        <f ca="1">_xlfn.FORMULATEXT(표1[[#This Row],[Q''ty]])</f>
        <v>=F1577</v>
      </c>
    </row>
    <row r="1677" spans="1:10" ht="15" hidden="1" customHeight="1" x14ac:dyDescent="0.4">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10" ht="15" hidden="1" customHeight="1" x14ac:dyDescent="0.4">
      <c r="A1678" s="6">
        <v>2026</v>
      </c>
      <c r="B1678" s="6">
        <f t="shared" si="206"/>
        <v>17</v>
      </c>
      <c r="C1678" s="13" t="s">
        <v>22</v>
      </c>
      <c r="D1678" s="2" t="s">
        <v>6</v>
      </c>
      <c r="E1678" s="14" t="str">
        <f t="shared" si="205"/>
        <v>L/W Machine</v>
      </c>
      <c r="F1678" s="22">
        <f t="shared" si="209"/>
        <v>7</v>
      </c>
      <c r="H1678" s="5" t="str">
        <f ca="1">_xlfn.FORMULATEXT(표1[[#This Row],[Q''ty]])</f>
        <v>=F1579</v>
      </c>
    </row>
    <row r="1679" spans="1:10" ht="15" hidden="1" customHeight="1" x14ac:dyDescent="0.4">
      <c r="A1679" s="6">
        <v>2026</v>
      </c>
      <c r="B1679" s="6">
        <f t="shared" si="206"/>
        <v>17</v>
      </c>
      <c r="C1679" s="13" t="s">
        <v>22</v>
      </c>
      <c r="D1679" s="2" t="s">
        <v>6</v>
      </c>
      <c r="E1679" s="14" t="str">
        <f t="shared" si="205"/>
        <v>C/W Machine</v>
      </c>
      <c r="F1679" s="22">
        <f t="shared" si="209"/>
        <v>12.5</v>
      </c>
      <c r="H1679" s="5" t="str">
        <f ca="1">_xlfn.FORMULATEXT(표1[[#This Row],[Q''ty]])</f>
        <v>=F1580</v>
      </c>
    </row>
    <row r="1680" spans="1:10" ht="15" customHeight="1" thickTop="1" x14ac:dyDescent="0.4">
      <c r="A1680" s="6">
        <v>2026</v>
      </c>
      <c r="B1680" s="6">
        <f t="shared" si="206"/>
        <v>17</v>
      </c>
      <c r="C1680" s="13" t="s">
        <v>22</v>
      </c>
      <c r="D1680" s="2" t="s">
        <v>12</v>
      </c>
      <c r="E1680" s="14" t="str">
        <f t="shared" si="205"/>
        <v>BT GT</v>
      </c>
      <c r="F1680" s="22">
        <v>8</v>
      </c>
      <c r="H1680" s="5" t="e">
        <f ca="1">_xlfn.FORMULATEXT(표1[[#This Row],[Q''ty]])</f>
        <v>#N/A</v>
      </c>
      <c r="I1680" s="28">
        <v>46140</v>
      </c>
      <c r="J1680" s="28">
        <v>46140</v>
      </c>
    </row>
    <row r="1681" spans="1:10" ht="15" customHeight="1" x14ac:dyDescent="0.4">
      <c r="A1681" s="6">
        <v>2026</v>
      </c>
      <c r="B1681" s="6">
        <f t="shared" si="206"/>
        <v>17</v>
      </c>
      <c r="C1681" s="13" t="s">
        <v>22</v>
      </c>
      <c r="D1681" s="2" t="s">
        <v>12</v>
      </c>
      <c r="E1681" s="14" t="str">
        <f t="shared" si="205"/>
        <v>WT GT</v>
      </c>
      <c r="F1681" s="22">
        <v>5</v>
      </c>
      <c r="H1681" s="5" t="e">
        <f ca="1">_xlfn.FORMULATEXT(표1[[#This Row],[Q''ty]])</f>
        <v>#N/A</v>
      </c>
      <c r="I1681" s="28">
        <v>46140</v>
      </c>
      <c r="J1681" s="28">
        <v>46140</v>
      </c>
    </row>
    <row r="1682" spans="1:10" ht="15" customHeight="1" x14ac:dyDescent="0.4">
      <c r="A1682" s="6">
        <v>2026</v>
      </c>
      <c r="B1682" s="6">
        <f t="shared" si="206"/>
        <v>17</v>
      </c>
      <c r="C1682" s="13" t="s">
        <v>22</v>
      </c>
      <c r="D1682" s="2" t="s">
        <v>12</v>
      </c>
      <c r="E1682" s="14" t="str">
        <f t="shared" si="205"/>
        <v>Bending</v>
      </c>
      <c r="F1682" s="22">
        <f>57+45</f>
        <v>102</v>
      </c>
      <c r="H1682" s="5" t="str">
        <f ca="1">_xlfn.FORMULATEXT(표1[[#This Row],[Q''ty]])</f>
        <v>=57+45</v>
      </c>
      <c r="I1682" s="28">
        <v>46140</v>
      </c>
      <c r="J1682" s="28">
        <v>46140</v>
      </c>
    </row>
    <row r="1683" spans="1:10" ht="15" customHeight="1" x14ac:dyDescent="0.4">
      <c r="A1683" s="6">
        <v>2026</v>
      </c>
      <c r="B1683" s="6">
        <f t="shared" si="206"/>
        <v>17</v>
      </c>
      <c r="C1683" s="13" t="s">
        <v>22</v>
      </c>
      <c r="D1683" s="2" t="s">
        <v>12</v>
      </c>
      <c r="E1683" s="14" t="str">
        <f t="shared" si="205"/>
        <v>L/W</v>
      </c>
      <c r="F1683" s="22">
        <f>39+60</f>
        <v>99</v>
      </c>
      <c r="H1683" s="5" t="str">
        <f ca="1">_xlfn.FORMULATEXT(표1[[#This Row],[Q''ty]])</f>
        <v>=39+60</v>
      </c>
      <c r="I1683" s="28">
        <v>46140</v>
      </c>
      <c r="J1683" s="28">
        <v>46140</v>
      </c>
    </row>
    <row r="1684" spans="1:10" ht="15" customHeight="1" x14ac:dyDescent="0.4">
      <c r="A1684" s="6">
        <v>2026</v>
      </c>
      <c r="B1684" s="6">
        <f t="shared" si="206"/>
        <v>17</v>
      </c>
      <c r="C1684" s="13" t="s">
        <v>22</v>
      </c>
      <c r="D1684" s="2" t="s">
        <v>12</v>
      </c>
      <c r="E1684" s="14" t="str">
        <f t="shared" si="205"/>
        <v>C/W</v>
      </c>
      <c r="F1684" s="22">
        <f>40+54</f>
        <v>94</v>
      </c>
      <c r="H1684" s="5" t="str">
        <f ca="1">_xlfn.FORMULATEXT(표1[[#This Row],[Q''ty]])</f>
        <v>=40+54</v>
      </c>
      <c r="I1684" s="28">
        <v>46140</v>
      </c>
      <c r="J1684" s="28">
        <v>46140</v>
      </c>
    </row>
    <row r="1685" spans="1:10" ht="15" hidden="1" customHeight="1" thickTop="1" x14ac:dyDescent="0.4">
      <c r="A1685" s="9">
        <v>2026</v>
      </c>
      <c r="B1685" s="9">
        <f>B1586+1</f>
        <v>18</v>
      </c>
      <c r="C1685" s="10" t="s">
        <v>28</v>
      </c>
      <c r="D1685" s="11" t="s">
        <v>6</v>
      </c>
      <c r="E1685" s="12" t="s">
        <v>7</v>
      </c>
      <c r="F1685" s="21">
        <f t="shared" ref="F1685:F1690" si="210">F1586</f>
        <v>15</v>
      </c>
      <c r="H1685" s="5" t="str">
        <f ca="1">_xlfn.FORMULATEXT(표1[[#This Row],[Q''ty]])</f>
        <v>=F1586</v>
      </c>
    </row>
    <row r="1686" spans="1:10" s="2" customFormat="1" ht="15" hidden="1" customHeight="1" x14ac:dyDescent="0.4">
      <c r="A1686" s="6">
        <v>2026</v>
      </c>
      <c r="B1686" s="6">
        <f t="shared" ref="B1686:B1749" si="211">B1587+1</f>
        <v>18</v>
      </c>
      <c r="C1686" s="13" t="s">
        <v>23</v>
      </c>
      <c r="D1686" s="2" t="s">
        <v>6</v>
      </c>
      <c r="E1686" s="14" t="s">
        <v>8</v>
      </c>
      <c r="F1686" s="22">
        <f t="shared" si="210"/>
        <v>10</v>
      </c>
      <c r="H1686" s="5" t="str">
        <f ca="1">_xlfn.FORMULATEXT(표1[[#This Row],[Q''ty]])</f>
        <v>=F1587</v>
      </c>
      <c r="I1686" s="26"/>
      <c r="J1686" s="26"/>
    </row>
    <row r="1687" spans="1:10" s="2" customFormat="1" ht="15" hidden="1" customHeight="1" x14ac:dyDescent="0.4">
      <c r="A1687" s="6">
        <v>2026</v>
      </c>
      <c r="B1687" s="6">
        <f t="shared" si="211"/>
        <v>18</v>
      </c>
      <c r="C1687" s="13" t="s">
        <v>23</v>
      </c>
      <c r="D1687" s="2" t="s">
        <v>6</v>
      </c>
      <c r="E1687" s="14" t="s">
        <v>9</v>
      </c>
      <c r="F1687" s="22">
        <f t="shared" si="210"/>
        <v>5</v>
      </c>
      <c r="H1687" s="5" t="str">
        <f ca="1">_xlfn.FORMULATEXT(표1[[#This Row],[Q''ty]])</f>
        <v>=F1588</v>
      </c>
      <c r="I1687" s="26"/>
      <c r="J1687" s="26"/>
    </row>
    <row r="1688" spans="1:10" ht="15" hidden="1" customHeight="1" x14ac:dyDescent="0.4">
      <c r="A1688" s="6">
        <v>2026</v>
      </c>
      <c r="B1688" s="6">
        <f t="shared" si="211"/>
        <v>18</v>
      </c>
      <c r="C1688" s="13" t="s">
        <v>23</v>
      </c>
      <c r="D1688" s="2" t="s">
        <v>6</v>
      </c>
      <c r="E1688" s="14" t="s">
        <v>27</v>
      </c>
      <c r="F1688" s="22">
        <f t="shared" si="210"/>
        <v>6</v>
      </c>
      <c r="H1688" s="5" t="str">
        <f ca="1">_xlfn.FORMULATEXT(표1[[#This Row],[Q''ty]])</f>
        <v>=F1589</v>
      </c>
    </row>
    <row r="1689" spans="1:10" ht="15" hidden="1" customHeight="1" x14ac:dyDescent="0.4">
      <c r="A1689" s="6">
        <v>2026</v>
      </c>
      <c r="B1689" s="6">
        <f t="shared" si="211"/>
        <v>18</v>
      </c>
      <c r="C1689" s="13" t="s">
        <v>23</v>
      </c>
      <c r="D1689" s="2" t="s">
        <v>6</v>
      </c>
      <c r="E1689" s="14" t="s">
        <v>10</v>
      </c>
      <c r="F1689" s="22">
        <f t="shared" si="210"/>
        <v>10</v>
      </c>
      <c r="H1689" s="5" t="str">
        <f ca="1">_xlfn.FORMULATEXT(표1[[#This Row],[Q''ty]])</f>
        <v>=F1590</v>
      </c>
    </row>
    <row r="1690" spans="1:10" ht="15" hidden="1" customHeight="1" x14ac:dyDescent="0.4">
      <c r="A1690" s="6">
        <v>2026</v>
      </c>
      <c r="B1690" s="6">
        <f t="shared" si="211"/>
        <v>18</v>
      </c>
      <c r="C1690" s="13" t="s">
        <v>23</v>
      </c>
      <c r="D1690" s="2" t="s">
        <v>6</v>
      </c>
      <c r="E1690" s="14" t="s">
        <v>11</v>
      </c>
      <c r="F1690" s="22">
        <f t="shared" si="210"/>
        <v>10</v>
      </c>
      <c r="H1690" s="5" t="str">
        <f ca="1">_xlfn.FORMULATEXT(표1[[#This Row],[Q''ty]])</f>
        <v>=F1591</v>
      </c>
    </row>
    <row r="1691" spans="1:10" ht="15" hidden="1" customHeight="1" x14ac:dyDescent="0.4">
      <c r="A1691" s="6">
        <v>2026</v>
      </c>
      <c r="B1691" s="6">
        <f t="shared" si="211"/>
        <v>18</v>
      </c>
      <c r="C1691" s="13" t="s">
        <v>23</v>
      </c>
      <c r="D1691" s="2" t="s">
        <v>12</v>
      </c>
      <c r="E1691" s="14" t="s">
        <v>13</v>
      </c>
      <c r="F1691" s="22"/>
      <c r="H1691" s="5" t="e">
        <f ca="1">_xlfn.FORMULATEXT(표1[[#This Row],[Q''ty]])</f>
        <v>#N/A</v>
      </c>
    </row>
    <row r="1692" spans="1:10" s="2" customFormat="1" ht="15" hidden="1" customHeight="1" x14ac:dyDescent="0.4">
      <c r="A1692" s="6">
        <v>2026</v>
      </c>
      <c r="B1692" s="6">
        <f t="shared" si="211"/>
        <v>18</v>
      </c>
      <c r="C1692" s="13" t="s">
        <v>23</v>
      </c>
      <c r="D1692" s="2" t="s">
        <v>12</v>
      </c>
      <c r="E1692" s="14" t="s">
        <v>14</v>
      </c>
      <c r="F1692" s="22"/>
      <c r="H1692" s="5" t="e">
        <f ca="1">_xlfn.FORMULATEXT(표1[[#This Row],[Q''ty]])</f>
        <v>#N/A</v>
      </c>
      <c r="I1692" s="26"/>
      <c r="J1692" s="26"/>
    </row>
    <row r="1693" spans="1:10" ht="15" hidden="1" customHeight="1" x14ac:dyDescent="0.4">
      <c r="A1693" s="6">
        <v>2026</v>
      </c>
      <c r="B1693" s="6">
        <f t="shared" si="211"/>
        <v>18</v>
      </c>
      <c r="C1693" s="13" t="s">
        <v>23</v>
      </c>
      <c r="D1693" s="2" t="s">
        <v>12</v>
      </c>
      <c r="E1693" s="14" t="s">
        <v>15</v>
      </c>
      <c r="F1693" s="22"/>
      <c r="H1693" s="5" t="e">
        <f ca="1">_xlfn.FORMULATEXT(표1[[#This Row],[Q''ty]])</f>
        <v>#N/A</v>
      </c>
    </row>
    <row r="1694" spans="1:10" ht="15" hidden="1" customHeight="1" x14ac:dyDescent="0.4">
      <c r="A1694" s="6">
        <v>2026</v>
      </c>
      <c r="B1694" s="6">
        <f t="shared" si="211"/>
        <v>18</v>
      </c>
      <c r="C1694" s="13" t="s">
        <v>23</v>
      </c>
      <c r="D1694" s="2" t="s">
        <v>12</v>
      </c>
      <c r="E1694" s="14" t="s">
        <v>16</v>
      </c>
      <c r="F1694" s="22"/>
      <c r="H1694" s="5" t="e">
        <f ca="1">_xlfn.FORMULATEXT(표1[[#This Row],[Q''ty]])</f>
        <v>#N/A</v>
      </c>
    </row>
    <row r="1695" spans="1:10" ht="15" hidden="1" customHeight="1" thickBot="1" x14ac:dyDescent="0.45">
      <c r="A1695" s="15">
        <v>2026</v>
      </c>
      <c r="B1695" s="15">
        <f t="shared" si="211"/>
        <v>18</v>
      </c>
      <c r="C1695" s="16" t="s">
        <v>23</v>
      </c>
      <c r="D1695" s="17" t="s">
        <v>12</v>
      </c>
      <c r="E1695" s="18" t="s">
        <v>17</v>
      </c>
      <c r="F1695" s="23"/>
      <c r="H1695" s="5" t="e">
        <f ca="1">_xlfn.FORMULATEXT(표1[[#This Row],[Q''ty]])</f>
        <v>#N/A</v>
      </c>
    </row>
    <row r="1696" spans="1:10" ht="15" hidden="1" customHeight="1" thickTop="1" x14ac:dyDescent="0.4">
      <c r="A1696" s="9">
        <v>2026</v>
      </c>
      <c r="B1696" s="9">
        <f t="shared" si="211"/>
        <v>18</v>
      </c>
      <c r="C1696" s="10" t="s">
        <v>29</v>
      </c>
      <c r="D1696" s="11" t="s">
        <v>6</v>
      </c>
      <c r="E1696" s="12" t="s">
        <v>7</v>
      </c>
      <c r="F1696" s="21">
        <f t="shared" ref="F1696:F1701" si="212">F1597</f>
        <v>14</v>
      </c>
      <c r="H1696" s="5" t="str">
        <f ca="1">_xlfn.FORMULATEXT(표1[[#This Row],[Q''ty]])</f>
        <v>=F1597</v>
      </c>
    </row>
    <row r="1697" spans="1:10" s="2" customFormat="1" ht="15" hidden="1" customHeight="1" x14ac:dyDescent="0.4">
      <c r="A1697" s="6">
        <v>2026</v>
      </c>
      <c r="B1697" s="6">
        <f t="shared" si="211"/>
        <v>18</v>
      </c>
      <c r="C1697" s="13" t="s">
        <v>24</v>
      </c>
      <c r="D1697" s="2" t="s">
        <v>6</v>
      </c>
      <c r="E1697" s="14" t="s">
        <v>8</v>
      </c>
      <c r="F1697" s="22">
        <f t="shared" si="212"/>
        <v>8</v>
      </c>
      <c r="H1697" s="5" t="str">
        <f ca="1">_xlfn.FORMULATEXT(표1[[#This Row],[Q''ty]])</f>
        <v>=F1598</v>
      </c>
      <c r="I1697" s="26"/>
      <c r="J1697" s="26"/>
    </row>
    <row r="1698" spans="1:10" s="2" customFormat="1" ht="15" hidden="1" customHeight="1" x14ac:dyDescent="0.4">
      <c r="A1698" s="6">
        <v>2026</v>
      </c>
      <c r="B1698" s="6">
        <f t="shared" si="211"/>
        <v>18</v>
      </c>
      <c r="C1698" s="13" t="s">
        <v>24</v>
      </c>
      <c r="D1698" s="2" t="s">
        <v>6</v>
      </c>
      <c r="E1698" s="14" t="s">
        <v>9</v>
      </c>
      <c r="F1698" s="22">
        <f t="shared" si="212"/>
        <v>4</v>
      </c>
      <c r="H1698" s="5" t="str">
        <f ca="1">_xlfn.FORMULATEXT(표1[[#This Row],[Q''ty]])</f>
        <v>=F1599</v>
      </c>
      <c r="I1698" s="26"/>
      <c r="J1698" s="26"/>
    </row>
    <row r="1699" spans="1:10" ht="15" hidden="1" customHeight="1" x14ac:dyDescent="0.4">
      <c r="A1699" s="6">
        <v>2026</v>
      </c>
      <c r="B1699" s="6">
        <f t="shared" si="211"/>
        <v>18</v>
      </c>
      <c r="C1699" s="13" t="s">
        <v>24</v>
      </c>
      <c r="D1699" s="2" t="s">
        <v>6</v>
      </c>
      <c r="E1699" s="14" t="s">
        <v>27</v>
      </c>
      <c r="F1699" s="22">
        <f t="shared" si="212"/>
        <v>3</v>
      </c>
      <c r="H1699" s="5" t="str">
        <f ca="1">_xlfn.FORMULATEXT(표1[[#This Row],[Q''ty]])</f>
        <v>=F1600</v>
      </c>
    </row>
    <row r="1700" spans="1:10" ht="15" hidden="1" customHeight="1" x14ac:dyDescent="0.4">
      <c r="A1700" s="6">
        <v>2026</v>
      </c>
      <c r="B1700" s="6">
        <f t="shared" si="211"/>
        <v>18</v>
      </c>
      <c r="C1700" s="13" t="s">
        <v>24</v>
      </c>
      <c r="D1700" s="2" t="s">
        <v>6</v>
      </c>
      <c r="E1700" s="14" t="s">
        <v>10</v>
      </c>
      <c r="F1700" s="22">
        <f t="shared" si="212"/>
        <v>6</v>
      </c>
      <c r="H1700" s="5" t="str">
        <f ca="1">_xlfn.FORMULATEXT(표1[[#This Row],[Q''ty]])</f>
        <v>=F1601</v>
      </c>
    </row>
    <row r="1701" spans="1:10" ht="15" hidden="1" customHeight="1" x14ac:dyDescent="0.4">
      <c r="A1701" s="6">
        <v>2026</v>
      </c>
      <c r="B1701" s="6">
        <f t="shared" si="211"/>
        <v>18</v>
      </c>
      <c r="C1701" s="13" t="s">
        <v>24</v>
      </c>
      <c r="D1701" s="2" t="s">
        <v>6</v>
      </c>
      <c r="E1701" s="14" t="s">
        <v>11</v>
      </c>
      <c r="F1701" s="22">
        <f t="shared" si="212"/>
        <v>8.8000000000000007</v>
      </c>
      <c r="H1701" s="5" t="str">
        <f ca="1">_xlfn.FORMULATEXT(표1[[#This Row],[Q''ty]])</f>
        <v>=F1602</v>
      </c>
    </row>
    <row r="1702" spans="1:10" ht="15" hidden="1" customHeight="1" x14ac:dyDescent="0.4">
      <c r="A1702" s="6">
        <v>2026</v>
      </c>
      <c r="B1702" s="6">
        <f t="shared" si="211"/>
        <v>18</v>
      </c>
      <c r="C1702" s="13" t="s">
        <v>24</v>
      </c>
      <c r="D1702" s="2" t="s">
        <v>12</v>
      </c>
      <c r="E1702" s="14" t="s">
        <v>13</v>
      </c>
      <c r="F1702" s="22"/>
      <c r="H1702" s="5" t="e">
        <f ca="1">_xlfn.FORMULATEXT(표1[[#This Row],[Q''ty]])</f>
        <v>#N/A</v>
      </c>
    </row>
    <row r="1703" spans="1:10" s="2" customFormat="1" ht="15" hidden="1" customHeight="1" x14ac:dyDescent="0.4">
      <c r="A1703" s="6">
        <v>2026</v>
      </c>
      <c r="B1703" s="6">
        <f t="shared" si="211"/>
        <v>18</v>
      </c>
      <c r="C1703" s="13" t="s">
        <v>24</v>
      </c>
      <c r="D1703" s="2" t="s">
        <v>12</v>
      </c>
      <c r="E1703" s="14" t="s">
        <v>14</v>
      </c>
      <c r="F1703" s="22"/>
      <c r="H1703" s="5" t="e">
        <f ca="1">_xlfn.FORMULATEXT(표1[[#This Row],[Q''ty]])</f>
        <v>#N/A</v>
      </c>
      <c r="I1703" s="26"/>
      <c r="J1703" s="26"/>
    </row>
    <row r="1704" spans="1:10" ht="15" hidden="1" customHeight="1" x14ac:dyDescent="0.4">
      <c r="A1704" s="6">
        <v>2026</v>
      </c>
      <c r="B1704" s="6">
        <f t="shared" si="211"/>
        <v>18</v>
      </c>
      <c r="C1704" s="13" t="s">
        <v>24</v>
      </c>
      <c r="D1704" s="2" t="s">
        <v>12</v>
      </c>
      <c r="E1704" s="14" t="s">
        <v>15</v>
      </c>
      <c r="F1704" s="22"/>
      <c r="H1704" s="5" t="e">
        <f ca="1">_xlfn.FORMULATEXT(표1[[#This Row],[Q''ty]])</f>
        <v>#N/A</v>
      </c>
    </row>
    <row r="1705" spans="1:10" ht="15" hidden="1" customHeight="1" x14ac:dyDescent="0.4">
      <c r="A1705" s="6">
        <v>2026</v>
      </c>
      <c r="B1705" s="6">
        <f t="shared" si="211"/>
        <v>18</v>
      </c>
      <c r="C1705" s="13" t="s">
        <v>24</v>
      </c>
      <c r="D1705" s="2" t="s">
        <v>12</v>
      </c>
      <c r="E1705" s="14" t="s">
        <v>16</v>
      </c>
      <c r="F1705" s="22"/>
      <c r="H1705" s="5" t="e">
        <f ca="1">_xlfn.FORMULATEXT(표1[[#This Row],[Q''ty]])</f>
        <v>#N/A</v>
      </c>
    </row>
    <row r="1706" spans="1:10" ht="15" hidden="1" customHeight="1" thickBot="1" x14ac:dyDescent="0.45">
      <c r="A1706" s="15">
        <v>2026</v>
      </c>
      <c r="B1706" s="15">
        <f t="shared" si="211"/>
        <v>18</v>
      </c>
      <c r="C1706" s="16" t="s">
        <v>24</v>
      </c>
      <c r="D1706" s="17" t="s">
        <v>12</v>
      </c>
      <c r="E1706" s="18" t="s">
        <v>17</v>
      </c>
      <c r="F1706" s="23"/>
      <c r="H1706" s="5" t="e">
        <f ca="1">_xlfn.FORMULATEXT(표1[[#This Row],[Q''ty]])</f>
        <v>#N/A</v>
      </c>
    </row>
    <row r="1707" spans="1:10" ht="15" hidden="1" customHeight="1" thickTop="1" x14ac:dyDescent="0.4">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10" ht="15" hidden="1" customHeight="1" x14ac:dyDescent="0.4">
      <c r="A1708" s="6">
        <v>2026</v>
      </c>
      <c r="B1708" s="6">
        <f t="shared" si="211"/>
        <v>18</v>
      </c>
      <c r="C1708" s="13" t="s">
        <v>18</v>
      </c>
      <c r="D1708" s="2" t="s">
        <v>6</v>
      </c>
      <c r="E1708" s="14" t="str">
        <f t="shared" si="213"/>
        <v>Paint Booth</v>
      </c>
      <c r="F1708" s="22">
        <f t="shared" si="213"/>
        <v>3</v>
      </c>
      <c r="H1708" s="5" t="str">
        <f ca="1">_xlfn.FORMULATEXT(표1[[#This Row],[Q''ty]])</f>
        <v>=F1609</v>
      </c>
    </row>
    <row r="1709" spans="1:10" ht="15" hidden="1" customHeight="1" x14ac:dyDescent="0.4">
      <c r="A1709" s="6">
        <v>2026</v>
      </c>
      <c r="B1709" s="6">
        <f t="shared" si="211"/>
        <v>18</v>
      </c>
      <c r="C1709" s="13" t="s">
        <v>18</v>
      </c>
      <c r="D1709" s="2" t="s">
        <v>6</v>
      </c>
      <c r="E1709" s="14" t="str">
        <f t="shared" si="213"/>
        <v>Paint Line</v>
      </c>
      <c r="F1709" s="22">
        <f t="shared" si="213"/>
        <v>2</v>
      </c>
      <c r="H1709" s="5" t="str">
        <f ca="1">_xlfn.FORMULATEXT(표1[[#This Row],[Q''ty]])</f>
        <v>=F1610</v>
      </c>
    </row>
    <row r="1710" spans="1:10" ht="15" hidden="1" customHeight="1" x14ac:dyDescent="0.4">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10" ht="15" hidden="1" customHeight="1" x14ac:dyDescent="0.4">
      <c r="A1711" s="6">
        <v>2026</v>
      </c>
      <c r="B1711" s="6">
        <f t="shared" si="211"/>
        <v>18</v>
      </c>
      <c r="C1711" s="13" t="s">
        <v>18</v>
      </c>
      <c r="D1711" s="2" t="s">
        <v>6</v>
      </c>
      <c r="E1711" s="14" t="str">
        <f t="shared" si="213"/>
        <v>L/W Machine</v>
      </c>
      <c r="F1711" s="22">
        <f t="shared" si="213"/>
        <v>2</v>
      </c>
      <c r="H1711" s="5" t="str">
        <f ca="1">_xlfn.FORMULATEXT(표1[[#This Row],[Q''ty]])</f>
        <v>=F1612</v>
      </c>
    </row>
    <row r="1712" spans="1:10" ht="15" hidden="1" customHeight="1" x14ac:dyDescent="0.4">
      <c r="A1712" s="6">
        <v>2026</v>
      </c>
      <c r="B1712" s="6">
        <f t="shared" si="211"/>
        <v>18</v>
      </c>
      <c r="C1712" s="13" t="s">
        <v>18</v>
      </c>
      <c r="D1712" s="2" t="s">
        <v>6</v>
      </c>
      <c r="E1712" s="14" t="str">
        <f t="shared" si="213"/>
        <v>C/W Machine</v>
      </c>
      <c r="F1712" s="22">
        <f t="shared" si="213"/>
        <v>3</v>
      </c>
      <c r="H1712" s="5" t="str">
        <f ca="1">_xlfn.FORMULATEXT(표1[[#This Row],[Q''ty]])</f>
        <v>=F1613</v>
      </c>
    </row>
    <row r="1713" spans="1:8" ht="15" hidden="1" customHeight="1" x14ac:dyDescent="0.4">
      <c r="A1713" s="6">
        <v>2026</v>
      </c>
      <c r="B1713" s="6">
        <f t="shared" si="211"/>
        <v>18</v>
      </c>
      <c r="C1713" s="13" t="s">
        <v>18</v>
      </c>
      <c r="D1713" s="2" t="s">
        <v>12</v>
      </c>
      <c r="E1713" s="14" t="str">
        <f t="shared" ref="E1713:E1728" si="214">E1614</f>
        <v>BT GT</v>
      </c>
      <c r="F1713" s="22"/>
      <c r="H1713" s="5" t="e">
        <f ca="1">_xlfn.FORMULATEXT(표1[[#This Row],[Q''ty]])</f>
        <v>#N/A</v>
      </c>
    </row>
    <row r="1714" spans="1:8" ht="15" hidden="1" customHeight="1" x14ac:dyDescent="0.4">
      <c r="A1714" s="6">
        <v>2026</v>
      </c>
      <c r="B1714" s="6">
        <f t="shared" si="211"/>
        <v>18</v>
      </c>
      <c r="C1714" s="13" t="s">
        <v>18</v>
      </c>
      <c r="D1714" s="2" t="s">
        <v>12</v>
      </c>
      <c r="E1714" s="14" t="str">
        <f t="shared" si="214"/>
        <v>WT GT</v>
      </c>
      <c r="F1714" s="22"/>
      <c r="H1714" s="5" t="e">
        <f ca="1">_xlfn.FORMULATEXT(표1[[#This Row],[Q''ty]])</f>
        <v>#N/A</v>
      </c>
    </row>
    <row r="1715" spans="1:8" ht="15" hidden="1" customHeight="1" x14ac:dyDescent="0.4">
      <c r="A1715" s="6">
        <v>2026</v>
      </c>
      <c r="B1715" s="6">
        <f t="shared" si="211"/>
        <v>18</v>
      </c>
      <c r="C1715" s="13" t="s">
        <v>18</v>
      </c>
      <c r="D1715" s="2" t="s">
        <v>12</v>
      </c>
      <c r="E1715" s="14" t="str">
        <f t="shared" si="214"/>
        <v>Bending</v>
      </c>
      <c r="F1715" s="22"/>
      <c r="H1715" s="5" t="e">
        <f ca="1">_xlfn.FORMULATEXT(표1[[#This Row],[Q''ty]])</f>
        <v>#N/A</v>
      </c>
    </row>
    <row r="1716" spans="1:8" ht="15" hidden="1" customHeight="1" x14ac:dyDescent="0.4">
      <c r="A1716" s="6">
        <v>2026</v>
      </c>
      <c r="B1716" s="6">
        <f t="shared" si="211"/>
        <v>18</v>
      </c>
      <c r="C1716" s="13" t="s">
        <v>18</v>
      </c>
      <c r="D1716" s="2" t="s">
        <v>12</v>
      </c>
      <c r="E1716" s="14" t="str">
        <f t="shared" si="214"/>
        <v>L/W</v>
      </c>
      <c r="F1716" s="22"/>
      <c r="H1716" s="5" t="e">
        <f ca="1">_xlfn.FORMULATEXT(표1[[#This Row],[Q''ty]])</f>
        <v>#N/A</v>
      </c>
    </row>
    <row r="1717" spans="1:8" ht="15" hidden="1" customHeight="1" thickBot="1" x14ac:dyDescent="0.45">
      <c r="A1717" s="15">
        <v>2026</v>
      </c>
      <c r="B1717" s="15">
        <f t="shared" si="211"/>
        <v>18</v>
      </c>
      <c r="C1717" s="16" t="s">
        <v>18</v>
      </c>
      <c r="D1717" s="17" t="s">
        <v>12</v>
      </c>
      <c r="E1717" s="18" t="str">
        <f t="shared" si="214"/>
        <v>C/W</v>
      </c>
      <c r="F1717" s="23"/>
      <c r="H1717" s="5" t="e">
        <f ca="1">_xlfn.FORMULATEXT(표1[[#This Row],[Q''ty]])</f>
        <v>#N/A</v>
      </c>
    </row>
    <row r="1718" spans="1:8" ht="15" hidden="1" customHeight="1" thickTop="1" x14ac:dyDescent="0.4">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8" ht="15" hidden="1" customHeight="1" x14ac:dyDescent="0.4">
      <c r="A1719" s="6">
        <v>2026</v>
      </c>
      <c r="B1719" s="6">
        <f t="shared" si="211"/>
        <v>18</v>
      </c>
      <c r="C1719" s="13" t="s">
        <v>19</v>
      </c>
      <c r="D1719" s="2" t="s">
        <v>6</v>
      </c>
      <c r="E1719" s="14" t="str">
        <f t="shared" si="214"/>
        <v>Paint Booth</v>
      </c>
      <c r="F1719" s="22">
        <f t="shared" si="215"/>
        <v>22</v>
      </c>
      <c r="H1719" s="5" t="str">
        <f ca="1">_xlfn.FORMULATEXT(표1[[#This Row],[Q''ty]])</f>
        <v>=F1620</v>
      </c>
    </row>
    <row r="1720" spans="1:8" ht="15" hidden="1" customHeight="1" x14ac:dyDescent="0.4">
      <c r="A1720" s="6">
        <v>2026</v>
      </c>
      <c r="B1720" s="6">
        <f t="shared" si="211"/>
        <v>18</v>
      </c>
      <c r="C1720" s="13" t="s">
        <v>19</v>
      </c>
      <c r="D1720" s="2" t="s">
        <v>6</v>
      </c>
      <c r="E1720" s="14" t="str">
        <f t="shared" si="214"/>
        <v>Paint Line</v>
      </c>
      <c r="F1720" s="22">
        <f t="shared" si="215"/>
        <v>6</v>
      </c>
      <c r="H1720" s="5" t="str">
        <f ca="1">_xlfn.FORMULATEXT(표1[[#This Row],[Q''ty]])</f>
        <v>=F1621</v>
      </c>
    </row>
    <row r="1721" spans="1:8" ht="15" hidden="1" customHeight="1" x14ac:dyDescent="0.4">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8" ht="15" hidden="1" customHeight="1" x14ac:dyDescent="0.4">
      <c r="A1722" s="6">
        <v>2026</v>
      </c>
      <c r="B1722" s="6">
        <f t="shared" si="211"/>
        <v>18</v>
      </c>
      <c r="C1722" s="13" t="s">
        <v>19</v>
      </c>
      <c r="D1722" s="2" t="s">
        <v>6</v>
      </c>
      <c r="E1722" s="14" t="str">
        <f t="shared" si="214"/>
        <v>L/W Machine</v>
      </c>
      <c r="F1722" s="22">
        <f t="shared" si="215"/>
        <v>10</v>
      </c>
      <c r="H1722" s="5" t="str">
        <f ca="1">_xlfn.FORMULATEXT(표1[[#This Row],[Q''ty]])</f>
        <v>=F1623</v>
      </c>
    </row>
    <row r="1723" spans="1:8" ht="15" hidden="1" customHeight="1" x14ac:dyDescent="0.4">
      <c r="A1723" s="6">
        <v>2026</v>
      </c>
      <c r="B1723" s="6">
        <f t="shared" si="211"/>
        <v>18</v>
      </c>
      <c r="C1723" s="13" t="s">
        <v>19</v>
      </c>
      <c r="D1723" s="2" t="s">
        <v>6</v>
      </c>
      <c r="E1723" s="14" t="str">
        <f t="shared" si="214"/>
        <v>C/W Machine</v>
      </c>
      <c r="F1723" s="22">
        <f t="shared" si="215"/>
        <v>12</v>
      </c>
      <c r="H1723" s="5" t="str">
        <f ca="1">_xlfn.FORMULATEXT(표1[[#This Row],[Q''ty]])</f>
        <v>=F1624</v>
      </c>
    </row>
    <row r="1724" spans="1:8" ht="15" hidden="1" customHeight="1" x14ac:dyDescent="0.4">
      <c r="A1724" s="6">
        <v>2026</v>
      </c>
      <c r="B1724" s="6">
        <f t="shared" si="211"/>
        <v>18</v>
      </c>
      <c r="C1724" s="13" t="s">
        <v>19</v>
      </c>
      <c r="D1724" s="2" t="s">
        <v>12</v>
      </c>
      <c r="E1724" s="14" t="str">
        <f t="shared" si="214"/>
        <v>BT GT</v>
      </c>
      <c r="F1724" s="22"/>
      <c r="H1724" s="5" t="e">
        <f ca="1">_xlfn.FORMULATEXT(표1[[#This Row],[Q''ty]])</f>
        <v>#N/A</v>
      </c>
    </row>
    <row r="1725" spans="1:8" ht="15" hidden="1" customHeight="1" x14ac:dyDescent="0.4">
      <c r="A1725" s="6">
        <v>2026</v>
      </c>
      <c r="B1725" s="6">
        <f t="shared" si="211"/>
        <v>18</v>
      </c>
      <c r="C1725" s="13" t="s">
        <v>19</v>
      </c>
      <c r="D1725" s="2" t="s">
        <v>12</v>
      </c>
      <c r="E1725" s="14" t="str">
        <f t="shared" si="214"/>
        <v>WT GT</v>
      </c>
      <c r="F1725" s="22"/>
      <c r="H1725" s="5" t="e">
        <f ca="1">_xlfn.FORMULATEXT(표1[[#This Row],[Q''ty]])</f>
        <v>#N/A</v>
      </c>
    </row>
    <row r="1726" spans="1:8" ht="15" hidden="1" customHeight="1" x14ac:dyDescent="0.4">
      <c r="A1726" s="6">
        <v>2026</v>
      </c>
      <c r="B1726" s="6">
        <f t="shared" si="211"/>
        <v>18</v>
      </c>
      <c r="C1726" s="13" t="s">
        <v>19</v>
      </c>
      <c r="D1726" s="2" t="s">
        <v>12</v>
      </c>
      <c r="E1726" s="14" t="str">
        <f t="shared" si="214"/>
        <v>Bending</v>
      </c>
      <c r="F1726" s="22"/>
      <c r="H1726" s="5" t="e">
        <f ca="1">_xlfn.FORMULATEXT(표1[[#This Row],[Q''ty]])</f>
        <v>#N/A</v>
      </c>
    </row>
    <row r="1727" spans="1:8" ht="15" hidden="1" customHeight="1" x14ac:dyDescent="0.4">
      <c r="A1727" s="6">
        <v>2026</v>
      </c>
      <c r="B1727" s="6">
        <f t="shared" si="211"/>
        <v>18</v>
      </c>
      <c r="C1727" s="13" t="s">
        <v>19</v>
      </c>
      <c r="D1727" s="2" t="s">
        <v>12</v>
      </c>
      <c r="E1727" s="14" t="str">
        <f t="shared" si="214"/>
        <v>L/W</v>
      </c>
      <c r="F1727" s="22"/>
      <c r="H1727" s="5" t="e">
        <f ca="1">_xlfn.FORMULATEXT(표1[[#This Row],[Q''ty]])</f>
        <v>#N/A</v>
      </c>
    </row>
    <row r="1728" spans="1:8" ht="15" hidden="1" customHeight="1" thickBot="1" x14ac:dyDescent="0.45">
      <c r="A1728" s="15">
        <v>2026</v>
      </c>
      <c r="B1728" s="15">
        <f t="shared" si="211"/>
        <v>18</v>
      </c>
      <c r="C1728" s="16" t="s">
        <v>19</v>
      </c>
      <c r="D1728" s="17" t="s">
        <v>12</v>
      </c>
      <c r="E1728" s="18" t="str">
        <f t="shared" si="214"/>
        <v>C/W</v>
      </c>
      <c r="F1728" s="23"/>
      <c r="H1728" s="5" t="e">
        <f ca="1">_xlfn.FORMULATEXT(표1[[#This Row],[Q''ty]])</f>
        <v>#N/A</v>
      </c>
    </row>
    <row r="1729" spans="1:8" ht="15" hidden="1" customHeight="1" thickTop="1" x14ac:dyDescent="0.4">
      <c r="A1729" s="6">
        <v>2026</v>
      </c>
      <c r="B1729" s="6">
        <f t="shared" si="211"/>
        <v>18</v>
      </c>
      <c r="C1729" s="13" t="s">
        <v>25</v>
      </c>
      <c r="D1729" s="2" t="s">
        <v>6</v>
      </c>
      <c r="E1729" s="14" t="s">
        <v>7</v>
      </c>
      <c r="F1729" s="22">
        <f t="shared" ref="F1729:F1734" si="216">F1630</f>
        <v>3</v>
      </c>
      <c r="H1729" s="5" t="str">
        <f ca="1">_xlfn.FORMULATEXT(표1[[#This Row],[Q''ty]])</f>
        <v>=F1630</v>
      </c>
    </row>
    <row r="1730" spans="1:8" ht="15" hidden="1" customHeight="1" x14ac:dyDescent="0.4">
      <c r="A1730" s="6">
        <v>2026</v>
      </c>
      <c r="B1730" s="6">
        <f t="shared" si="211"/>
        <v>18</v>
      </c>
      <c r="C1730" s="13" t="s">
        <v>25</v>
      </c>
      <c r="D1730" s="2" t="s">
        <v>6</v>
      </c>
      <c r="E1730" s="14" t="s">
        <v>8</v>
      </c>
      <c r="F1730" s="22">
        <f t="shared" si="216"/>
        <v>3</v>
      </c>
      <c r="H1730" s="5" t="str">
        <f ca="1">_xlfn.FORMULATEXT(표1[[#This Row],[Q''ty]])</f>
        <v>=F1631</v>
      </c>
    </row>
    <row r="1731" spans="1:8" ht="15" hidden="1" customHeight="1" x14ac:dyDescent="0.4">
      <c r="A1731" s="6">
        <v>2026</v>
      </c>
      <c r="B1731" s="6">
        <f t="shared" si="211"/>
        <v>18</v>
      </c>
      <c r="C1731" s="13" t="s">
        <v>25</v>
      </c>
      <c r="D1731" s="2" t="s">
        <v>6</v>
      </c>
      <c r="E1731" s="14" t="s">
        <v>9</v>
      </c>
      <c r="F1731" s="22">
        <f t="shared" si="216"/>
        <v>2</v>
      </c>
      <c r="H1731" s="5" t="str">
        <f ca="1">_xlfn.FORMULATEXT(표1[[#This Row],[Q''ty]])</f>
        <v>=F1632</v>
      </c>
    </row>
    <row r="1732" spans="1:8" ht="15" hidden="1" customHeight="1" x14ac:dyDescent="0.4">
      <c r="A1732" s="6">
        <v>2026</v>
      </c>
      <c r="B1732" s="6">
        <f t="shared" si="211"/>
        <v>18</v>
      </c>
      <c r="C1732" s="13" t="s">
        <v>25</v>
      </c>
      <c r="D1732" s="2" t="s">
        <v>6</v>
      </c>
      <c r="E1732" s="14" t="s">
        <v>27</v>
      </c>
      <c r="F1732" s="22">
        <f t="shared" si="216"/>
        <v>2</v>
      </c>
      <c r="H1732" s="5" t="str">
        <f ca="1">_xlfn.FORMULATEXT(표1[[#This Row],[Q''ty]])</f>
        <v>=F1633</v>
      </c>
    </row>
    <row r="1733" spans="1:8" ht="15" hidden="1" customHeight="1" x14ac:dyDescent="0.4">
      <c r="A1733" s="6">
        <v>2026</v>
      </c>
      <c r="B1733" s="6">
        <f t="shared" si="211"/>
        <v>18</v>
      </c>
      <c r="C1733" s="13" t="s">
        <v>25</v>
      </c>
      <c r="D1733" s="2" t="s">
        <v>6</v>
      </c>
      <c r="E1733" s="14" t="s">
        <v>10</v>
      </c>
      <c r="F1733" s="22">
        <f t="shared" si="216"/>
        <v>3</v>
      </c>
      <c r="H1733" s="5" t="str">
        <f ca="1">_xlfn.FORMULATEXT(표1[[#This Row],[Q''ty]])</f>
        <v>=F1634</v>
      </c>
    </row>
    <row r="1734" spans="1:8" ht="15" hidden="1" customHeight="1" x14ac:dyDescent="0.4">
      <c r="A1734" s="6">
        <v>2026</v>
      </c>
      <c r="B1734" s="6">
        <f t="shared" si="211"/>
        <v>18</v>
      </c>
      <c r="C1734" s="13" t="s">
        <v>25</v>
      </c>
      <c r="D1734" s="2" t="s">
        <v>6</v>
      </c>
      <c r="E1734" s="14" t="s">
        <v>11</v>
      </c>
      <c r="F1734" s="22">
        <f t="shared" si="216"/>
        <v>4</v>
      </c>
      <c r="H1734" s="5" t="str">
        <f ca="1">_xlfn.FORMULATEXT(표1[[#This Row],[Q''ty]])</f>
        <v>=F1635</v>
      </c>
    </row>
    <row r="1735" spans="1:8" ht="15" hidden="1" customHeight="1" x14ac:dyDescent="0.4">
      <c r="A1735" s="6">
        <v>2026</v>
      </c>
      <c r="B1735" s="6">
        <f t="shared" si="211"/>
        <v>18</v>
      </c>
      <c r="C1735" s="13" t="s">
        <v>25</v>
      </c>
      <c r="D1735" s="2" t="s">
        <v>12</v>
      </c>
      <c r="E1735" s="14" t="s">
        <v>13</v>
      </c>
      <c r="F1735" s="22"/>
      <c r="H1735" s="5" t="e">
        <f ca="1">_xlfn.FORMULATEXT(표1[[#This Row],[Q''ty]])</f>
        <v>#N/A</v>
      </c>
    </row>
    <row r="1736" spans="1:8" ht="15" hidden="1" customHeight="1" x14ac:dyDescent="0.4">
      <c r="A1736" s="6">
        <v>2026</v>
      </c>
      <c r="B1736" s="6">
        <f t="shared" si="211"/>
        <v>18</v>
      </c>
      <c r="C1736" s="13" t="s">
        <v>25</v>
      </c>
      <c r="D1736" s="2" t="s">
        <v>12</v>
      </c>
      <c r="E1736" s="14" t="s">
        <v>14</v>
      </c>
      <c r="F1736" s="22"/>
      <c r="H1736" s="5" t="e">
        <f ca="1">_xlfn.FORMULATEXT(표1[[#This Row],[Q''ty]])</f>
        <v>#N/A</v>
      </c>
    </row>
    <row r="1737" spans="1:8" ht="15" hidden="1" customHeight="1" x14ac:dyDescent="0.4">
      <c r="A1737" s="6">
        <v>2026</v>
      </c>
      <c r="B1737" s="6">
        <f t="shared" si="211"/>
        <v>18</v>
      </c>
      <c r="C1737" s="13" t="s">
        <v>25</v>
      </c>
      <c r="D1737" s="2" t="s">
        <v>12</v>
      </c>
      <c r="E1737" s="14" t="s">
        <v>15</v>
      </c>
      <c r="F1737" s="22"/>
      <c r="H1737" s="5" t="e">
        <f ca="1">_xlfn.FORMULATEXT(표1[[#This Row],[Q''ty]])</f>
        <v>#N/A</v>
      </c>
    </row>
    <row r="1738" spans="1:8" ht="15" hidden="1" customHeight="1" x14ac:dyDescent="0.4">
      <c r="A1738" s="6">
        <v>2026</v>
      </c>
      <c r="B1738" s="6">
        <f t="shared" si="211"/>
        <v>18</v>
      </c>
      <c r="C1738" s="13" t="s">
        <v>25</v>
      </c>
      <c r="D1738" s="2" t="s">
        <v>12</v>
      </c>
      <c r="E1738" s="14" t="s">
        <v>16</v>
      </c>
      <c r="F1738" s="22"/>
      <c r="H1738" s="5" t="e">
        <f ca="1">_xlfn.FORMULATEXT(표1[[#This Row],[Q''ty]])</f>
        <v>#N/A</v>
      </c>
    </row>
    <row r="1739" spans="1:8" ht="15" hidden="1" customHeight="1" thickBot="1" x14ac:dyDescent="0.45">
      <c r="A1739" s="15">
        <v>2026</v>
      </c>
      <c r="B1739" s="15">
        <f t="shared" si="211"/>
        <v>18</v>
      </c>
      <c r="C1739" s="16" t="s">
        <v>25</v>
      </c>
      <c r="D1739" s="17" t="s">
        <v>12</v>
      </c>
      <c r="E1739" s="18" t="s">
        <v>17</v>
      </c>
      <c r="F1739" s="23"/>
      <c r="H1739" s="5" t="e">
        <f ca="1">_xlfn.FORMULATEXT(표1[[#This Row],[Q''ty]])</f>
        <v>#N/A</v>
      </c>
    </row>
    <row r="1740" spans="1:8" ht="15" hidden="1" customHeight="1" thickTop="1" x14ac:dyDescent="0.4">
      <c r="A1740" s="6">
        <v>2026</v>
      </c>
      <c r="B1740" s="6">
        <f t="shared" si="211"/>
        <v>18</v>
      </c>
      <c r="C1740" s="13" t="s">
        <v>26</v>
      </c>
      <c r="D1740" s="2" t="s">
        <v>6</v>
      </c>
      <c r="E1740" s="14" t="s">
        <v>7</v>
      </c>
      <c r="F1740" s="22">
        <f t="shared" ref="F1740:F1745" si="217">F1641</f>
        <v>6</v>
      </c>
      <c r="H1740" s="5" t="str">
        <f ca="1">_xlfn.FORMULATEXT(표1[[#This Row],[Q''ty]])</f>
        <v>=F1641</v>
      </c>
    </row>
    <row r="1741" spans="1:8" ht="15" hidden="1" customHeight="1" x14ac:dyDescent="0.4">
      <c r="A1741" s="6">
        <v>2026</v>
      </c>
      <c r="B1741" s="6">
        <f t="shared" si="211"/>
        <v>18</v>
      </c>
      <c r="C1741" s="13" t="s">
        <v>26</v>
      </c>
      <c r="D1741" s="2" t="s">
        <v>6</v>
      </c>
      <c r="E1741" s="14" t="s">
        <v>8</v>
      </c>
      <c r="F1741" s="22">
        <f t="shared" si="217"/>
        <v>4</v>
      </c>
      <c r="H1741" s="5" t="str">
        <f ca="1">_xlfn.FORMULATEXT(표1[[#This Row],[Q''ty]])</f>
        <v>=F1642</v>
      </c>
    </row>
    <row r="1742" spans="1:8" ht="15" hidden="1" customHeight="1" x14ac:dyDescent="0.4">
      <c r="A1742" s="6">
        <v>2026</v>
      </c>
      <c r="B1742" s="6">
        <f t="shared" si="211"/>
        <v>18</v>
      </c>
      <c r="C1742" s="13" t="s">
        <v>26</v>
      </c>
      <c r="D1742" s="2" t="s">
        <v>6</v>
      </c>
      <c r="E1742" s="14" t="s">
        <v>9</v>
      </c>
      <c r="F1742" s="22">
        <f t="shared" si="217"/>
        <v>2</v>
      </c>
      <c r="H1742" s="5" t="str">
        <f ca="1">_xlfn.FORMULATEXT(표1[[#This Row],[Q''ty]])</f>
        <v>=F1643</v>
      </c>
    </row>
    <row r="1743" spans="1:8" ht="15" hidden="1" customHeight="1" x14ac:dyDescent="0.4">
      <c r="A1743" s="6">
        <v>2026</v>
      </c>
      <c r="B1743" s="6">
        <f t="shared" si="211"/>
        <v>18</v>
      </c>
      <c r="C1743" s="13" t="s">
        <v>26</v>
      </c>
      <c r="D1743" s="2" t="s">
        <v>6</v>
      </c>
      <c r="E1743" s="14" t="s">
        <v>27</v>
      </c>
      <c r="F1743" s="22">
        <f t="shared" si="217"/>
        <v>3</v>
      </c>
      <c r="H1743" s="5" t="str">
        <f ca="1">_xlfn.FORMULATEXT(표1[[#This Row],[Q''ty]])</f>
        <v>=F1644</v>
      </c>
    </row>
    <row r="1744" spans="1:8" ht="15" hidden="1" customHeight="1" x14ac:dyDescent="0.4">
      <c r="A1744" s="6">
        <v>2026</v>
      </c>
      <c r="B1744" s="6">
        <f t="shared" si="211"/>
        <v>18</v>
      </c>
      <c r="C1744" s="13" t="s">
        <v>26</v>
      </c>
      <c r="D1744" s="2" t="s">
        <v>6</v>
      </c>
      <c r="E1744" s="14" t="s">
        <v>10</v>
      </c>
      <c r="F1744" s="22">
        <f t="shared" si="217"/>
        <v>4</v>
      </c>
      <c r="H1744" s="5" t="str">
        <f ca="1">_xlfn.FORMULATEXT(표1[[#This Row],[Q''ty]])</f>
        <v>=F1645</v>
      </c>
    </row>
    <row r="1745" spans="1:8" ht="15" hidden="1" customHeight="1" x14ac:dyDescent="0.4">
      <c r="A1745" s="6">
        <v>2026</v>
      </c>
      <c r="B1745" s="6">
        <f t="shared" si="211"/>
        <v>18</v>
      </c>
      <c r="C1745" s="13" t="s">
        <v>26</v>
      </c>
      <c r="D1745" s="2" t="s">
        <v>6</v>
      </c>
      <c r="E1745" s="14" t="s">
        <v>11</v>
      </c>
      <c r="F1745" s="22">
        <f t="shared" si="217"/>
        <v>6</v>
      </c>
      <c r="H1745" s="5" t="str">
        <f ca="1">_xlfn.FORMULATEXT(표1[[#This Row],[Q''ty]])</f>
        <v>=F1646</v>
      </c>
    </row>
    <row r="1746" spans="1:8" ht="15" hidden="1" customHeight="1" x14ac:dyDescent="0.4">
      <c r="A1746" s="6">
        <v>2026</v>
      </c>
      <c r="B1746" s="6">
        <f t="shared" si="211"/>
        <v>18</v>
      </c>
      <c r="C1746" s="13" t="s">
        <v>26</v>
      </c>
      <c r="D1746" s="2" t="s">
        <v>12</v>
      </c>
      <c r="E1746" s="14" t="str">
        <f t="shared" ref="E1746:E1783" si="218">E1647</f>
        <v>BT GT</v>
      </c>
      <c r="F1746" s="22"/>
      <c r="H1746" s="5" t="e">
        <f ca="1">_xlfn.FORMULATEXT(표1[[#This Row],[Q''ty]])</f>
        <v>#N/A</v>
      </c>
    </row>
    <row r="1747" spans="1:8" ht="15" hidden="1" customHeight="1" x14ac:dyDescent="0.4">
      <c r="A1747" s="6">
        <v>2026</v>
      </c>
      <c r="B1747" s="6">
        <f t="shared" si="211"/>
        <v>18</v>
      </c>
      <c r="C1747" s="13" t="s">
        <v>26</v>
      </c>
      <c r="D1747" s="2" t="s">
        <v>12</v>
      </c>
      <c r="E1747" s="14" t="str">
        <f t="shared" si="218"/>
        <v>WT GT</v>
      </c>
      <c r="F1747" s="22"/>
      <c r="H1747" s="5" t="e">
        <f ca="1">_xlfn.FORMULATEXT(표1[[#This Row],[Q''ty]])</f>
        <v>#N/A</v>
      </c>
    </row>
    <row r="1748" spans="1:8" ht="15" hidden="1" customHeight="1" x14ac:dyDescent="0.4">
      <c r="A1748" s="6">
        <v>2026</v>
      </c>
      <c r="B1748" s="6">
        <f t="shared" si="211"/>
        <v>18</v>
      </c>
      <c r="C1748" s="13" t="s">
        <v>26</v>
      </c>
      <c r="D1748" s="2" t="s">
        <v>12</v>
      </c>
      <c r="E1748" s="14" t="str">
        <f t="shared" si="218"/>
        <v>Bending</v>
      </c>
      <c r="F1748" s="22"/>
      <c r="H1748" s="5" t="e">
        <f ca="1">_xlfn.FORMULATEXT(표1[[#This Row],[Q''ty]])</f>
        <v>#N/A</v>
      </c>
    </row>
    <row r="1749" spans="1:8" ht="15" hidden="1" customHeight="1" x14ac:dyDescent="0.4">
      <c r="A1749" s="6">
        <v>2026</v>
      </c>
      <c r="B1749" s="6">
        <f t="shared" si="211"/>
        <v>18</v>
      </c>
      <c r="C1749" s="13" t="s">
        <v>26</v>
      </c>
      <c r="D1749" s="2" t="s">
        <v>12</v>
      </c>
      <c r="E1749" s="14" t="str">
        <f t="shared" si="218"/>
        <v>L/W</v>
      </c>
      <c r="F1749" s="22"/>
      <c r="H1749" s="5" t="e">
        <f ca="1">_xlfn.FORMULATEXT(표1[[#This Row],[Q''ty]])</f>
        <v>#N/A</v>
      </c>
    </row>
    <row r="1750" spans="1:8" ht="15" hidden="1" customHeight="1" thickBot="1" x14ac:dyDescent="0.45">
      <c r="A1750" s="15">
        <v>2026</v>
      </c>
      <c r="B1750" s="15">
        <f t="shared" ref="B1750:B1783" si="219">B1651+1</f>
        <v>18</v>
      </c>
      <c r="C1750" s="16" t="s">
        <v>26</v>
      </c>
      <c r="D1750" s="17" t="s">
        <v>12</v>
      </c>
      <c r="E1750" s="18" t="str">
        <f t="shared" si="218"/>
        <v>C/W</v>
      </c>
      <c r="F1750" s="23"/>
      <c r="H1750" s="5" t="e">
        <f ca="1">_xlfn.FORMULATEXT(표1[[#This Row],[Q''ty]])</f>
        <v>#N/A</v>
      </c>
    </row>
    <row r="1751" spans="1:8" ht="15" hidden="1" customHeight="1" thickTop="1" x14ac:dyDescent="0.4">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8" ht="15" hidden="1" customHeight="1" x14ac:dyDescent="0.4">
      <c r="A1752" s="6">
        <v>2026</v>
      </c>
      <c r="B1752" s="6">
        <f t="shared" si="219"/>
        <v>18</v>
      </c>
      <c r="C1752" s="13" t="s">
        <v>20</v>
      </c>
      <c r="D1752" s="2" t="s">
        <v>6</v>
      </c>
      <c r="E1752" s="14" t="str">
        <f t="shared" si="218"/>
        <v>Paint Booth</v>
      </c>
      <c r="F1752" s="22">
        <f t="shared" si="220"/>
        <v>16</v>
      </c>
      <c r="H1752" s="5" t="str">
        <f ca="1">_xlfn.FORMULATEXT(표1[[#This Row],[Q''ty]])</f>
        <v>=F1653</v>
      </c>
    </row>
    <row r="1753" spans="1:8" ht="15" hidden="1" customHeight="1" x14ac:dyDescent="0.4">
      <c r="A1753" s="6">
        <v>2026</v>
      </c>
      <c r="B1753" s="6">
        <f t="shared" si="219"/>
        <v>18</v>
      </c>
      <c r="C1753" s="13" t="s">
        <v>20</v>
      </c>
      <c r="D1753" s="2" t="s">
        <v>6</v>
      </c>
      <c r="E1753" s="14" t="str">
        <f t="shared" si="218"/>
        <v>Paint Line</v>
      </c>
      <c r="F1753" s="22">
        <f t="shared" si="220"/>
        <v>8</v>
      </c>
      <c r="H1753" s="5" t="str">
        <f ca="1">_xlfn.FORMULATEXT(표1[[#This Row],[Q''ty]])</f>
        <v>=F1654</v>
      </c>
    </row>
    <row r="1754" spans="1:8" ht="15" hidden="1" customHeight="1" x14ac:dyDescent="0.4">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8" ht="15" hidden="1" customHeight="1" x14ac:dyDescent="0.4">
      <c r="A1755" s="6">
        <v>2026</v>
      </c>
      <c r="B1755" s="6">
        <f t="shared" si="219"/>
        <v>18</v>
      </c>
      <c r="C1755" s="13" t="s">
        <v>20</v>
      </c>
      <c r="D1755" s="2" t="s">
        <v>6</v>
      </c>
      <c r="E1755" s="14" t="str">
        <f t="shared" si="218"/>
        <v>L/W Machine</v>
      </c>
      <c r="F1755" s="22">
        <f t="shared" si="220"/>
        <v>11</v>
      </c>
      <c r="H1755" s="5" t="str">
        <f ca="1">_xlfn.FORMULATEXT(표1[[#This Row],[Q''ty]])</f>
        <v>=F1656</v>
      </c>
    </row>
    <row r="1756" spans="1:8" ht="15" hidden="1" customHeight="1" x14ac:dyDescent="0.4">
      <c r="A1756" s="6">
        <v>2026</v>
      </c>
      <c r="B1756" s="6">
        <f t="shared" si="219"/>
        <v>18</v>
      </c>
      <c r="C1756" s="13" t="s">
        <v>20</v>
      </c>
      <c r="D1756" s="2" t="s">
        <v>6</v>
      </c>
      <c r="E1756" s="14" t="str">
        <f t="shared" si="218"/>
        <v>C/W Machine</v>
      </c>
      <c r="F1756" s="22">
        <f t="shared" si="220"/>
        <v>15</v>
      </c>
      <c r="H1756" s="5" t="str">
        <f ca="1">_xlfn.FORMULATEXT(표1[[#This Row],[Q''ty]])</f>
        <v>=F1657</v>
      </c>
    </row>
    <row r="1757" spans="1:8" ht="15" hidden="1" customHeight="1" x14ac:dyDescent="0.4">
      <c r="A1757" s="6">
        <v>2026</v>
      </c>
      <c r="B1757" s="6">
        <f t="shared" si="219"/>
        <v>18</v>
      </c>
      <c r="C1757" s="13" t="s">
        <v>20</v>
      </c>
      <c r="D1757" s="2" t="s">
        <v>12</v>
      </c>
      <c r="E1757" s="14" t="str">
        <f t="shared" si="218"/>
        <v>BT GT</v>
      </c>
      <c r="F1757" s="22"/>
      <c r="H1757" s="5" t="e">
        <f ca="1">_xlfn.FORMULATEXT(표1[[#This Row],[Q''ty]])</f>
        <v>#N/A</v>
      </c>
    </row>
    <row r="1758" spans="1:8" ht="15" hidden="1" customHeight="1" x14ac:dyDescent="0.4">
      <c r="A1758" s="6">
        <v>2026</v>
      </c>
      <c r="B1758" s="6">
        <f t="shared" si="219"/>
        <v>18</v>
      </c>
      <c r="C1758" s="13" t="s">
        <v>20</v>
      </c>
      <c r="D1758" s="2" t="s">
        <v>12</v>
      </c>
      <c r="E1758" s="14" t="str">
        <f t="shared" si="218"/>
        <v>WT GT</v>
      </c>
      <c r="F1758" s="22"/>
      <c r="H1758" s="5" t="e">
        <f ca="1">_xlfn.FORMULATEXT(표1[[#This Row],[Q''ty]])</f>
        <v>#N/A</v>
      </c>
    </row>
    <row r="1759" spans="1:8" ht="15" hidden="1" customHeight="1" x14ac:dyDescent="0.4">
      <c r="A1759" s="6">
        <v>2026</v>
      </c>
      <c r="B1759" s="6">
        <f t="shared" si="219"/>
        <v>18</v>
      </c>
      <c r="C1759" s="13" t="s">
        <v>20</v>
      </c>
      <c r="D1759" s="2" t="s">
        <v>12</v>
      </c>
      <c r="E1759" s="14" t="str">
        <f t="shared" si="218"/>
        <v>Bending</v>
      </c>
      <c r="F1759" s="22"/>
      <c r="H1759" s="5" t="e">
        <f ca="1">_xlfn.FORMULATEXT(표1[[#This Row],[Q''ty]])</f>
        <v>#N/A</v>
      </c>
    </row>
    <row r="1760" spans="1:8" ht="15" hidden="1" customHeight="1" x14ac:dyDescent="0.4">
      <c r="A1760" s="6">
        <v>2026</v>
      </c>
      <c r="B1760" s="6">
        <f t="shared" si="219"/>
        <v>18</v>
      </c>
      <c r="C1760" s="13" t="s">
        <v>20</v>
      </c>
      <c r="D1760" s="2" t="s">
        <v>12</v>
      </c>
      <c r="E1760" s="14" t="str">
        <f t="shared" si="218"/>
        <v>L/W</v>
      </c>
      <c r="F1760" s="22"/>
      <c r="H1760" s="5" t="e">
        <f ca="1">_xlfn.FORMULATEXT(표1[[#This Row],[Q''ty]])</f>
        <v>#N/A</v>
      </c>
    </row>
    <row r="1761" spans="1:8" ht="15" hidden="1" customHeight="1" thickBot="1" x14ac:dyDescent="0.45">
      <c r="A1761" s="15">
        <v>2026</v>
      </c>
      <c r="B1761" s="15">
        <f t="shared" si="219"/>
        <v>18</v>
      </c>
      <c r="C1761" s="16" t="s">
        <v>20</v>
      </c>
      <c r="D1761" s="17" t="s">
        <v>12</v>
      </c>
      <c r="E1761" s="18" t="str">
        <f t="shared" si="218"/>
        <v>C/W</v>
      </c>
      <c r="F1761" s="23"/>
      <c r="H1761" s="5" t="e">
        <f ca="1">_xlfn.FORMULATEXT(표1[[#This Row],[Q''ty]])</f>
        <v>#N/A</v>
      </c>
    </row>
    <row r="1762" spans="1:8" ht="15" hidden="1" customHeight="1" thickTop="1" x14ac:dyDescent="0.4">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8" ht="15" hidden="1" customHeight="1" x14ac:dyDescent="0.4">
      <c r="A1763" s="6">
        <v>2026</v>
      </c>
      <c r="B1763" s="6">
        <f t="shared" si="219"/>
        <v>18</v>
      </c>
      <c r="C1763" s="13" t="s">
        <v>21</v>
      </c>
      <c r="D1763" s="2" t="s">
        <v>6</v>
      </c>
      <c r="E1763" s="14" t="str">
        <f t="shared" si="218"/>
        <v>Paint Booth</v>
      </c>
      <c r="F1763" s="22">
        <f t="shared" si="221"/>
        <v>4</v>
      </c>
      <c r="H1763" s="5" t="str">
        <f ca="1">_xlfn.FORMULATEXT(표1[[#This Row],[Q''ty]])</f>
        <v>=F1664</v>
      </c>
    </row>
    <row r="1764" spans="1:8" ht="15" hidden="1" customHeight="1" x14ac:dyDescent="0.4">
      <c r="A1764" s="6">
        <v>2026</v>
      </c>
      <c r="B1764" s="6">
        <f t="shared" si="219"/>
        <v>18</v>
      </c>
      <c r="C1764" s="13" t="s">
        <v>21</v>
      </c>
      <c r="D1764" s="2" t="s">
        <v>6</v>
      </c>
      <c r="E1764" s="14" t="str">
        <f t="shared" si="218"/>
        <v>Paint Line</v>
      </c>
      <c r="F1764" s="22">
        <f t="shared" si="221"/>
        <v>4</v>
      </c>
      <c r="H1764" s="5" t="str">
        <f ca="1">_xlfn.FORMULATEXT(표1[[#This Row],[Q''ty]])</f>
        <v>=F1665</v>
      </c>
    </row>
    <row r="1765" spans="1:8" ht="15" hidden="1" customHeight="1" x14ac:dyDescent="0.4">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8" ht="15" hidden="1" customHeight="1" x14ac:dyDescent="0.4">
      <c r="A1766" s="6">
        <v>2026</v>
      </c>
      <c r="B1766" s="6">
        <f t="shared" si="219"/>
        <v>18</v>
      </c>
      <c r="C1766" s="13" t="s">
        <v>21</v>
      </c>
      <c r="D1766" s="2" t="s">
        <v>6</v>
      </c>
      <c r="E1766" s="14" t="str">
        <f t="shared" si="218"/>
        <v>L/W Machine</v>
      </c>
      <c r="F1766" s="22">
        <f t="shared" si="221"/>
        <v>4</v>
      </c>
      <c r="H1766" s="5" t="str">
        <f ca="1">_xlfn.FORMULATEXT(표1[[#This Row],[Q''ty]])</f>
        <v>=F1667</v>
      </c>
    </row>
    <row r="1767" spans="1:8" ht="15" hidden="1" customHeight="1" x14ac:dyDescent="0.4">
      <c r="A1767" s="6">
        <v>2026</v>
      </c>
      <c r="B1767" s="6">
        <f t="shared" si="219"/>
        <v>18</v>
      </c>
      <c r="C1767" s="13" t="s">
        <v>21</v>
      </c>
      <c r="D1767" s="2" t="s">
        <v>6</v>
      </c>
      <c r="E1767" s="14" t="str">
        <f t="shared" si="218"/>
        <v>C/W Machine</v>
      </c>
      <c r="F1767" s="22">
        <f t="shared" si="221"/>
        <v>6.5</v>
      </c>
      <c r="H1767" s="5" t="str">
        <f ca="1">_xlfn.FORMULATEXT(표1[[#This Row],[Q''ty]])</f>
        <v>=F1668</v>
      </c>
    </row>
    <row r="1768" spans="1:8" ht="15" hidden="1" customHeight="1" x14ac:dyDescent="0.4">
      <c r="A1768" s="6">
        <v>2026</v>
      </c>
      <c r="B1768" s="6">
        <f t="shared" si="219"/>
        <v>18</v>
      </c>
      <c r="C1768" s="13" t="s">
        <v>21</v>
      </c>
      <c r="D1768" s="2" t="s">
        <v>12</v>
      </c>
      <c r="E1768" s="14" t="str">
        <f t="shared" si="218"/>
        <v>BT GT</v>
      </c>
      <c r="F1768" s="22"/>
      <c r="H1768" s="5" t="e">
        <f ca="1">_xlfn.FORMULATEXT(표1[[#This Row],[Q''ty]])</f>
        <v>#N/A</v>
      </c>
    </row>
    <row r="1769" spans="1:8" ht="15" hidden="1" customHeight="1" x14ac:dyDescent="0.4">
      <c r="A1769" s="6">
        <v>2026</v>
      </c>
      <c r="B1769" s="6">
        <f t="shared" si="219"/>
        <v>18</v>
      </c>
      <c r="C1769" s="13" t="s">
        <v>21</v>
      </c>
      <c r="D1769" s="2" t="s">
        <v>12</v>
      </c>
      <c r="E1769" s="14" t="str">
        <f t="shared" si="218"/>
        <v>WT GT</v>
      </c>
      <c r="F1769" s="22"/>
      <c r="H1769" s="5" t="e">
        <f ca="1">_xlfn.FORMULATEXT(표1[[#This Row],[Q''ty]])</f>
        <v>#N/A</v>
      </c>
    </row>
    <row r="1770" spans="1:8" ht="15" hidden="1" customHeight="1" x14ac:dyDescent="0.4">
      <c r="A1770" s="6">
        <v>2026</v>
      </c>
      <c r="B1770" s="6">
        <f t="shared" si="219"/>
        <v>18</v>
      </c>
      <c r="C1770" s="13" t="s">
        <v>21</v>
      </c>
      <c r="D1770" s="2" t="s">
        <v>12</v>
      </c>
      <c r="E1770" s="14" t="str">
        <f t="shared" si="218"/>
        <v>Bending</v>
      </c>
      <c r="F1770" s="22"/>
      <c r="H1770" s="5" t="e">
        <f ca="1">_xlfn.FORMULATEXT(표1[[#This Row],[Q''ty]])</f>
        <v>#N/A</v>
      </c>
    </row>
    <row r="1771" spans="1:8" ht="15" hidden="1" customHeight="1" x14ac:dyDescent="0.4">
      <c r="A1771" s="6">
        <v>2026</v>
      </c>
      <c r="B1771" s="6">
        <f t="shared" si="219"/>
        <v>18</v>
      </c>
      <c r="C1771" s="13" t="s">
        <v>21</v>
      </c>
      <c r="D1771" s="2" t="s">
        <v>12</v>
      </c>
      <c r="E1771" s="14" t="str">
        <f t="shared" si="218"/>
        <v>L/W</v>
      </c>
      <c r="F1771" s="22"/>
      <c r="H1771" s="5" t="e">
        <f ca="1">_xlfn.FORMULATEXT(표1[[#This Row],[Q''ty]])</f>
        <v>#N/A</v>
      </c>
    </row>
    <row r="1772" spans="1:8" ht="15" hidden="1" customHeight="1" thickBot="1" x14ac:dyDescent="0.45">
      <c r="A1772" s="15">
        <v>2026</v>
      </c>
      <c r="B1772" s="15">
        <f t="shared" si="219"/>
        <v>18</v>
      </c>
      <c r="C1772" s="16" t="s">
        <v>21</v>
      </c>
      <c r="D1772" s="17" t="s">
        <v>12</v>
      </c>
      <c r="E1772" s="18" t="str">
        <f t="shared" si="218"/>
        <v>C/W</v>
      </c>
      <c r="F1772" s="23"/>
      <c r="H1772" s="5" t="e">
        <f ca="1">_xlfn.FORMULATEXT(표1[[#This Row],[Q''ty]])</f>
        <v>#N/A</v>
      </c>
    </row>
    <row r="1773" spans="1:8" ht="15" hidden="1" customHeight="1" thickTop="1" x14ac:dyDescent="0.4">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8" ht="15" hidden="1" customHeight="1" x14ac:dyDescent="0.4">
      <c r="A1774" s="6">
        <v>2026</v>
      </c>
      <c r="B1774" s="6">
        <f t="shared" si="219"/>
        <v>18</v>
      </c>
      <c r="C1774" s="13" t="s">
        <v>22</v>
      </c>
      <c r="D1774" s="2" t="s">
        <v>6</v>
      </c>
      <c r="E1774" s="14" t="str">
        <f t="shared" si="218"/>
        <v>Paint Booth</v>
      </c>
      <c r="F1774" s="22">
        <f t="shared" si="222"/>
        <v>6</v>
      </c>
      <c r="H1774" s="5" t="str">
        <f ca="1">_xlfn.FORMULATEXT(표1[[#This Row],[Q''ty]])</f>
        <v>=F1675</v>
      </c>
    </row>
    <row r="1775" spans="1:8" ht="15" hidden="1" customHeight="1" x14ac:dyDescent="0.4">
      <c r="A1775" s="6">
        <v>2026</v>
      </c>
      <c r="B1775" s="6">
        <f t="shared" si="219"/>
        <v>18</v>
      </c>
      <c r="C1775" s="13" t="s">
        <v>22</v>
      </c>
      <c r="D1775" s="2" t="s">
        <v>6</v>
      </c>
      <c r="E1775" s="14" t="str">
        <f t="shared" si="218"/>
        <v>Paint Line</v>
      </c>
      <c r="F1775" s="22">
        <f t="shared" si="222"/>
        <v>4</v>
      </c>
      <c r="H1775" s="5" t="str">
        <f ca="1">_xlfn.FORMULATEXT(표1[[#This Row],[Q''ty]])</f>
        <v>=F1676</v>
      </c>
    </row>
    <row r="1776" spans="1:8" ht="15" hidden="1" customHeight="1" x14ac:dyDescent="0.4">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10" ht="15" hidden="1" customHeight="1" x14ac:dyDescent="0.4">
      <c r="A1777" s="6">
        <v>2026</v>
      </c>
      <c r="B1777" s="6">
        <f t="shared" si="219"/>
        <v>18</v>
      </c>
      <c r="C1777" s="13" t="s">
        <v>22</v>
      </c>
      <c r="D1777" s="2" t="s">
        <v>6</v>
      </c>
      <c r="E1777" s="14" t="str">
        <f t="shared" si="218"/>
        <v>L/W Machine</v>
      </c>
      <c r="F1777" s="22">
        <f t="shared" si="222"/>
        <v>7</v>
      </c>
      <c r="H1777" s="5" t="str">
        <f ca="1">_xlfn.FORMULATEXT(표1[[#This Row],[Q''ty]])</f>
        <v>=F1678</v>
      </c>
    </row>
    <row r="1778" spans="1:10" ht="15" hidden="1" customHeight="1" x14ac:dyDescent="0.4">
      <c r="A1778" s="6">
        <v>2026</v>
      </c>
      <c r="B1778" s="6">
        <f t="shared" si="219"/>
        <v>18</v>
      </c>
      <c r="C1778" s="13" t="s">
        <v>22</v>
      </c>
      <c r="D1778" s="2" t="s">
        <v>6</v>
      </c>
      <c r="E1778" s="14" t="str">
        <f t="shared" si="218"/>
        <v>C/W Machine</v>
      </c>
      <c r="F1778" s="22">
        <f t="shared" si="222"/>
        <v>12.5</v>
      </c>
      <c r="H1778" s="5" t="str">
        <f ca="1">_xlfn.FORMULATEXT(표1[[#This Row],[Q''ty]])</f>
        <v>=F1679</v>
      </c>
    </row>
    <row r="1779" spans="1:10" ht="15" hidden="1" customHeight="1" x14ac:dyDescent="0.4">
      <c r="A1779" s="6">
        <v>2026</v>
      </c>
      <c r="B1779" s="6">
        <f t="shared" si="219"/>
        <v>18</v>
      </c>
      <c r="C1779" s="13" t="s">
        <v>22</v>
      </c>
      <c r="D1779" s="2" t="s">
        <v>12</v>
      </c>
      <c r="E1779" s="14" t="str">
        <f t="shared" si="218"/>
        <v>BT GT</v>
      </c>
      <c r="F1779" s="22"/>
      <c r="H1779" s="5" t="e">
        <f ca="1">_xlfn.FORMULATEXT(표1[[#This Row],[Q''ty]])</f>
        <v>#N/A</v>
      </c>
    </row>
    <row r="1780" spans="1:10" ht="15" hidden="1" customHeight="1" x14ac:dyDescent="0.4">
      <c r="A1780" s="6">
        <v>2026</v>
      </c>
      <c r="B1780" s="6">
        <f t="shared" si="219"/>
        <v>18</v>
      </c>
      <c r="C1780" s="13" t="s">
        <v>22</v>
      </c>
      <c r="D1780" s="2" t="s">
        <v>12</v>
      </c>
      <c r="E1780" s="14" t="str">
        <f t="shared" si="218"/>
        <v>WT GT</v>
      </c>
      <c r="F1780" s="22"/>
      <c r="H1780" s="5" t="e">
        <f ca="1">_xlfn.FORMULATEXT(표1[[#This Row],[Q''ty]])</f>
        <v>#N/A</v>
      </c>
    </row>
    <row r="1781" spans="1:10" ht="15" hidden="1" customHeight="1" x14ac:dyDescent="0.4">
      <c r="A1781" s="6">
        <v>2026</v>
      </c>
      <c r="B1781" s="6">
        <f t="shared" si="219"/>
        <v>18</v>
      </c>
      <c r="C1781" s="13" t="s">
        <v>22</v>
      </c>
      <c r="D1781" s="2" t="s">
        <v>12</v>
      </c>
      <c r="E1781" s="14" t="str">
        <f t="shared" si="218"/>
        <v>Bending</v>
      </c>
      <c r="F1781" s="22"/>
      <c r="H1781" s="5" t="e">
        <f ca="1">_xlfn.FORMULATEXT(표1[[#This Row],[Q''ty]])</f>
        <v>#N/A</v>
      </c>
    </row>
    <row r="1782" spans="1:10" ht="15" hidden="1" customHeight="1" x14ac:dyDescent="0.4">
      <c r="A1782" s="6">
        <v>2026</v>
      </c>
      <c r="B1782" s="6">
        <f t="shared" si="219"/>
        <v>18</v>
      </c>
      <c r="C1782" s="13" t="s">
        <v>22</v>
      </c>
      <c r="D1782" s="2" t="s">
        <v>12</v>
      </c>
      <c r="E1782" s="14" t="str">
        <f t="shared" si="218"/>
        <v>L/W</v>
      </c>
      <c r="F1782" s="22"/>
      <c r="H1782" s="5" t="e">
        <f ca="1">_xlfn.FORMULATEXT(표1[[#This Row],[Q''ty]])</f>
        <v>#N/A</v>
      </c>
    </row>
    <row r="1783" spans="1:10" ht="15" hidden="1" customHeight="1" thickBot="1" x14ac:dyDescent="0.45">
      <c r="A1783" s="6">
        <v>2026</v>
      </c>
      <c r="B1783" s="6">
        <f t="shared" si="219"/>
        <v>18</v>
      </c>
      <c r="C1783" s="13" t="s">
        <v>22</v>
      </c>
      <c r="D1783" s="2" t="s">
        <v>12</v>
      </c>
      <c r="E1783" s="14" t="str">
        <f t="shared" si="218"/>
        <v>C/W</v>
      </c>
      <c r="F1783" s="22"/>
      <c r="H1783" s="5" t="e">
        <f ca="1">_xlfn.FORMULATEXT(표1[[#This Row],[Q''ty]])</f>
        <v>#N/A</v>
      </c>
    </row>
    <row r="1784" spans="1:10" ht="15" hidden="1" customHeight="1" thickTop="1" x14ac:dyDescent="0.4">
      <c r="A1784" s="9">
        <v>2026</v>
      </c>
      <c r="B1784" s="9">
        <f>B1685+1</f>
        <v>19</v>
      </c>
      <c r="C1784" s="10" t="s">
        <v>28</v>
      </c>
      <c r="D1784" s="11" t="s">
        <v>6</v>
      </c>
      <c r="E1784" s="12" t="s">
        <v>7</v>
      </c>
      <c r="F1784" s="21">
        <f t="shared" ref="F1784:F1789" si="223">F1685</f>
        <v>15</v>
      </c>
      <c r="H1784" s="5" t="str">
        <f ca="1">_xlfn.FORMULATEXT(표1[[#This Row],[Q''ty]])</f>
        <v>=F1685</v>
      </c>
    </row>
    <row r="1785" spans="1:10" s="2" customFormat="1" ht="15" hidden="1" customHeight="1" x14ac:dyDescent="0.4">
      <c r="A1785" s="6">
        <v>2026</v>
      </c>
      <c r="B1785" s="6">
        <f t="shared" ref="B1785:B1848" si="224">B1686+1</f>
        <v>19</v>
      </c>
      <c r="C1785" s="13" t="s">
        <v>23</v>
      </c>
      <c r="D1785" s="2" t="s">
        <v>6</v>
      </c>
      <c r="E1785" s="14" t="s">
        <v>8</v>
      </c>
      <c r="F1785" s="22">
        <f t="shared" si="223"/>
        <v>10</v>
      </c>
      <c r="H1785" s="5" t="str">
        <f ca="1">_xlfn.FORMULATEXT(표1[[#This Row],[Q''ty]])</f>
        <v>=F1686</v>
      </c>
      <c r="I1785" s="26"/>
      <c r="J1785" s="26"/>
    </row>
    <row r="1786" spans="1:10" s="2" customFormat="1" ht="15" hidden="1" customHeight="1" x14ac:dyDescent="0.4">
      <c r="A1786" s="6">
        <v>2026</v>
      </c>
      <c r="B1786" s="6">
        <f t="shared" si="224"/>
        <v>19</v>
      </c>
      <c r="C1786" s="13" t="s">
        <v>23</v>
      </c>
      <c r="D1786" s="2" t="s">
        <v>6</v>
      </c>
      <c r="E1786" s="14" t="s">
        <v>9</v>
      </c>
      <c r="F1786" s="22">
        <f t="shared" si="223"/>
        <v>5</v>
      </c>
      <c r="H1786" s="5" t="str">
        <f ca="1">_xlfn.FORMULATEXT(표1[[#This Row],[Q''ty]])</f>
        <v>=F1687</v>
      </c>
      <c r="I1786" s="26"/>
      <c r="J1786" s="26"/>
    </row>
    <row r="1787" spans="1:10" ht="15" hidden="1" customHeight="1" x14ac:dyDescent="0.4">
      <c r="A1787" s="6">
        <v>2026</v>
      </c>
      <c r="B1787" s="6">
        <f t="shared" si="224"/>
        <v>19</v>
      </c>
      <c r="C1787" s="13" t="s">
        <v>23</v>
      </c>
      <c r="D1787" s="2" t="s">
        <v>6</v>
      </c>
      <c r="E1787" s="14" t="s">
        <v>27</v>
      </c>
      <c r="F1787" s="22">
        <f t="shared" si="223"/>
        <v>6</v>
      </c>
      <c r="H1787" s="5" t="str">
        <f ca="1">_xlfn.FORMULATEXT(표1[[#This Row],[Q''ty]])</f>
        <v>=F1688</v>
      </c>
    </row>
    <row r="1788" spans="1:10" ht="15" hidden="1" customHeight="1" x14ac:dyDescent="0.4">
      <c r="A1788" s="6">
        <v>2026</v>
      </c>
      <c r="B1788" s="6">
        <f t="shared" si="224"/>
        <v>19</v>
      </c>
      <c r="C1788" s="13" t="s">
        <v>23</v>
      </c>
      <c r="D1788" s="2" t="s">
        <v>6</v>
      </c>
      <c r="E1788" s="14" t="s">
        <v>10</v>
      </c>
      <c r="F1788" s="22">
        <f t="shared" si="223"/>
        <v>10</v>
      </c>
      <c r="H1788" s="5" t="str">
        <f ca="1">_xlfn.FORMULATEXT(표1[[#This Row],[Q''ty]])</f>
        <v>=F1689</v>
      </c>
    </row>
    <row r="1789" spans="1:10" ht="15" hidden="1" customHeight="1" x14ac:dyDescent="0.4">
      <c r="A1789" s="6">
        <v>2026</v>
      </c>
      <c r="B1789" s="6">
        <f t="shared" si="224"/>
        <v>19</v>
      </c>
      <c r="C1789" s="13" t="s">
        <v>23</v>
      </c>
      <c r="D1789" s="2" t="s">
        <v>6</v>
      </c>
      <c r="E1789" s="14" t="s">
        <v>11</v>
      </c>
      <c r="F1789" s="22">
        <f t="shared" si="223"/>
        <v>10</v>
      </c>
      <c r="H1789" s="5" t="str">
        <f ca="1">_xlfn.FORMULATEXT(표1[[#This Row],[Q''ty]])</f>
        <v>=F1690</v>
      </c>
    </row>
    <row r="1790" spans="1:10" ht="15" hidden="1" customHeight="1" x14ac:dyDescent="0.4">
      <c r="A1790" s="6">
        <v>2026</v>
      </c>
      <c r="B1790" s="6">
        <f t="shared" si="224"/>
        <v>19</v>
      </c>
      <c r="C1790" s="13" t="s">
        <v>23</v>
      </c>
      <c r="D1790" s="2" t="s">
        <v>12</v>
      </c>
      <c r="E1790" s="14" t="s">
        <v>13</v>
      </c>
      <c r="F1790" s="22"/>
      <c r="H1790" s="5" t="e">
        <f ca="1">_xlfn.FORMULATEXT(표1[[#This Row],[Q''ty]])</f>
        <v>#N/A</v>
      </c>
    </row>
    <row r="1791" spans="1:10" s="2" customFormat="1" ht="15" hidden="1" customHeight="1" x14ac:dyDescent="0.4">
      <c r="A1791" s="6">
        <v>2026</v>
      </c>
      <c r="B1791" s="6">
        <f t="shared" si="224"/>
        <v>19</v>
      </c>
      <c r="C1791" s="13" t="s">
        <v>23</v>
      </c>
      <c r="D1791" s="2" t="s">
        <v>12</v>
      </c>
      <c r="E1791" s="14" t="s">
        <v>14</v>
      </c>
      <c r="F1791" s="22"/>
      <c r="H1791" s="5" t="e">
        <f ca="1">_xlfn.FORMULATEXT(표1[[#This Row],[Q''ty]])</f>
        <v>#N/A</v>
      </c>
      <c r="I1791" s="26"/>
      <c r="J1791" s="26"/>
    </row>
    <row r="1792" spans="1:10" ht="15" hidden="1" customHeight="1" x14ac:dyDescent="0.4">
      <c r="A1792" s="6">
        <v>2026</v>
      </c>
      <c r="B1792" s="6">
        <f t="shared" si="224"/>
        <v>19</v>
      </c>
      <c r="C1792" s="13" t="s">
        <v>23</v>
      </c>
      <c r="D1792" s="2" t="s">
        <v>12</v>
      </c>
      <c r="E1792" s="14" t="s">
        <v>15</v>
      </c>
      <c r="F1792" s="22"/>
      <c r="H1792" s="5" t="e">
        <f ca="1">_xlfn.FORMULATEXT(표1[[#This Row],[Q''ty]])</f>
        <v>#N/A</v>
      </c>
    </row>
    <row r="1793" spans="1:10" ht="15" hidden="1" customHeight="1" x14ac:dyDescent="0.4">
      <c r="A1793" s="6">
        <v>2026</v>
      </c>
      <c r="B1793" s="6">
        <f t="shared" si="224"/>
        <v>19</v>
      </c>
      <c r="C1793" s="13" t="s">
        <v>23</v>
      </c>
      <c r="D1793" s="2" t="s">
        <v>12</v>
      </c>
      <c r="E1793" s="14" t="s">
        <v>16</v>
      </c>
      <c r="F1793" s="22"/>
      <c r="H1793" s="5" t="e">
        <f ca="1">_xlfn.FORMULATEXT(표1[[#This Row],[Q''ty]])</f>
        <v>#N/A</v>
      </c>
    </row>
    <row r="1794" spans="1:10" ht="15" hidden="1" customHeight="1" thickBot="1" x14ac:dyDescent="0.45">
      <c r="A1794" s="15">
        <v>2026</v>
      </c>
      <c r="B1794" s="15">
        <f t="shared" si="224"/>
        <v>19</v>
      </c>
      <c r="C1794" s="16" t="s">
        <v>23</v>
      </c>
      <c r="D1794" s="17" t="s">
        <v>12</v>
      </c>
      <c r="E1794" s="18" t="s">
        <v>17</v>
      </c>
      <c r="F1794" s="23"/>
      <c r="H1794" s="5" t="e">
        <f ca="1">_xlfn.FORMULATEXT(표1[[#This Row],[Q''ty]])</f>
        <v>#N/A</v>
      </c>
    </row>
    <row r="1795" spans="1:10" ht="15" hidden="1" customHeight="1" thickTop="1" x14ac:dyDescent="0.4">
      <c r="A1795" s="9">
        <v>2026</v>
      </c>
      <c r="B1795" s="9">
        <f t="shared" si="224"/>
        <v>19</v>
      </c>
      <c r="C1795" s="10" t="s">
        <v>29</v>
      </c>
      <c r="D1795" s="11" t="s">
        <v>6</v>
      </c>
      <c r="E1795" s="12" t="s">
        <v>7</v>
      </c>
      <c r="F1795" s="21">
        <f t="shared" ref="F1795:F1800" si="225">F1696</f>
        <v>14</v>
      </c>
      <c r="H1795" s="5" t="str">
        <f ca="1">_xlfn.FORMULATEXT(표1[[#This Row],[Q''ty]])</f>
        <v>=F1696</v>
      </c>
    </row>
    <row r="1796" spans="1:10" s="2" customFormat="1" ht="15" hidden="1" customHeight="1" x14ac:dyDescent="0.4">
      <c r="A1796" s="6">
        <v>2026</v>
      </c>
      <c r="B1796" s="6">
        <f t="shared" si="224"/>
        <v>19</v>
      </c>
      <c r="C1796" s="13" t="s">
        <v>24</v>
      </c>
      <c r="D1796" s="2" t="s">
        <v>6</v>
      </c>
      <c r="E1796" s="14" t="s">
        <v>8</v>
      </c>
      <c r="F1796" s="22">
        <f t="shared" si="225"/>
        <v>8</v>
      </c>
      <c r="H1796" s="5" t="str">
        <f ca="1">_xlfn.FORMULATEXT(표1[[#This Row],[Q''ty]])</f>
        <v>=F1697</v>
      </c>
      <c r="I1796" s="26"/>
      <c r="J1796" s="26"/>
    </row>
    <row r="1797" spans="1:10" s="2" customFormat="1" ht="15" hidden="1" customHeight="1" x14ac:dyDescent="0.4">
      <c r="A1797" s="6">
        <v>2026</v>
      </c>
      <c r="B1797" s="6">
        <f t="shared" si="224"/>
        <v>19</v>
      </c>
      <c r="C1797" s="13" t="s">
        <v>24</v>
      </c>
      <c r="D1797" s="2" t="s">
        <v>6</v>
      </c>
      <c r="E1797" s="14" t="s">
        <v>9</v>
      </c>
      <c r="F1797" s="22">
        <f t="shared" si="225"/>
        <v>4</v>
      </c>
      <c r="H1797" s="5" t="str">
        <f ca="1">_xlfn.FORMULATEXT(표1[[#This Row],[Q''ty]])</f>
        <v>=F1698</v>
      </c>
      <c r="I1797" s="26"/>
      <c r="J1797" s="26"/>
    </row>
    <row r="1798" spans="1:10" ht="15" hidden="1" customHeight="1" x14ac:dyDescent="0.4">
      <c r="A1798" s="6">
        <v>2026</v>
      </c>
      <c r="B1798" s="6">
        <f t="shared" si="224"/>
        <v>19</v>
      </c>
      <c r="C1798" s="13" t="s">
        <v>24</v>
      </c>
      <c r="D1798" s="2" t="s">
        <v>6</v>
      </c>
      <c r="E1798" s="14" t="s">
        <v>27</v>
      </c>
      <c r="F1798" s="22">
        <f t="shared" si="225"/>
        <v>3</v>
      </c>
      <c r="H1798" s="5" t="str">
        <f ca="1">_xlfn.FORMULATEXT(표1[[#This Row],[Q''ty]])</f>
        <v>=F1699</v>
      </c>
    </row>
    <row r="1799" spans="1:10" ht="15" hidden="1" customHeight="1" x14ac:dyDescent="0.4">
      <c r="A1799" s="6">
        <v>2026</v>
      </c>
      <c r="B1799" s="6">
        <f t="shared" si="224"/>
        <v>19</v>
      </c>
      <c r="C1799" s="13" t="s">
        <v>24</v>
      </c>
      <c r="D1799" s="2" t="s">
        <v>6</v>
      </c>
      <c r="E1799" s="14" t="s">
        <v>10</v>
      </c>
      <c r="F1799" s="22">
        <f t="shared" si="225"/>
        <v>6</v>
      </c>
      <c r="H1799" s="5" t="str">
        <f ca="1">_xlfn.FORMULATEXT(표1[[#This Row],[Q''ty]])</f>
        <v>=F1700</v>
      </c>
    </row>
    <row r="1800" spans="1:10" ht="15" hidden="1" customHeight="1" x14ac:dyDescent="0.4">
      <c r="A1800" s="6">
        <v>2026</v>
      </c>
      <c r="B1800" s="6">
        <f t="shared" si="224"/>
        <v>19</v>
      </c>
      <c r="C1800" s="13" t="s">
        <v>24</v>
      </c>
      <c r="D1800" s="2" t="s">
        <v>6</v>
      </c>
      <c r="E1800" s="14" t="s">
        <v>11</v>
      </c>
      <c r="F1800" s="22">
        <f t="shared" si="225"/>
        <v>8.8000000000000007</v>
      </c>
      <c r="H1800" s="5" t="str">
        <f ca="1">_xlfn.FORMULATEXT(표1[[#This Row],[Q''ty]])</f>
        <v>=F1701</v>
      </c>
    </row>
    <row r="1801" spans="1:10" ht="15" hidden="1" customHeight="1" x14ac:dyDescent="0.4">
      <c r="A1801" s="6">
        <v>2026</v>
      </c>
      <c r="B1801" s="6">
        <f t="shared" si="224"/>
        <v>19</v>
      </c>
      <c r="C1801" s="13" t="s">
        <v>24</v>
      </c>
      <c r="D1801" s="2" t="s">
        <v>12</v>
      </c>
      <c r="E1801" s="14" t="s">
        <v>13</v>
      </c>
      <c r="F1801" s="22"/>
      <c r="H1801" s="5" t="e">
        <f ca="1">_xlfn.FORMULATEXT(표1[[#This Row],[Q''ty]])</f>
        <v>#N/A</v>
      </c>
    </row>
    <row r="1802" spans="1:10" s="2" customFormat="1" ht="15" hidden="1" customHeight="1" x14ac:dyDescent="0.4">
      <c r="A1802" s="6">
        <v>2026</v>
      </c>
      <c r="B1802" s="6">
        <f t="shared" si="224"/>
        <v>19</v>
      </c>
      <c r="C1802" s="13" t="s">
        <v>24</v>
      </c>
      <c r="D1802" s="2" t="s">
        <v>12</v>
      </c>
      <c r="E1802" s="14" t="s">
        <v>14</v>
      </c>
      <c r="F1802" s="22"/>
      <c r="H1802" s="5" t="e">
        <f ca="1">_xlfn.FORMULATEXT(표1[[#This Row],[Q''ty]])</f>
        <v>#N/A</v>
      </c>
      <c r="I1802" s="26"/>
      <c r="J1802" s="26"/>
    </row>
    <row r="1803" spans="1:10" ht="15" hidden="1" customHeight="1" x14ac:dyDescent="0.4">
      <c r="A1803" s="6">
        <v>2026</v>
      </c>
      <c r="B1803" s="6">
        <f t="shared" si="224"/>
        <v>19</v>
      </c>
      <c r="C1803" s="13" t="s">
        <v>24</v>
      </c>
      <c r="D1803" s="2" t="s">
        <v>12</v>
      </c>
      <c r="E1803" s="14" t="s">
        <v>15</v>
      </c>
      <c r="F1803" s="22"/>
      <c r="H1803" s="5" t="e">
        <f ca="1">_xlfn.FORMULATEXT(표1[[#This Row],[Q''ty]])</f>
        <v>#N/A</v>
      </c>
    </row>
    <row r="1804" spans="1:10" ht="15" hidden="1" customHeight="1" x14ac:dyDescent="0.4">
      <c r="A1804" s="6">
        <v>2026</v>
      </c>
      <c r="B1804" s="6">
        <f t="shared" si="224"/>
        <v>19</v>
      </c>
      <c r="C1804" s="13" t="s">
        <v>24</v>
      </c>
      <c r="D1804" s="2" t="s">
        <v>12</v>
      </c>
      <c r="E1804" s="14" t="s">
        <v>16</v>
      </c>
      <c r="F1804" s="22"/>
      <c r="H1804" s="5" t="e">
        <f ca="1">_xlfn.FORMULATEXT(표1[[#This Row],[Q''ty]])</f>
        <v>#N/A</v>
      </c>
    </row>
    <row r="1805" spans="1:10" ht="15" hidden="1" customHeight="1" thickBot="1" x14ac:dyDescent="0.45">
      <c r="A1805" s="15">
        <v>2026</v>
      </c>
      <c r="B1805" s="15">
        <f t="shared" si="224"/>
        <v>19</v>
      </c>
      <c r="C1805" s="16" t="s">
        <v>24</v>
      </c>
      <c r="D1805" s="17" t="s">
        <v>12</v>
      </c>
      <c r="E1805" s="18" t="s">
        <v>17</v>
      </c>
      <c r="F1805" s="23"/>
      <c r="H1805" s="5" t="e">
        <f ca="1">_xlfn.FORMULATEXT(표1[[#This Row],[Q''ty]])</f>
        <v>#N/A</v>
      </c>
    </row>
    <row r="1806" spans="1:10" ht="15" hidden="1" customHeight="1" thickTop="1" x14ac:dyDescent="0.4">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10" ht="15" hidden="1" customHeight="1" x14ac:dyDescent="0.4">
      <c r="A1807" s="6">
        <v>2026</v>
      </c>
      <c r="B1807" s="6">
        <f t="shared" si="224"/>
        <v>19</v>
      </c>
      <c r="C1807" s="13" t="s">
        <v>18</v>
      </c>
      <c r="D1807" s="2" t="s">
        <v>6</v>
      </c>
      <c r="E1807" s="14" t="str">
        <f t="shared" si="226"/>
        <v>Paint Booth</v>
      </c>
      <c r="F1807" s="22">
        <f t="shared" si="226"/>
        <v>3</v>
      </c>
      <c r="H1807" s="5" t="str">
        <f ca="1">_xlfn.FORMULATEXT(표1[[#This Row],[Q''ty]])</f>
        <v>=F1708</v>
      </c>
    </row>
    <row r="1808" spans="1:10" ht="15" hidden="1" customHeight="1" x14ac:dyDescent="0.4">
      <c r="A1808" s="6">
        <v>2026</v>
      </c>
      <c r="B1808" s="6">
        <f t="shared" si="224"/>
        <v>19</v>
      </c>
      <c r="C1808" s="13" t="s">
        <v>18</v>
      </c>
      <c r="D1808" s="2" t="s">
        <v>6</v>
      </c>
      <c r="E1808" s="14" t="str">
        <f t="shared" si="226"/>
        <v>Paint Line</v>
      </c>
      <c r="F1808" s="22">
        <f t="shared" si="226"/>
        <v>2</v>
      </c>
      <c r="H1808" s="5" t="str">
        <f ca="1">_xlfn.FORMULATEXT(표1[[#This Row],[Q''ty]])</f>
        <v>=F1709</v>
      </c>
    </row>
    <row r="1809" spans="1:8" ht="15" hidden="1" customHeight="1" x14ac:dyDescent="0.4">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hidden="1" customHeight="1" x14ac:dyDescent="0.4">
      <c r="A1810" s="6">
        <v>2026</v>
      </c>
      <c r="B1810" s="6">
        <f t="shared" si="224"/>
        <v>19</v>
      </c>
      <c r="C1810" s="13" t="s">
        <v>18</v>
      </c>
      <c r="D1810" s="2" t="s">
        <v>6</v>
      </c>
      <c r="E1810" s="14" t="str">
        <f t="shared" si="226"/>
        <v>L/W Machine</v>
      </c>
      <c r="F1810" s="22">
        <f t="shared" si="226"/>
        <v>2</v>
      </c>
      <c r="H1810" s="5" t="str">
        <f ca="1">_xlfn.FORMULATEXT(표1[[#This Row],[Q''ty]])</f>
        <v>=F1711</v>
      </c>
    </row>
    <row r="1811" spans="1:8" ht="15" hidden="1" customHeight="1" x14ac:dyDescent="0.4">
      <c r="A1811" s="6">
        <v>2026</v>
      </c>
      <c r="B1811" s="6">
        <f t="shared" si="224"/>
        <v>19</v>
      </c>
      <c r="C1811" s="13" t="s">
        <v>18</v>
      </c>
      <c r="D1811" s="2" t="s">
        <v>6</v>
      </c>
      <c r="E1811" s="14" t="str">
        <f t="shared" si="226"/>
        <v>C/W Machine</v>
      </c>
      <c r="F1811" s="22">
        <f t="shared" si="226"/>
        <v>3</v>
      </c>
      <c r="H1811" s="5" t="str">
        <f ca="1">_xlfn.FORMULATEXT(표1[[#This Row],[Q''ty]])</f>
        <v>=F1712</v>
      </c>
    </row>
    <row r="1812" spans="1:8" ht="15" hidden="1" customHeight="1" x14ac:dyDescent="0.4">
      <c r="A1812" s="6">
        <v>2026</v>
      </c>
      <c r="B1812" s="6">
        <f t="shared" si="224"/>
        <v>19</v>
      </c>
      <c r="C1812" s="13" t="s">
        <v>18</v>
      </c>
      <c r="D1812" s="2" t="s">
        <v>12</v>
      </c>
      <c r="E1812" s="14" t="str">
        <f t="shared" ref="E1812:E1827" si="227">E1713</f>
        <v>BT GT</v>
      </c>
      <c r="F1812" s="22"/>
      <c r="H1812" s="5" t="e">
        <f ca="1">_xlfn.FORMULATEXT(표1[[#This Row],[Q''ty]])</f>
        <v>#N/A</v>
      </c>
    </row>
    <row r="1813" spans="1:8" ht="15" hidden="1" customHeight="1" x14ac:dyDescent="0.4">
      <c r="A1813" s="6">
        <v>2026</v>
      </c>
      <c r="B1813" s="6">
        <f t="shared" si="224"/>
        <v>19</v>
      </c>
      <c r="C1813" s="13" t="s">
        <v>18</v>
      </c>
      <c r="D1813" s="2" t="s">
        <v>12</v>
      </c>
      <c r="E1813" s="14" t="str">
        <f t="shared" si="227"/>
        <v>WT GT</v>
      </c>
      <c r="F1813" s="22"/>
      <c r="H1813" s="5" t="e">
        <f ca="1">_xlfn.FORMULATEXT(표1[[#This Row],[Q''ty]])</f>
        <v>#N/A</v>
      </c>
    </row>
    <row r="1814" spans="1:8" ht="15" hidden="1" customHeight="1" x14ac:dyDescent="0.4">
      <c r="A1814" s="6">
        <v>2026</v>
      </c>
      <c r="B1814" s="6">
        <f t="shared" si="224"/>
        <v>19</v>
      </c>
      <c r="C1814" s="13" t="s">
        <v>18</v>
      </c>
      <c r="D1814" s="2" t="s">
        <v>12</v>
      </c>
      <c r="E1814" s="14" t="str">
        <f t="shared" si="227"/>
        <v>Bending</v>
      </c>
      <c r="F1814" s="22"/>
      <c r="H1814" s="5" t="e">
        <f ca="1">_xlfn.FORMULATEXT(표1[[#This Row],[Q''ty]])</f>
        <v>#N/A</v>
      </c>
    </row>
    <row r="1815" spans="1:8" ht="15" hidden="1" customHeight="1" x14ac:dyDescent="0.4">
      <c r="A1815" s="6">
        <v>2026</v>
      </c>
      <c r="B1815" s="6">
        <f t="shared" si="224"/>
        <v>19</v>
      </c>
      <c r="C1815" s="13" t="s">
        <v>18</v>
      </c>
      <c r="D1815" s="2" t="s">
        <v>12</v>
      </c>
      <c r="E1815" s="14" t="str">
        <f t="shared" si="227"/>
        <v>L/W</v>
      </c>
      <c r="F1815" s="22"/>
      <c r="H1815" s="5" t="e">
        <f ca="1">_xlfn.FORMULATEXT(표1[[#This Row],[Q''ty]])</f>
        <v>#N/A</v>
      </c>
    </row>
    <row r="1816" spans="1:8" ht="15" hidden="1" customHeight="1" thickBot="1" x14ac:dyDescent="0.45">
      <c r="A1816" s="15">
        <v>2026</v>
      </c>
      <c r="B1816" s="15">
        <f t="shared" si="224"/>
        <v>19</v>
      </c>
      <c r="C1816" s="16" t="s">
        <v>18</v>
      </c>
      <c r="D1816" s="17" t="s">
        <v>12</v>
      </c>
      <c r="E1816" s="18" t="str">
        <f t="shared" si="227"/>
        <v>C/W</v>
      </c>
      <c r="F1816" s="23"/>
      <c r="H1816" s="5" t="e">
        <f ca="1">_xlfn.FORMULATEXT(표1[[#This Row],[Q''ty]])</f>
        <v>#N/A</v>
      </c>
    </row>
    <row r="1817" spans="1:8" ht="15" hidden="1" customHeight="1" thickTop="1" x14ac:dyDescent="0.4">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hidden="1" customHeight="1" x14ac:dyDescent="0.4">
      <c r="A1818" s="6">
        <v>2026</v>
      </c>
      <c r="B1818" s="6">
        <f t="shared" si="224"/>
        <v>19</v>
      </c>
      <c r="C1818" s="13" t="s">
        <v>19</v>
      </c>
      <c r="D1818" s="2" t="s">
        <v>6</v>
      </c>
      <c r="E1818" s="14" t="str">
        <f t="shared" si="227"/>
        <v>Paint Booth</v>
      </c>
      <c r="F1818" s="22">
        <f t="shared" si="228"/>
        <v>22</v>
      </c>
      <c r="H1818" s="5" t="str">
        <f ca="1">_xlfn.FORMULATEXT(표1[[#This Row],[Q''ty]])</f>
        <v>=F1719</v>
      </c>
    </row>
    <row r="1819" spans="1:8" ht="15" hidden="1" customHeight="1" x14ac:dyDescent="0.4">
      <c r="A1819" s="6">
        <v>2026</v>
      </c>
      <c r="B1819" s="6">
        <f t="shared" si="224"/>
        <v>19</v>
      </c>
      <c r="C1819" s="13" t="s">
        <v>19</v>
      </c>
      <c r="D1819" s="2" t="s">
        <v>6</v>
      </c>
      <c r="E1819" s="14" t="str">
        <f t="shared" si="227"/>
        <v>Paint Line</v>
      </c>
      <c r="F1819" s="22">
        <f t="shared" si="228"/>
        <v>6</v>
      </c>
      <c r="H1819" s="5" t="str">
        <f ca="1">_xlfn.FORMULATEXT(표1[[#This Row],[Q''ty]])</f>
        <v>=F1720</v>
      </c>
    </row>
    <row r="1820" spans="1:8" ht="15" hidden="1" customHeight="1" x14ac:dyDescent="0.4">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hidden="1" customHeight="1" x14ac:dyDescent="0.4">
      <c r="A1821" s="6">
        <v>2026</v>
      </c>
      <c r="B1821" s="6">
        <f t="shared" si="224"/>
        <v>19</v>
      </c>
      <c r="C1821" s="13" t="s">
        <v>19</v>
      </c>
      <c r="D1821" s="2" t="s">
        <v>6</v>
      </c>
      <c r="E1821" s="14" t="str">
        <f t="shared" si="227"/>
        <v>L/W Machine</v>
      </c>
      <c r="F1821" s="22">
        <f t="shared" si="228"/>
        <v>10</v>
      </c>
      <c r="H1821" s="5" t="str">
        <f ca="1">_xlfn.FORMULATEXT(표1[[#This Row],[Q''ty]])</f>
        <v>=F1722</v>
      </c>
    </row>
    <row r="1822" spans="1:8" ht="15" hidden="1" customHeight="1" x14ac:dyDescent="0.4">
      <c r="A1822" s="6">
        <v>2026</v>
      </c>
      <c r="B1822" s="6">
        <f t="shared" si="224"/>
        <v>19</v>
      </c>
      <c r="C1822" s="13" t="s">
        <v>19</v>
      </c>
      <c r="D1822" s="2" t="s">
        <v>6</v>
      </c>
      <c r="E1822" s="14" t="str">
        <f t="shared" si="227"/>
        <v>C/W Machine</v>
      </c>
      <c r="F1822" s="22">
        <f t="shared" si="228"/>
        <v>12</v>
      </c>
      <c r="H1822" s="5" t="str">
        <f ca="1">_xlfn.FORMULATEXT(표1[[#This Row],[Q''ty]])</f>
        <v>=F1723</v>
      </c>
    </row>
    <row r="1823" spans="1:8" ht="15" hidden="1" customHeight="1" x14ac:dyDescent="0.4">
      <c r="A1823" s="6">
        <v>2026</v>
      </c>
      <c r="B1823" s="6">
        <f t="shared" si="224"/>
        <v>19</v>
      </c>
      <c r="C1823" s="13" t="s">
        <v>19</v>
      </c>
      <c r="D1823" s="2" t="s">
        <v>12</v>
      </c>
      <c r="E1823" s="14" t="str">
        <f t="shared" si="227"/>
        <v>BT GT</v>
      </c>
      <c r="F1823" s="22"/>
      <c r="H1823" s="5" t="e">
        <f ca="1">_xlfn.FORMULATEXT(표1[[#This Row],[Q''ty]])</f>
        <v>#N/A</v>
      </c>
    </row>
    <row r="1824" spans="1:8" ht="15" hidden="1" customHeight="1" x14ac:dyDescent="0.4">
      <c r="A1824" s="6">
        <v>2026</v>
      </c>
      <c r="B1824" s="6">
        <f t="shared" si="224"/>
        <v>19</v>
      </c>
      <c r="C1824" s="13" t="s">
        <v>19</v>
      </c>
      <c r="D1824" s="2" t="s">
        <v>12</v>
      </c>
      <c r="E1824" s="14" t="str">
        <f t="shared" si="227"/>
        <v>WT GT</v>
      </c>
      <c r="F1824" s="22"/>
      <c r="H1824" s="5" t="e">
        <f ca="1">_xlfn.FORMULATEXT(표1[[#This Row],[Q''ty]])</f>
        <v>#N/A</v>
      </c>
    </row>
    <row r="1825" spans="1:8" ht="15" hidden="1" customHeight="1" x14ac:dyDescent="0.4">
      <c r="A1825" s="6">
        <v>2026</v>
      </c>
      <c r="B1825" s="6">
        <f t="shared" si="224"/>
        <v>19</v>
      </c>
      <c r="C1825" s="13" t="s">
        <v>19</v>
      </c>
      <c r="D1825" s="2" t="s">
        <v>12</v>
      </c>
      <c r="E1825" s="14" t="str">
        <f t="shared" si="227"/>
        <v>Bending</v>
      </c>
      <c r="F1825" s="22"/>
      <c r="H1825" s="5" t="e">
        <f ca="1">_xlfn.FORMULATEXT(표1[[#This Row],[Q''ty]])</f>
        <v>#N/A</v>
      </c>
    </row>
    <row r="1826" spans="1:8" ht="15" hidden="1" customHeight="1" x14ac:dyDescent="0.4">
      <c r="A1826" s="6">
        <v>2026</v>
      </c>
      <c r="B1826" s="6">
        <f t="shared" si="224"/>
        <v>19</v>
      </c>
      <c r="C1826" s="13" t="s">
        <v>19</v>
      </c>
      <c r="D1826" s="2" t="s">
        <v>12</v>
      </c>
      <c r="E1826" s="14" t="str">
        <f t="shared" si="227"/>
        <v>L/W</v>
      </c>
      <c r="F1826" s="22"/>
      <c r="H1826" s="5" t="e">
        <f ca="1">_xlfn.FORMULATEXT(표1[[#This Row],[Q''ty]])</f>
        <v>#N/A</v>
      </c>
    </row>
    <row r="1827" spans="1:8" ht="15" hidden="1" customHeight="1" thickBot="1" x14ac:dyDescent="0.45">
      <c r="A1827" s="15">
        <v>2026</v>
      </c>
      <c r="B1827" s="15">
        <f t="shared" si="224"/>
        <v>19</v>
      </c>
      <c r="C1827" s="16" t="s">
        <v>19</v>
      </c>
      <c r="D1827" s="17" t="s">
        <v>12</v>
      </c>
      <c r="E1827" s="18" t="str">
        <f t="shared" si="227"/>
        <v>C/W</v>
      </c>
      <c r="F1827" s="23"/>
      <c r="H1827" s="5" t="e">
        <f ca="1">_xlfn.FORMULATEXT(표1[[#This Row],[Q''ty]])</f>
        <v>#N/A</v>
      </c>
    </row>
    <row r="1828" spans="1:8" ht="15" hidden="1" customHeight="1" thickTop="1" x14ac:dyDescent="0.4">
      <c r="A1828" s="6">
        <v>2026</v>
      </c>
      <c r="B1828" s="6">
        <f t="shared" si="224"/>
        <v>19</v>
      </c>
      <c r="C1828" s="13" t="s">
        <v>25</v>
      </c>
      <c r="D1828" s="2" t="s">
        <v>6</v>
      </c>
      <c r="E1828" s="14" t="s">
        <v>7</v>
      </c>
      <c r="F1828" s="22">
        <f t="shared" ref="F1828:F1833" si="229">F1729</f>
        <v>3</v>
      </c>
      <c r="H1828" s="5" t="str">
        <f ca="1">_xlfn.FORMULATEXT(표1[[#This Row],[Q''ty]])</f>
        <v>=F1729</v>
      </c>
    </row>
    <row r="1829" spans="1:8" ht="15" hidden="1" customHeight="1" x14ac:dyDescent="0.4">
      <c r="A1829" s="6">
        <v>2026</v>
      </c>
      <c r="B1829" s="6">
        <f t="shared" si="224"/>
        <v>19</v>
      </c>
      <c r="C1829" s="13" t="s">
        <v>25</v>
      </c>
      <c r="D1829" s="2" t="s">
        <v>6</v>
      </c>
      <c r="E1829" s="14" t="s">
        <v>8</v>
      </c>
      <c r="F1829" s="22">
        <f t="shared" si="229"/>
        <v>3</v>
      </c>
      <c r="H1829" s="5" t="str">
        <f ca="1">_xlfn.FORMULATEXT(표1[[#This Row],[Q''ty]])</f>
        <v>=F1730</v>
      </c>
    </row>
    <row r="1830" spans="1:8" ht="15" hidden="1" customHeight="1" x14ac:dyDescent="0.4">
      <c r="A1830" s="6">
        <v>2026</v>
      </c>
      <c r="B1830" s="6">
        <f t="shared" si="224"/>
        <v>19</v>
      </c>
      <c r="C1830" s="13" t="s">
        <v>25</v>
      </c>
      <c r="D1830" s="2" t="s">
        <v>6</v>
      </c>
      <c r="E1830" s="14" t="s">
        <v>9</v>
      </c>
      <c r="F1830" s="22">
        <f t="shared" si="229"/>
        <v>2</v>
      </c>
      <c r="H1830" s="5" t="str">
        <f ca="1">_xlfn.FORMULATEXT(표1[[#This Row],[Q''ty]])</f>
        <v>=F1731</v>
      </c>
    </row>
    <row r="1831" spans="1:8" ht="15" hidden="1" customHeight="1" x14ac:dyDescent="0.4">
      <c r="A1831" s="6">
        <v>2026</v>
      </c>
      <c r="B1831" s="6">
        <f t="shared" si="224"/>
        <v>19</v>
      </c>
      <c r="C1831" s="13" t="s">
        <v>25</v>
      </c>
      <c r="D1831" s="2" t="s">
        <v>6</v>
      </c>
      <c r="E1831" s="14" t="s">
        <v>27</v>
      </c>
      <c r="F1831" s="22">
        <f t="shared" si="229"/>
        <v>2</v>
      </c>
      <c r="H1831" s="5" t="str">
        <f ca="1">_xlfn.FORMULATEXT(표1[[#This Row],[Q''ty]])</f>
        <v>=F1732</v>
      </c>
    </row>
    <row r="1832" spans="1:8" ht="15" hidden="1" customHeight="1" x14ac:dyDescent="0.4">
      <c r="A1832" s="6">
        <v>2026</v>
      </c>
      <c r="B1832" s="6">
        <f t="shared" si="224"/>
        <v>19</v>
      </c>
      <c r="C1832" s="13" t="s">
        <v>25</v>
      </c>
      <c r="D1832" s="2" t="s">
        <v>6</v>
      </c>
      <c r="E1832" s="14" t="s">
        <v>10</v>
      </c>
      <c r="F1832" s="22">
        <f t="shared" si="229"/>
        <v>3</v>
      </c>
      <c r="H1832" s="5" t="str">
        <f ca="1">_xlfn.FORMULATEXT(표1[[#This Row],[Q''ty]])</f>
        <v>=F1733</v>
      </c>
    </row>
    <row r="1833" spans="1:8" ht="15" hidden="1" customHeight="1" x14ac:dyDescent="0.4">
      <c r="A1833" s="6">
        <v>2026</v>
      </c>
      <c r="B1833" s="6">
        <f t="shared" si="224"/>
        <v>19</v>
      </c>
      <c r="C1833" s="13" t="s">
        <v>25</v>
      </c>
      <c r="D1833" s="2" t="s">
        <v>6</v>
      </c>
      <c r="E1833" s="14" t="s">
        <v>11</v>
      </c>
      <c r="F1833" s="22">
        <f t="shared" si="229"/>
        <v>4</v>
      </c>
      <c r="H1833" s="5" t="str">
        <f ca="1">_xlfn.FORMULATEXT(표1[[#This Row],[Q''ty]])</f>
        <v>=F1734</v>
      </c>
    </row>
    <row r="1834" spans="1:8" ht="15" hidden="1" customHeight="1" x14ac:dyDescent="0.4">
      <c r="A1834" s="6">
        <v>2026</v>
      </c>
      <c r="B1834" s="6">
        <f t="shared" si="224"/>
        <v>19</v>
      </c>
      <c r="C1834" s="13" t="s">
        <v>25</v>
      </c>
      <c r="D1834" s="2" t="s">
        <v>12</v>
      </c>
      <c r="E1834" s="14" t="s">
        <v>13</v>
      </c>
      <c r="F1834" s="22"/>
      <c r="H1834" s="5" t="e">
        <f ca="1">_xlfn.FORMULATEXT(표1[[#This Row],[Q''ty]])</f>
        <v>#N/A</v>
      </c>
    </row>
    <row r="1835" spans="1:8" ht="15" hidden="1" customHeight="1" x14ac:dyDescent="0.4">
      <c r="A1835" s="6">
        <v>2026</v>
      </c>
      <c r="B1835" s="6">
        <f t="shared" si="224"/>
        <v>19</v>
      </c>
      <c r="C1835" s="13" t="s">
        <v>25</v>
      </c>
      <c r="D1835" s="2" t="s">
        <v>12</v>
      </c>
      <c r="E1835" s="14" t="s">
        <v>14</v>
      </c>
      <c r="F1835" s="22"/>
      <c r="H1835" s="5" t="e">
        <f ca="1">_xlfn.FORMULATEXT(표1[[#This Row],[Q''ty]])</f>
        <v>#N/A</v>
      </c>
    </row>
    <row r="1836" spans="1:8" ht="15" hidden="1" customHeight="1" x14ac:dyDescent="0.4">
      <c r="A1836" s="6">
        <v>2026</v>
      </c>
      <c r="B1836" s="6">
        <f t="shared" si="224"/>
        <v>19</v>
      </c>
      <c r="C1836" s="13" t="s">
        <v>25</v>
      </c>
      <c r="D1836" s="2" t="s">
        <v>12</v>
      </c>
      <c r="E1836" s="14" t="s">
        <v>15</v>
      </c>
      <c r="F1836" s="22"/>
      <c r="H1836" s="5" t="e">
        <f ca="1">_xlfn.FORMULATEXT(표1[[#This Row],[Q''ty]])</f>
        <v>#N/A</v>
      </c>
    </row>
    <row r="1837" spans="1:8" ht="15" hidden="1" customHeight="1" x14ac:dyDescent="0.4">
      <c r="A1837" s="6">
        <v>2026</v>
      </c>
      <c r="B1837" s="6">
        <f t="shared" si="224"/>
        <v>19</v>
      </c>
      <c r="C1837" s="13" t="s">
        <v>25</v>
      </c>
      <c r="D1837" s="2" t="s">
        <v>12</v>
      </c>
      <c r="E1837" s="14" t="s">
        <v>16</v>
      </c>
      <c r="F1837" s="22"/>
      <c r="H1837" s="5" t="e">
        <f ca="1">_xlfn.FORMULATEXT(표1[[#This Row],[Q''ty]])</f>
        <v>#N/A</v>
      </c>
    </row>
    <row r="1838" spans="1:8" ht="15" hidden="1" customHeight="1" thickBot="1" x14ac:dyDescent="0.45">
      <c r="A1838" s="15">
        <v>2026</v>
      </c>
      <c r="B1838" s="15">
        <f t="shared" si="224"/>
        <v>19</v>
      </c>
      <c r="C1838" s="16" t="s">
        <v>25</v>
      </c>
      <c r="D1838" s="17" t="s">
        <v>12</v>
      </c>
      <c r="E1838" s="18" t="s">
        <v>17</v>
      </c>
      <c r="F1838" s="23"/>
      <c r="H1838" s="5" t="e">
        <f ca="1">_xlfn.FORMULATEXT(표1[[#This Row],[Q''ty]])</f>
        <v>#N/A</v>
      </c>
    </row>
    <row r="1839" spans="1:8" ht="15" hidden="1" customHeight="1" thickTop="1" x14ac:dyDescent="0.4">
      <c r="A1839" s="6">
        <v>2026</v>
      </c>
      <c r="B1839" s="6">
        <f t="shared" si="224"/>
        <v>19</v>
      </c>
      <c r="C1839" s="13" t="s">
        <v>26</v>
      </c>
      <c r="D1839" s="2" t="s">
        <v>6</v>
      </c>
      <c r="E1839" s="14" t="s">
        <v>7</v>
      </c>
      <c r="F1839" s="22">
        <f t="shared" ref="F1839:F1844" si="230">F1740</f>
        <v>6</v>
      </c>
      <c r="H1839" s="5" t="str">
        <f ca="1">_xlfn.FORMULATEXT(표1[[#This Row],[Q''ty]])</f>
        <v>=F1740</v>
      </c>
    </row>
    <row r="1840" spans="1:8" ht="15" hidden="1" customHeight="1" x14ac:dyDescent="0.4">
      <c r="A1840" s="6">
        <v>2026</v>
      </c>
      <c r="B1840" s="6">
        <f t="shared" si="224"/>
        <v>19</v>
      </c>
      <c r="C1840" s="13" t="s">
        <v>26</v>
      </c>
      <c r="D1840" s="2" t="s">
        <v>6</v>
      </c>
      <c r="E1840" s="14" t="s">
        <v>8</v>
      </c>
      <c r="F1840" s="22">
        <f t="shared" si="230"/>
        <v>4</v>
      </c>
      <c r="H1840" s="5" t="str">
        <f ca="1">_xlfn.FORMULATEXT(표1[[#This Row],[Q''ty]])</f>
        <v>=F1741</v>
      </c>
    </row>
    <row r="1841" spans="1:8" ht="15" hidden="1" customHeight="1" x14ac:dyDescent="0.4">
      <c r="A1841" s="6">
        <v>2026</v>
      </c>
      <c r="B1841" s="6">
        <f t="shared" si="224"/>
        <v>19</v>
      </c>
      <c r="C1841" s="13" t="s">
        <v>26</v>
      </c>
      <c r="D1841" s="2" t="s">
        <v>6</v>
      </c>
      <c r="E1841" s="14" t="s">
        <v>9</v>
      </c>
      <c r="F1841" s="22">
        <f t="shared" si="230"/>
        <v>2</v>
      </c>
      <c r="H1841" s="5" t="str">
        <f ca="1">_xlfn.FORMULATEXT(표1[[#This Row],[Q''ty]])</f>
        <v>=F1742</v>
      </c>
    </row>
    <row r="1842" spans="1:8" ht="15" hidden="1" customHeight="1" x14ac:dyDescent="0.4">
      <c r="A1842" s="6">
        <v>2026</v>
      </c>
      <c r="B1842" s="6">
        <f t="shared" si="224"/>
        <v>19</v>
      </c>
      <c r="C1842" s="13" t="s">
        <v>26</v>
      </c>
      <c r="D1842" s="2" t="s">
        <v>6</v>
      </c>
      <c r="E1842" s="14" t="s">
        <v>27</v>
      </c>
      <c r="F1842" s="22">
        <f t="shared" si="230"/>
        <v>3</v>
      </c>
      <c r="H1842" s="5" t="str">
        <f ca="1">_xlfn.FORMULATEXT(표1[[#This Row],[Q''ty]])</f>
        <v>=F1743</v>
      </c>
    </row>
    <row r="1843" spans="1:8" ht="15" hidden="1" customHeight="1" x14ac:dyDescent="0.4">
      <c r="A1843" s="6">
        <v>2026</v>
      </c>
      <c r="B1843" s="6">
        <f t="shared" si="224"/>
        <v>19</v>
      </c>
      <c r="C1843" s="13" t="s">
        <v>26</v>
      </c>
      <c r="D1843" s="2" t="s">
        <v>6</v>
      </c>
      <c r="E1843" s="14" t="s">
        <v>10</v>
      </c>
      <c r="F1843" s="22">
        <f t="shared" si="230"/>
        <v>4</v>
      </c>
      <c r="H1843" s="5" t="str">
        <f ca="1">_xlfn.FORMULATEXT(표1[[#This Row],[Q''ty]])</f>
        <v>=F1744</v>
      </c>
    </row>
    <row r="1844" spans="1:8" ht="15" hidden="1" customHeight="1" x14ac:dyDescent="0.4">
      <c r="A1844" s="6">
        <v>2026</v>
      </c>
      <c r="B1844" s="6">
        <f t="shared" si="224"/>
        <v>19</v>
      </c>
      <c r="C1844" s="13" t="s">
        <v>26</v>
      </c>
      <c r="D1844" s="2" t="s">
        <v>6</v>
      </c>
      <c r="E1844" s="14" t="s">
        <v>11</v>
      </c>
      <c r="F1844" s="22">
        <f t="shared" si="230"/>
        <v>6</v>
      </c>
      <c r="H1844" s="5" t="str">
        <f ca="1">_xlfn.FORMULATEXT(표1[[#This Row],[Q''ty]])</f>
        <v>=F1745</v>
      </c>
    </row>
    <row r="1845" spans="1:8" ht="15" hidden="1" customHeight="1" x14ac:dyDescent="0.4">
      <c r="A1845" s="6">
        <v>2026</v>
      </c>
      <c r="B1845" s="6">
        <f t="shared" si="224"/>
        <v>19</v>
      </c>
      <c r="C1845" s="13" t="s">
        <v>26</v>
      </c>
      <c r="D1845" s="2" t="s">
        <v>12</v>
      </c>
      <c r="E1845" s="14" t="str">
        <f t="shared" ref="E1845:E1882" si="231">E1746</f>
        <v>BT GT</v>
      </c>
      <c r="F1845" s="22"/>
      <c r="H1845" s="5" t="e">
        <f ca="1">_xlfn.FORMULATEXT(표1[[#This Row],[Q''ty]])</f>
        <v>#N/A</v>
      </c>
    </row>
    <row r="1846" spans="1:8" ht="15" hidden="1" customHeight="1" x14ac:dyDescent="0.4">
      <c r="A1846" s="6">
        <v>2026</v>
      </c>
      <c r="B1846" s="6">
        <f t="shared" si="224"/>
        <v>19</v>
      </c>
      <c r="C1846" s="13" t="s">
        <v>26</v>
      </c>
      <c r="D1846" s="2" t="s">
        <v>12</v>
      </c>
      <c r="E1846" s="14" t="str">
        <f t="shared" si="231"/>
        <v>WT GT</v>
      </c>
      <c r="F1846" s="22"/>
      <c r="H1846" s="5" t="e">
        <f ca="1">_xlfn.FORMULATEXT(표1[[#This Row],[Q''ty]])</f>
        <v>#N/A</v>
      </c>
    </row>
    <row r="1847" spans="1:8" ht="15" hidden="1" customHeight="1" x14ac:dyDescent="0.4">
      <c r="A1847" s="6">
        <v>2026</v>
      </c>
      <c r="B1847" s="6">
        <f t="shared" si="224"/>
        <v>19</v>
      </c>
      <c r="C1847" s="13" t="s">
        <v>26</v>
      </c>
      <c r="D1847" s="2" t="s">
        <v>12</v>
      </c>
      <c r="E1847" s="14" t="str">
        <f t="shared" si="231"/>
        <v>Bending</v>
      </c>
      <c r="F1847" s="22"/>
      <c r="H1847" s="5" t="e">
        <f ca="1">_xlfn.FORMULATEXT(표1[[#This Row],[Q''ty]])</f>
        <v>#N/A</v>
      </c>
    </row>
    <row r="1848" spans="1:8" ht="15" hidden="1" customHeight="1" x14ac:dyDescent="0.4">
      <c r="A1848" s="6">
        <v>2026</v>
      </c>
      <c r="B1848" s="6">
        <f t="shared" si="224"/>
        <v>19</v>
      </c>
      <c r="C1848" s="13" t="s">
        <v>26</v>
      </c>
      <c r="D1848" s="2" t="s">
        <v>12</v>
      </c>
      <c r="E1848" s="14" t="str">
        <f t="shared" si="231"/>
        <v>L/W</v>
      </c>
      <c r="F1848" s="22"/>
      <c r="H1848" s="5" t="e">
        <f ca="1">_xlfn.FORMULATEXT(표1[[#This Row],[Q''ty]])</f>
        <v>#N/A</v>
      </c>
    </row>
    <row r="1849" spans="1:8" ht="15" hidden="1" customHeight="1" thickBot="1" x14ac:dyDescent="0.45">
      <c r="A1849" s="15">
        <v>2026</v>
      </c>
      <c r="B1849" s="15">
        <f t="shared" ref="B1849:B1882" si="232">B1750+1</f>
        <v>19</v>
      </c>
      <c r="C1849" s="16" t="s">
        <v>26</v>
      </c>
      <c r="D1849" s="17" t="s">
        <v>12</v>
      </c>
      <c r="E1849" s="18" t="str">
        <f t="shared" si="231"/>
        <v>C/W</v>
      </c>
      <c r="F1849" s="23"/>
      <c r="H1849" s="5" t="e">
        <f ca="1">_xlfn.FORMULATEXT(표1[[#This Row],[Q''ty]])</f>
        <v>#N/A</v>
      </c>
    </row>
    <row r="1850" spans="1:8" ht="15" hidden="1" customHeight="1" thickTop="1" x14ac:dyDescent="0.4">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hidden="1" customHeight="1" x14ac:dyDescent="0.4">
      <c r="A1851" s="6">
        <v>2026</v>
      </c>
      <c r="B1851" s="6">
        <f t="shared" si="232"/>
        <v>19</v>
      </c>
      <c r="C1851" s="13" t="s">
        <v>20</v>
      </c>
      <c r="D1851" s="2" t="s">
        <v>6</v>
      </c>
      <c r="E1851" s="14" t="str">
        <f t="shared" si="231"/>
        <v>Paint Booth</v>
      </c>
      <c r="F1851" s="22">
        <f t="shared" si="233"/>
        <v>16</v>
      </c>
      <c r="H1851" s="5" t="str">
        <f ca="1">_xlfn.FORMULATEXT(표1[[#This Row],[Q''ty]])</f>
        <v>=F1752</v>
      </c>
    </row>
    <row r="1852" spans="1:8" ht="15" hidden="1" customHeight="1" x14ac:dyDescent="0.4">
      <c r="A1852" s="6">
        <v>2026</v>
      </c>
      <c r="B1852" s="6">
        <f t="shared" si="232"/>
        <v>19</v>
      </c>
      <c r="C1852" s="13" t="s">
        <v>20</v>
      </c>
      <c r="D1852" s="2" t="s">
        <v>6</v>
      </c>
      <c r="E1852" s="14" t="str">
        <f t="shared" si="231"/>
        <v>Paint Line</v>
      </c>
      <c r="F1852" s="22">
        <f t="shared" si="233"/>
        <v>8</v>
      </c>
      <c r="H1852" s="5" t="str">
        <f ca="1">_xlfn.FORMULATEXT(표1[[#This Row],[Q''ty]])</f>
        <v>=F1753</v>
      </c>
    </row>
    <row r="1853" spans="1:8" ht="15" hidden="1" customHeight="1" x14ac:dyDescent="0.4">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hidden="1" customHeight="1" x14ac:dyDescent="0.4">
      <c r="A1854" s="6">
        <v>2026</v>
      </c>
      <c r="B1854" s="6">
        <f t="shared" si="232"/>
        <v>19</v>
      </c>
      <c r="C1854" s="13" t="s">
        <v>20</v>
      </c>
      <c r="D1854" s="2" t="s">
        <v>6</v>
      </c>
      <c r="E1854" s="14" t="str">
        <f t="shared" si="231"/>
        <v>L/W Machine</v>
      </c>
      <c r="F1854" s="22">
        <f t="shared" si="233"/>
        <v>11</v>
      </c>
      <c r="H1854" s="5" t="str">
        <f ca="1">_xlfn.FORMULATEXT(표1[[#This Row],[Q''ty]])</f>
        <v>=F1755</v>
      </c>
    </row>
    <row r="1855" spans="1:8" ht="15" hidden="1" customHeight="1" x14ac:dyDescent="0.4">
      <c r="A1855" s="6">
        <v>2026</v>
      </c>
      <c r="B1855" s="6">
        <f t="shared" si="232"/>
        <v>19</v>
      </c>
      <c r="C1855" s="13" t="s">
        <v>20</v>
      </c>
      <c r="D1855" s="2" t="s">
        <v>6</v>
      </c>
      <c r="E1855" s="14" t="str">
        <f t="shared" si="231"/>
        <v>C/W Machine</v>
      </c>
      <c r="F1855" s="22">
        <f t="shared" si="233"/>
        <v>15</v>
      </c>
      <c r="H1855" s="5" t="str">
        <f ca="1">_xlfn.FORMULATEXT(표1[[#This Row],[Q''ty]])</f>
        <v>=F1756</v>
      </c>
    </row>
    <row r="1856" spans="1:8" ht="15" hidden="1" customHeight="1" x14ac:dyDescent="0.4">
      <c r="A1856" s="6">
        <v>2026</v>
      </c>
      <c r="B1856" s="6">
        <f t="shared" si="232"/>
        <v>19</v>
      </c>
      <c r="C1856" s="13" t="s">
        <v>20</v>
      </c>
      <c r="D1856" s="2" t="s">
        <v>12</v>
      </c>
      <c r="E1856" s="14" t="str">
        <f t="shared" si="231"/>
        <v>BT GT</v>
      </c>
      <c r="F1856" s="22"/>
      <c r="H1856" s="5" t="e">
        <f ca="1">_xlfn.FORMULATEXT(표1[[#This Row],[Q''ty]])</f>
        <v>#N/A</v>
      </c>
    </row>
    <row r="1857" spans="1:8" ht="15" hidden="1" customHeight="1" x14ac:dyDescent="0.4">
      <c r="A1857" s="6">
        <v>2026</v>
      </c>
      <c r="B1857" s="6">
        <f t="shared" si="232"/>
        <v>19</v>
      </c>
      <c r="C1857" s="13" t="s">
        <v>20</v>
      </c>
      <c r="D1857" s="2" t="s">
        <v>12</v>
      </c>
      <c r="E1857" s="14" t="str">
        <f t="shared" si="231"/>
        <v>WT GT</v>
      </c>
      <c r="F1857" s="22"/>
      <c r="H1857" s="5" t="e">
        <f ca="1">_xlfn.FORMULATEXT(표1[[#This Row],[Q''ty]])</f>
        <v>#N/A</v>
      </c>
    </row>
    <row r="1858" spans="1:8" ht="15" hidden="1" customHeight="1" x14ac:dyDescent="0.4">
      <c r="A1858" s="6">
        <v>2026</v>
      </c>
      <c r="B1858" s="6">
        <f t="shared" si="232"/>
        <v>19</v>
      </c>
      <c r="C1858" s="13" t="s">
        <v>20</v>
      </c>
      <c r="D1858" s="2" t="s">
        <v>12</v>
      </c>
      <c r="E1858" s="14" t="str">
        <f t="shared" si="231"/>
        <v>Bending</v>
      </c>
      <c r="F1858" s="22"/>
      <c r="H1858" s="5" t="e">
        <f ca="1">_xlfn.FORMULATEXT(표1[[#This Row],[Q''ty]])</f>
        <v>#N/A</v>
      </c>
    </row>
    <row r="1859" spans="1:8" ht="15" hidden="1" customHeight="1" x14ac:dyDescent="0.4">
      <c r="A1859" s="6">
        <v>2026</v>
      </c>
      <c r="B1859" s="6">
        <f t="shared" si="232"/>
        <v>19</v>
      </c>
      <c r="C1859" s="13" t="s">
        <v>20</v>
      </c>
      <c r="D1859" s="2" t="s">
        <v>12</v>
      </c>
      <c r="E1859" s="14" t="str">
        <f t="shared" si="231"/>
        <v>L/W</v>
      </c>
      <c r="F1859" s="22"/>
      <c r="H1859" s="5" t="e">
        <f ca="1">_xlfn.FORMULATEXT(표1[[#This Row],[Q''ty]])</f>
        <v>#N/A</v>
      </c>
    </row>
    <row r="1860" spans="1:8" ht="15" hidden="1" customHeight="1" thickBot="1" x14ac:dyDescent="0.45">
      <c r="A1860" s="15">
        <v>2026</v>
      </c>
      <c r="B1860" s="15">
        <f t="shared" si="232"/>
        <v>19</v>
      </c>
      <c r="C1860" s="16" t="s">
        <v>20</v>
      </c>
      <c r="D1860" s="17" t="s">
        <v>12</v>
      </c>
      <c r="E1860" s="18" t="str">
        <f t="shared" si="231"/>
        <v>C/W</v>
      </c>
      <c r="F1860" s="23"/>
      <c r="H1860" s="5" t="e">
        <f ca="1">_xlfn.FORMULATEXT(표1[[#This Row],[Q''ty]])</f>
        <v>#N/A</v>
      </c>
    </row>
    <row r="1861" spans="1:8" ht="15" hidden="1" customHeight="1" thickTop="1" x14ac:dyDescent="0.4">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hidden="1" customHeight="1" x14ac:dyDescent="0.4">
      <c r="A1862" s="6">
        <v>2026</v>
      </c>
      <c r="B1862" s="6">
        <f t="shared" si="232"/>
        <v>19</v>
      </c>
      <c r="C1862" s="13" t="s">
        <v>21</v>
      </c>
      <c r="D1862" s="2" t="s">
        <v>6</v>
      </c>
      <c r="E1862" s="14" t="str">
        <f t="shared" si="231"/>
        <v>Paint Booth</v>
      </c>
      <c r="F1862" s="22">
        <f t="shared" si="234"/>
        <v>4</v>
      </c>
      <c r="H1862" s="5" t="str">
        <f ca="1">_xlfn.FORMULATEXT(표1[[#This Row],[Q''ty]])</f>
        <v>=F1763</v>
      </c>
    </row>
    <row r="1863" spans="1:8" ht="15" hidden="1" customHeight="1" x14ac:dyDescent="0.4">
      <c r="A1863" s="6">
        <v>2026</v>
      </c>
      <c r="B1863" s="6">
        <f t="shared" si="232"/>
        <v>19</v>
      </c>
      <c r="C1863" s="13" t="s">
        <v>21</v>
      </c>
      <c r="D1863" s="2" t="s">
        <v>6</v>
      </c>
      <c r="E1863" s="14" t="str">
        <f t="shared" si="231"/>
        <v>Paint Line</v>
      </c>
      <c r="F1863" s="22">
        <f t="shared" si="234"/>
        <v>4</v>
      </c>
      <c r="H1863" s="5" t="str">
        <f ca="1">_xlfn.FORMULATEXT(표1[[#This Row],[Q''ty]])</f>
        <v>=F1764</v>
      </c>
    </row>
    <row r="1864" spans="1:8" ht="15" hidden="1" customHeight="1" x14ac:dyDescent="0.4">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hidden="1" customHeight="1" x14ac:dyDescent="0.4">
      <c r="A1865" s="6">
        <v>2026</v>
      </c>
      <c r="B1865" s="6">
        <f t="shared" si="232"/>
        <v>19</v>
      </c>
      <c r="C1865" s="13" t="s">
        <v>21</v>
      </c>
      <c r="D1865" s="2" t="s">
        <v>6</v>
      </c>
      <c r="E1865" s="14" t="str">
        <f t="shared" si="231"/>
        <v>L/W Machine</v>
      </c>
      <c r="F1865" s="22">
        <f t="shared" si="234"/>
        <v>4</v>
      </c>
      <c r="H1865" s="5" t="str">
        <f ca="1">_xlfn.FORMULATEXT(표1[[#This Row],[Q''ty]])</f>
        <v>=F1766</v>
      </c>
    </row>
    <row r="1866" spans="1:8" ht="15" hidden="1" customHeight="1" x14ac:dyDescent="0.4">
      <c r="A1866" s="6">
        <v>2026</v>
      </c>
      <c r="B1866" s="6">
        <f t="shared" si="232"/>
        <v>19</v>
      </c>
      <c r="C1866" s="13" t="s">
        <v>21</v>
      </c>
      <c r="D1866" s="2" t="s">
        <v>6</v>
      </c>
      <c r="E1866" s="14" t="str">
        <f t="shared" si="231"/>
        <v>C/W Machine</v>
      </c>
      <c r="F1866" s="22">
        <f t="shared" si="234"/>
        <v>6.5</v>
      </c>
      <c r="H1866" s="5" t="str">
        <f ca="1">_xlfn.FORMULATEXT(표1[[#This Row],[Q''ty]])</f>
        <v>=F1767</v>
      </c>
    </row>
    <row r="1867" spans="1:8" ht="15" hidden="1" customHeight="1" x14ac:dyDescent="0.4">
      <c r="A1867" s="6">
        <v>2026</v>
      </c>
      <c r="B1867" s="6">
        <f t="shared" si="232"/>
        <v>19</v>
      </c>
      <c r="C1867" s="13" t="s">
        <v>21</v>
      </c>
      <c r="D1867" s="2" t="s">
        <v>12</v>
      </c>
      <c r="E1867" s="14" t="str">
        <f t="shared" si="231"/>
        <v>BT GT</v>
      </c>
      <c r="F1867" s="22"/>
      <c r="H1867" s="5" t="e">
        <f ca="1">_xlfn.FORMULATEXT(표1[[#This Row],[Q''ty]])</f>
        <v>#N/A</v>
      </c>
    </row>
    <row r="1868" spans="1:8" ht="15" hidden="1" customHeight="1" x14ac:dyDescent="0.4">
      <c r="A1868" s="6">
        <v>2026</v>
      </c>
      <c r="B1868" s="6">
        <f t="shared" si="232"/>
        <v>19</v>
      </c>
      <c r="C1868" s="13" t="s">
        <v>21</v>
      </c>
      <c r="D1868" s="2" t="s">
        <v>12</v>
      </c>
      <c r="E1868" s="14" t="str">
        <f t="shared" si="231"/>
        <v>WT GT</v>
      </c>
      <c r="F1868" s="22"/>
      <c r="H1868" s="5" t="e">
        <f ca="1">_xlfn.FORMULATEXT(표1[[#This Row],[Q''ty]])</f>
        <v>#N/A</v>
      </c>
    </row>
    <row r="1869" spans="1:8" ht="15" hidden="1" customHeight="1" x14ac:dyDescent="0.4">
      <c r="A1869" s="6">
        <v>2026</v>
      </c>
      <c r="B1869" s="6">
        <f t="shared" si="232"/>
        <v>19</v>
      </c>
      <c r="C1869" s="13" t="s">
        <v>21</v>
      </c>
      <c r="D1869" s="2" t="s">
        <v>12</v>
      </c>
      <c r="E1869" s="14" t="str">
        <f t="shared" si="231"/>
        <v>Bending</v>
      </c>
      <c r="F1869" s="22"/>
      <c r="H1869" s="5" t="e">
        <f ca="1">_xlfn.FORMULATEXT(표1[[#This Row],[Q''ty]])</f>
        <v>#N/A</v>
      </c>
    </row>
    <row r="1870" spans="1:8" ht="15" hidden="1" customHeight="1" x14ac:dyDescent="0.4">
      <c r="A1870" s="6">
        <v>2026</v>
      </c>
      <c r="B1870" s="6">
        <f t="shared" si="232"/>
        <v>19</v>
      </c>
      <c r="C1870" s="13" t="s">
        <v>21</v>
      </c>
      <c r="D1870" s="2" t="s">
        <v>12</v>
      </c>
      <c r="E1870" s="14" t="str">
        <f t="shared" si="231"/>
        <v>L/W</v>
      </c>
      <c r="F1870" s="22"/>
      <c r="H1870" s="5" t="e">
        <f ca="1">_xlfn.FORMULATEXT(표1[[#This Row],[Q''ty]])</f>
        <v>#N/A</v>
      </c>
    </row>
    <row r="1871" spans="1:8" ht="15" hidden="1" customHeight="1" thickBot="1" x14ac:dyDescent="0.45">
      <c r="A1871" s="15">
        <v>2026</v>
      </c>
      <c r="B1871" s="15">
        <f t="shared" si="232"/>
        <v>19</v>
      </c>
      <c r="C1871" s="16" t="s">
        <v>21</v>
      </c>
      <c r="D1871" s="17" t="s">
        <v>12</v>
      </c>
      <c r="E1871" s="18" t="str">
        <f t="shared" si="231"/>
        <v>C/W</v>
      </c>
      <c r="F1871" s="23"/>
      <c r="H1871" s="5" t="e">
        <f ca="1">_xlfn.FORMULATEXT(표1[[#This Row],[Q''ty]])</f>
        <v>#N/A</v>
      </c>
    </row>
    <row r="1872" spans="1:8" ht="15" hidden="1" customHeight="1" thickTop="1" x14ac:dyDescent="0.4">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10" ht="15" hidden="1" customHeight="1" x14ac:dyDescent="0.4">
      <c r="A1873" s="6">
        <v>2026</v>
      </c>
      <c r="B1873" s="6">
        <f t="shared" si="232"/>
        <v>19</v>
      </c>
      <c r="C1873" s="13" t="s">
        <v>22</v>
      </c>
      <c r="D1873" s="2" t="s">
        <v>6</v>
      </c>
      <c r="E1873" s="14" t="str">
        <f t="shared" si="231"/>
        <v>Paint Booth</v>
      </c>
      <c r="F1873" s="22">
        <f t="shared" si="235"/>
        <v>6</v>
      </c>
      <c r="H1873" s="5" t="str">
        <f ca="1">_xlfn.FORMULATEXT(표1[[#This Row],[Q''ty]])</f>
        <v>=F1774</v>
      </c>
    </row>
    <row r="1874" spans="1:10" ht="15" hidden="1" customHeight="1" x14ac:dyDescent="0.4">
      <c r="A1874" s="6">
        <v>2026</v>
      </c>
      <c r="B1874" s="6">
        <f t="shared" si="232"/>
        <v>19</v>
      </c>
      <c r="C1874" s="13" t="s">
        <v>22</v>
      </c>
      <c r="D1874" s="2" t="s">
        <v>6</v>
      </c>
      <c r="E1874" s="14" t="str">
        <f t="shared" si="231"/>
        <v>Paint Line</v>
      </c>
      <c r="F1874" s="22">
        <f t="shared" si="235"/>
        <v>4</v>
      </c>
      <c r="H1874" s="5" t="str">
        <f ca="1">_xlfn.FORMULATEXT(표1[[#This Row],[Q''ty]])</f>
        <v>=F1775</v>
      </c>
    </row>
    <row r="1875" spans="1:10" ht="15" hidden="1" customHeight="1" x14ac:dyDescent="0.4">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10" ht="15" hidden="1" customHeight="1" x14ac:dyDescent="0.4">
      <c r="A1876" s="6">
        <v>2026</v>
      </c>
      <c r="B1876" s="6">
        <f t="shared" si="232"/>
        <v>19</v>
      </c>
      <c r="C1876" s="13" t="s">
        <v>22</v>
      </c>
      <c r="D1876" s="2" t="s">
        <v>6</v>
      </c>
      <c r="E1876" s="14" t="str">
        <f t="shared" si="231"/>
        <v>L/W Machine</v>
      </c>
      <c r="F1876" s="22">
        <f t="shared" si="235"/>
        <v>7</v>
      </c>
      <c r="H1876" s="5" t="str">
        <f ca="1">_xlfn.FORMULATEXT(표1[[#This Row],[Q''ty]])</f>
        <v>=F1777</v>
      </c>
    </row>
    <row r="1877" spans="1:10" ht="15" hidden="1" customHeight="1" x14ac:dyDescent="0.4">
      <c r="A1877" s="6">
        <v>2026</v>
      </c>
      <c r="B1877" s="6">
        <f t="shared" si="232"/>
        <v>19</v>
      </c>
      <c r="C1877" s="13" t="s">
        <v>22</v>
      </c>
      <c r="D1877" s="2" t="s">
        <v>6</v>
      </c>
      <c r="E1877" s="14" t="str">
        <f t="shared" si="231"/>
        <v>C/W Machine</v>
      </c>
      <c r="F1877" s="22">
        <f t="shared" si="235"/>
        <v>12.5</v>
      </c>
      <c r="H1877" s="5" t="str">
        <f ca="1">_xlfn.FORMULATEXT(표1[[#This Row],[Q''ty]])</f>
        <v>=F1778</v>
      </c>
    </row>
    <row r="1878" spans="1:10" ht="15" hidden="1" customHeight="1" x14ac:dyDescent="0.4">
      <c r="A1878" s="6">
        <v>2026</v>
      </c>
      <c r="B1878" s="6">
        <f t="shared" si="232"/>
        <v>19</v>
      </c>
      <c r="C1878" s="13" t="s">
        <v>22</v>
      </c>
      <c r="D1878" s="2" t="s">
        <v>12</v>
      </c>
      <c r="E1878" s="14" t="str">
        <f t="shared" si="231"/>
        <v>BT GT</v>
      </c>
      <c r="F1878" s="22"/>
      <c r="H1878" s="5" t="e">
        <f ca="1">_xlfn.FORMULATEXT(표1[[#This Row],[Q''ty]])</f>
        <v>#N/A</v>
      </c>
    </row>
    <row r="1879" spans="1:10" ht="15" hidden="1" customHeight="1" x14ac:dyDescent="0.4">
      <c r="A1879" s="6">
        <v>2026</v>
      </c>
      <c r="B1879" s="6">
        <f t="shared" si="232"/>
        <v>19</v>
      </c>
      <c r="C1879" s="13" t="s">
        <v>22</v>
      </c>
      <c r="D1879" s="2" t="s">
        <v>12</v>
      </c>
      <c r="E1879" s="14" t="str">
        <f t="shared" si="231"/>
        <v>WT GT</v>
      </c>
      <c r="F1879" s="22"/>
      <c r="H1879" s="5" t="e">
        <f ca="1">_xlfn.FORMULATEXT(표1[[#This Row],[Q''ty]])</f>
        <v>#N/A</v>
      </c>
    </row>
    <row r="1880" spans="1:10" ht="15" hidden="1" customHeight="1" x14ac:dyDescent="0.4">
      <c r="A1880" s="6">
        <v>2026</v>
      </c>
      <c r="B1880" s="6">
        <f t="shared" si="232"/>
        <v>19</v>
      </c>
      <c r="C1880" s="13" t="s">
        <v>22</v>
      </c>
      <c r="D1880" s="2" t="s">
        <v>12</v>
      </c>
      <c r="E1880" s="14" t="str">
        <f t="shared" si="231"/>
        <v>Bending</v>
      </c>
      <c r="F1880" s="22"/>
      <c r="H1880" s="5" t="e">
        <f ca="1">_xlfn.FORMULATEXT(표1[[#This Row],[Q''ty]])</f>
        <v>#N/A</v>
      </c>
    </row>
    <row r="1881" spans="1:10" ht="15" hidden="1" customHeight="1" x14ac:dyDescent="0.4">
      <c r="A1881" s="6">
        <v>2026</v>
      </c>
      <c r="B1881" s="6">
        <f t="shared" si="232"/>
        <v>19</v>
      </c>
      <c r="C1881" s="13" t="s">
        <v>22</v>
      </c>
      <c r="D1881" s="2" t="s">
        <v>12</v>
      </c>
      <c r="E1881" s="14" t="str">
        <f t="shared" si="231"/>
        <v>L/W</v>
      </c>
      <c r="F1881" s="22"/>
      <c r="H1881" s="5" t="e">
        <f ca="1">_xlfn.FORMULATEXT(표1[[#This Row],[Q''ty]])</f>
        <v>#N/A</v>
      </c>
    </row>
    <row r="1882" spans="1:10" ht="15" hidden="1" customHeight="1" thickBot="1" x14ac:dyDescent="0.45">
      <c r="A1882" s="6">
        <v>2026</v>
      </c>
      <c r="B1882" s="6">
        <f t="shared" si="232"/>
        <v>19</v>
      </c>
      <c r="C1882" s="13" t="s">
        <v>22</v>
      </c>
      <c r="D1882" s="2" t="s">
        <v>12</v>
      </c>
      <c r="E1882" s="14" t="str">
        <f t="shared" si="231"/>
        <v>C/W</v>
      </c>
      <c r="F1882" s="22"/>
      <c r="H1882" s="5" t="e">
        <f ca="1">_xlfn.FORMULATEXT(표1[[#This Row],[Q''ty]])</f>
        <v>#N/A</v>
      </c>
    </row>
    <row r="1883" spans="1:10" ht="15" hidden="1" customHeight="1" thickTop="1" x14ac:dyDescent="0.4">
      <c r="A1883" s="9">
        <v>2026</v>
      </c>
      <c r="B1883" s="9">
        <f>B1784+1</f>
        <v>20</v>
      </c>
      <c r="C1883" s="10" t="s">
        <v>28</v>
      </c>
      <c r="D1883" s="11" t="s">
        <v>6</v>
      </c>
      <c r="E1883" s="12" t="s">
        <v>7</v>
      </c>
      <c r="F1883" s="21">
        <f t="shared" ref="F1883:F1888" si="236">F1784</f>
        <v>15</v>
      </c>
      <c r="H1883" s="5" t="str">
        <f ca="1">_xlfn.FORMULATEXT(표1[[#This Row],[Q''ty]])</f>
        <v>=F1784</v>
      </c>
    </row>
    <row r="1884" spans="1:10" s="2" customFormat="1" ht="15" hidden="1" customHeight="1" x14ac:dyDescent="0.4">
      <c r="A1884" s="6">
        <v>2026</v>
      </c>
      <c r="B1884" s="6">
        <f t="shared" ref="B1884:B1947" si="237">B1785+1</f>
        <v>20</v>
      </c>
      <c r="C1884" s="13" t="s">
        <v>23</v>
      </c>
      <c r="D1884" s="2" t="s">
        <v>6</v>
      </c>
      <c r="E1884" s="14" t="s">
        <v>8</v>
      </c>
      <c r="F1884" s="22">
        <f t="shared" si="236"/>
        <v>10</v>
      </c>
      <c r="H1884" s="5" t="str">
        <f ca="1">_xlfn.FORMULATEXT(표1[[#This Row],[Q''ty]])</f>
        <v>=F1785</v>
      </c>
      <c r="I1884" s="26"/>
      <c r="J1884" s="26"/>
    </row>
    <row r="1885" spans="1:10" s="2" customFormat="1" ht="15" hidden="1" customHeight="1" x14ac:dyDescent="0.4">
      <c r="A1885" s="6">
        <v>2026</v>
      </c>
      <c r="B1885" s="6">
        <f t="shared" si="237"/>
        <v>20</v>
      </c>
      <c r="C1885" s="13" t="s">
        <v>23</v>
      </c>
      <c r="D1885" s="2" t="s">
        <v>6</v>
      </c>
      <c r="E1885" s="14" t="s">
        <v>9</v>
      </c>
      <c r="F1885" s="22">
        <f t="shared" si="236"/>
        <v>5</v>
      </c>
      <c r="H1885" s="5" t="str">
        <f ca="1">_xlfn.FORMULATEXT(표1[[#This Row],[Q''ty]])</f>
        <v>=F1786</v>
      </c>
      <c r="I1885" s="26"/>
      <c r="J1885" s="26"/>
    </row>
    <row r="1886" spans="1:10" ht="15" hidden="1" customHeight="1" x14ac:dyDescent="0.4">
      <c r="A1886" s="6">
        <v>2026</v>
      </c>
      <c r="B1886" s="6">
        <f t="shared" si="237"/>
        <v>20</v>
      </c>
      <c r="C1886" s="13" t="s">
        <v>23</v>
      </c>
      <c r="D1886" s="2" t="s">
        <v>6</v>
      </c>
      <c r="E1886" s="14" t="s">
        <v>27</v>
      </c>
      <c r="F1886" s="22">
        <f t="shared" si="236"/>
        <v>6</v>
      </c>
      <c r="H1886" s="5" t="str">
        <f ca="1">_xlfn.FORMULATEXT(표1[[#This Row],[Q''ty]])</f>
        <v>=F1787</v>
      </c>
    </row>
    <row r="1887" spans="1:10" ht="15" hidden="1" customHeight="1" x14ac:dyDescent="0.4">
      <c r="A1887" s="6">
        <v>2026</v>
      </c>
      <c r="B1887" s="6">
        <f t="shared" si="237"/>
        <v>20</v>
      </c>
      <c r="C1887" s="13" t="s">
        <v>23</v>
      </c>
      <c r="D1887" s="2" t="s">
        <v>6</v>
      </c>
      <c r="E1887" s="14" t="s">
        <v>10</v>
      </c>
      <c r="F1887" s="22">
        <f t="shared" si="236"/>
        <v>10</v>
      </c>
      <c r="H1887" s="5" t="str">
        <f ca="1">_xlfn.FORMULATEXT(표1[[#This Row],[Q''ty]])</f>
        <v>=F1788</v>
      </c>
    </row>
    <row r="1888" spans="1:10" ht="15" hidden="1" customHeight="1" x14ac:dyDescent="0.4">
      <c r="A1888" s="6">
        <v>2026</v>
      </c>
      <c r="B1888" s="6">
        <f t="shared" si="237"/>
        <v>20</v>
      </c>
      <c r="C1888" s="13" t="s">
        <v>23</v>
      </c>
      <c r="D1888" s="2" t="s">
        <v>6</v>
      </c>
      <c r="E1888" s="14" t="s">
        <v>11</v>
      </c>
      <c r="F1888" s="22">
        <f t="shared" si="236"/>
        <v>10</v>
      </c>
      <c r="H1888" s="5" t="str">
        <f ca="1">_xlfn.FORMULATEXT(표1[[#This Row],[Q''ty]])</f>
        <v>=F1789</v>
      </c>
    </row>
    <row r="1889" spans="1:10" ht="15" hidden="1" customHeight="1" x14ac:dyDescent="0.4">
      <c r="A1889" s="6">
        <v>2026</v>
      </c>
      <c r="B1889" s="6">
        <f t="shared" si="237"/>
        <v>20</v>
      </c>
      <c r="C1889" s="13" t="s">
        <v>23</v>
      </c>
      <c r="D1889" s="2" t="s">
        <v>12</v>
      </c>
      <c r="E1889" s="14" t="s">
        <v>13</v>
      </c>
      <c r="F1889" s="22"/>
      <c r="H1889" s="5" t="e">
        <f ca="1">_xlfn.FORMULATEXT(표1[[#This Row],[Q''ty]])</f>
        <v>#N/A</v>
      </c>
    </row>
    <row r="1890" spans="1:10" s="2" customFormat="1" ht="15" hidden="1" customHeight="1" x14ac:dyDescent="0.4">
      <c r="A1890" s="6">
        <v>2026</v>
      </c>
      <c r="B1890" s="6">
        <f t="shared" si="237"/>
        <v>20</v>
      </c>
      <c r="C1890" s="13" t="s">
        <v>23</v>
      </c>
      <c r="D1890" s="2" t="s">
        <v>12</v>
      </c>
      <c r="E1890" s="14" t="s">
        <v>14</v>
      </c>
      <c r="F1890" s="22"/>
      <c r="H1890" s="5" t="e">
        <f ca="1">_xlfn.FORMULATEXT(표1[[#This Row],[Q''ty]])</f>
        <v>#N/A</v>
      </c>
      <c r="I1890" s="26"/>
      <c r="J1890" s="26"/>
    </row>
    <row r="1891" spans="1:10" ht="15" hidden="1" customHeight="1" x14ac:dyDescent="0.4">
      <c r="A1891" s="6">
        <v>2026</v>
      </c>
      <c r="B1891" s="6">
        <f t="shared" si="237"/>
        <v>20</v>
      </c>
      <c r="C1891" s="13" t="s">
        <v>23</v>
      </c>
      <c r="D1891" s="2" t="s">
        <v>12</v>
      </c>
      <c r="E1891" s="14" t="s">
        <v>15</v>
      </c>
      <c r="F1891" s="22"/>
      <c r="H1891" s="5" t="e">
        <f ca="1">_xlfn.FORMULATEXT(표1[[#This Row],[Q''ty]])</f>
        <v>#N/A</v>
      </c>
    </row>
    <row r="1892" spans="1:10" ht="15" hidden="1" customHeight="1" x14ac:dyDescent="0.4">
      <c r="A1892" s="6">
        <v>2026</v>
      </c>
      <c r="B1892" s="6">
        <f t="shared" si="237"/>
        <v>20</v>
      </c>
      <c r="C1892" s="13" t="s">
        <v>23</v>
      </c>
      <c r="D1892" s="2" t="s">
        <v>12</v>
      </c>
      <c r="E1892" s="14" t="s">
        <v>16</v>
      </c>
      <c r="F1892" s="22"/>
      <c r="H1892" s="5" t="e">
        <f ca="1">_xlfn.FORMULATEXT(표1[[#This Row],[Q''ty]])</f>
        <v>#N/A</v>
      </c>
    </row>
    <row r="1893" spans="1:10" ht="15" hidden="1" customHeight="1" thickBot="1" x14ac:dyDescent="0.45">
      <c r="A1893" s="15">
        <v>2026</v>
      </c>
      <c r="B1893" s="15">
        <f t="shared" si="237"/>
        <v>20</v>
      </c>
      <c r="C1893" s="16" t="s">
        <v>23</v>
      </c>
      <c r="D1893" s="17" t="s">
        <v>12</v>
      </c>
      <c r="E1893" s="18" t="s">
        <v>17</v>
      </c>
      <c r="F1893" s="23"/>
      <c r="H1893" s="5" t="e">
        <f ca="1">_xlfn.FORMULATEXT(표1[[#This Row],[Q''ty]])</f>
        <v>#N/A</v>
      </c>
    </row>
    <row r="1894" spans="1:10" ht="15" hidden="1" customHeight="1" thickTop="1" x14ac:dyDescent="0.4">
      <c r="A1894" s="9">
        <v>2026</v>
      </c>
      <c r="B1894" s="9">
        <f t="shared" si="237"/>
        <v>20</v>
      </c>
      <c r="C1894" s="10" t="s">
        <v>29</v>
      </c>
      <c r="D1894" s="11" t="s">
        <v>6</v>
      </c>
      <c r="E1894" s="12" t="s">
        <v>7</v>
      </c>
      <c r="F1894" s="21">
        <f t="shared" ref="F1894:F1899" si="238">F1795</f>
        <v>14</v>
      </c>
      <c r="H1894" s="5" t="str">
        <f ca="1">_xlfn.FORMULATEXT(표1[[#This Row],[Q''ty]])</f>
        <v>=F1795</v>
      </c>
    </row>
    <row r="1895" spans="1:10" s="2" customFormat="1" ht="15" hidden="1" customHeight="1" x14ac:dyDescent="0.4">
      <c r="A1895" s="6">
        <v>2026</v>
      </c>
      <c r="B1895" s="6">
        <f t="shared" si="237"/>
        <v>20</v>
      </c>
      <c r="C1895" s="13" t="s">
        <v>24</v>
      </c>
      <c r="D1895" s="2" t="s">
        <v>6</v>
      </c>
      <c r="E1895" s="14" t="s">
        <v>8</v>
      </c>
      <c r="F1895" s="22">
        <f t="shared" si="238"/>
        <v>8</v>
      </c>
      <c r="H1895" s="5" t="str">
        <f ca="1">_xlfn.FORMULATEXT(표1[[#This Row],[Q''ty]])</f>
        <v>=F1796</v>
      </c>
      <c r="I1895" s="26"/>
      <c r="J1895" s="26"/>
    </row>
    <row r="1896" spans="1:10" s="2" customFormat="1" ht="15" hidden="1" customHeight="1" x14ac:dyDescent="0.4">
      <c r="A1896" s="6">
        <v>2026</v>
      </c>
      <c r="B1896" s="6">
        <f t="shared" si="237"/>
        <v>20</v>
      </c>
      <c r="C1896" s="13" t="s">
        <v>24</v>
      </c>
      <c r="D1896" s="2" t="s">
        <v>6</v>
      </c>
      <c r="E1896" s="14" t="s">
        <v>9</v>
      </c>
      <c r="F1896" s="22">
        <f t="shared" si="238"/>
        <v>4</v>
      </c>
      <c r="H1896" s="5" t="str">
        <f ca="1">_xlfn.FORMULATEXT(표1[[#This Row],[Q''ty]])</f>
        <v>=F1797</v>
      </c>
      <c r="I1896" s="26"/>
      <c r="J1896" s="26"/>
    </row>
    <row r="1897" spans="1:10" ht="15" hidden="1" customHeight="1" x14ac:dyDescent="0.4">
      <c r="A1897" s="6">
        <v>2026</v>
      </c>
      <c r="B1897" s="6">
        <f t="shared" si="237"/>
        <v>20</v>
      </c>
      <c r="C1897" s="13" t="s">
        <v>24</v>
      </c>
      <c r="D1897" s="2" t="s">
        <v>6</v>
      </c>
      <c r="E1897" s="14" t="s">
        <v>27</v>
      </c>
      <c r="F1897" s="22">
        <f t="shared" si="238"/>
        <v>3</v>
      </c>
      <c r="H1897" s="5" t="str">
        <f ca="1">_xlfn.FORMULATEXT(표1[[#This Row],[Q''ty]])</f>
        <v>=F1798</v>
      </c>
    </row>
    <row r="1898" spans="1:10" ht="15" hidden="1" customHeight="1" x14ac:dyDescent="0.4">
      <c r="A1898" s="6">
        <v>2026</v>
      </c>
      <c r="B1898" s="6">
        <f t="shared" si="237"/>
        <v>20</v>
      </c>
      <c r="C1898" s="13" t="s">
        <v>24</v>
      </c>
      <c r="D1898" s="2" t="s">
        <v>6</v>
      </c>
      <c r="E1898" s="14" t="s">
        <v>10</v>
      </c>
      <c r="F1898" s="22">
        <f t="shared" si="238"/>
        <v>6</v>
      </c>
      <c r="H1898" s="5" t="str">
        <f ca="1">_xlfn.FORMULATEXT(표1[[#This Row],[Q''ty]])</f>
        <v>=F1799</v>
      </c>
    </row>
    <row r="1899" spans="1:10" ht="15" hidden="1" customHeight="1" x14ac:dyDescent="0.4">
      <c r="A1899" s="6">
        <v>2026</v>
      </c>
      <c r="B1899" s="6">
        <f t="shared" si="237"/>
        <v>20</v>
      </c>
      <c r="C1899" s="13" t="s">
        <v>24</v>
      </c>
      <c r="D1899" s="2" t="s">
        <v>6</v>
      </c>
      <c r="E1899" s="14" t="s">
        <v>11</v>
      </c>
      <c r="F1899" s="22">
        <f t="shared" si="238"/>
        <v>8.8000000000000007</v>
      </c>
      <c r="H1899" s="5" t="str">
        <f ca="1">_xlfn.FORMULATEXT(표1[[#This Row],[Q''ty]])</f>
        <v>=F1800</v>
      </c>
    </row>
    <row r="1900" spans="1:10" ht="15" hidden="1" customHeight="1" x14ac:dyDescent="0.4">
      <c r="A1900" s="6">
        <v>2026</v>
      </c>
      <c r="B1900" s="6">
        <f t="shared" si="237"/>
        <v>20</v>
      </c>
      <c r="C1900" s="13" t="s">
        <v>24</v>
      </c>
      <c r="D1900" s="2" t="s">
        <v>12</v>
      </c>
      <c r="E1900" s="14" t="s">
        <v>13</v>
      </c>
      <c r="F1900" s="22"/>
      <c r="H1900" s="5" t="e">
        <f ca="1">_xlfn.FORMULATEXT(표1[[#This Row],[Q''ty]])</f>
        <v>#N/A</v>
      </c>
    </row>
    <row r="1901" spans="1:10" s="2" customFormat="1" ht="15" hidden="1" customHeight="1" x14ac:dyDescent="0.4">
      <c r="A1901" s="6">
        <v>2026</v>
      </c>
      <c r="B1901" s="6">
        <f t="shared" si="237"/>
        <v>20</v>
      </c>
      <c r="C1901" s="13" t="s">
        <v>24</v>
      </c>
      <c r="D1901" s="2" t="s">
        <v>12</v>
      </c>
      <c r="E1901" s="14" t="s">
        <v>14</v>
      </c>
      <c r="F1901" s="22"/>
      <c r="H1901" s="5" t="e">
        <f ca="1">_xlfn.FORMULATEXT(표1[[#This Row],[Q''ty]])</f>
        <v>#N/A</v>
      </c>
      <c r="I1901" s="26"/>
      <c r="J1901" s="26"/>
    </row>
    <row r="1902" spans="1:10" ht="15" hidden="1" customHeight="1" x14ac:dyDescent="0.4">
      <c r="A1902" s="6">
        <v>2026</v>
      </c>
      <c r="B1902" s="6">
        <f t="shared" si="237"/>
        <v>20</v>
      </c>
      <c r="C1902" s="13" t="s">
        <v>24</v>
      </c>
      <c r="D1902" s="2" t="s">
        <v>12</v>
      </c>
      <c r="E1902" s="14" t="s">
        <v>15</v>
      </c>
      <c r="F1902" s="22"/>
      <c r="H1902" s="5" t="e">
        <f ca="1">_xlfn.FORMULATEXT(표1[[#This Row],[Q''ty]])</f>
        <v>#N/A</v>
      </c>
    </row>
    <row r="1903" spans="1:10" ht="15" hidden="1" customHeight="1" x14ac:dyDescent="0.4">
      <c r="A1903" s="6">
        <v>2026</v>
      </c>
      <c r="B1903" s="6">
        <f t="shared" si="237"/>
        <v>20</v>
      </c>
      <c r="C1903" s="13" t="s">
        <v>24</v>
      </c>
      <c r="D1903" s="2" t="s">
        <v>12</v>
      </c>
      <c r="E1903" s="14" t="s">
        <v>16</v>
      </c>
      <c r="F1903" s="22"/>
      <c r="H1903" s="5" t="e">
        <f ca="1">_xlfn.FORMULATEXT(표1[[#This Row],[Q''ty]])</f>
        <v>#N/A</v>
      </c>
    </row>
    <row r="1904" spans="1:10" ht="15" hidden="1" customHeight="1" thickBot="1" x14ac:dyDescent="0.45">
      <c r="A1904" s="15">
        <v>2026</v>
      </c>
      <c r="B1904" s="15">
        <f t="shared" si="237"/>
        <v>20</v>
      </c>
      <c r="C1904" s="16" t="s">
        <v>24</v>
      </c>
      <c r="D1904" s="17" t="s">
        <v>12</v>
      </c>
      <c r="E1904" s="18" t="s">
        <v>17</v>
      </c>
      <c r="F1904" s="23"/>
      <c r="H1904" s="5" t="e">
        <f ca="1">_xlfn.FORMULATEXT(표1[[#This Row],[Q''ty]])</f>
        <v>#N/A</v>
      </c>
    </row>
    <row r="1905" spans="1:8" ht="15" hidden="1" customHeight="1" thickTop="1" x14ac:dyDescent="0.4">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hidden="1" customHeight="1" x14ac:dyDescent="0.4">
      <c r="A1906" s="6">
        <v>2026</v>
      </c>
      <c r="B1906" s="6">
        <f t="shared" si="237"/>
        <v>20</v>
      </c>
      <c r="C1906" s="13" t="s">
        <v>18</v>
      </c>
      <c r="D1906" s="2" t="s">
        <v>6</v>
      </c>
      <c r="E1906" s="14" t="str">
        <f t="shared" si="239"/>
        <v>Paint Booth</v>
      </c>
      <c r="F1906" s="22">
        <f t="shared" si="239"/>
        <v>3</v>
      </c>
      <c r="H1906" s="5" t="str">
        <f ca="1">_xlfn.FORMULATEXT(표1[[#This Row],[Q''ty]])</f>
        <v>=F1807</v>
      </c>
    </row>
    <row r="1907" spans="1:8" ht="15" hidden="1" customHeight="1" x14ac:dyDescent="0.4">
      <c r="A1907" s="6">
        <v>2026</v>
      </c>
      <c r="B1907" s="6">
        <f t="shared" si="237"/>
        <v>20</v>
      </c>
      <c r="C1907" s="13" t="s">
        <v>18</v>
      </c>
      <c r="D1907" s="2" t="s">
        <v>6</v>
      </c>
      <c r="E1907" s="14" t="str">
        <f t="shared" si="239"/>
        <v>Paint Line</v>
      </c>
      <c r="F1907" s="22">
        <f t="shared" si="239"/>
        <v>2</v>
      </c>
      <c r="H1907" s="5" t="str">
        <f ca="1">_xlfn.FORMULATEXT(표1[[#This Row],[Q''ty]])</f>
        <v>=F1808</v>
      </c>
    </row>
    <row r="1908" spans="1:8" ht="15" hidden="1" customHeight="1" x14ac:dyDescent="0.4">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hidden="1" customHeight="1" x14ac:dyDescent="0.4">
      <c r="A1909" s="6">
        <v>2026</v>
      </c>
      <c r="B1909" s="6">
        <f t="shared" si="237"/>
        <v>20</v>
      </c>
      <c r="C1909" s="13" t="s">
        <v>18</v>
      </c>
      <c r="D1909" s="2" t="s">
        <v>6</v>
      </c>
      <c r="E1909" s="14" t="str">
        <f t="shared" si="239"/>
        <v>L/W Machine</v>
      </c>
      <c r="F1909" s="22">
        <f t="shared" si="239"/>
        <v>2</v>
      </c>
      <c r="H1909" s="5" t="str">
        <f ca="1">_xlfn.FORMULATEXT(표1[[#This Row],[Q''ty]])</f>
        <v>=F1810</v>
      </c>
    </row>
    <row r="1910" spans="1:8" ht="15" hidden="1" customHeight="1" x14ac:dyDescent="0.4">
      <c r="A1910" s="6">
        <v>2026</v>
      </c>
      <c r="B1910" s="6">
        <f t="shared" si="237"/>
        <v>20</v>
      </c>
      <c r="C1910" s="13" t="s">
        <v>18</v>
      </c>
      <c r="D1910" s="2" t="s">
        <v>6</v>
      </c>
      <c r="E1910" s="14" t="str">
        <f t="shared" si="239"/>
        <v>C/W Machine</v>
      </c>
      <c r="F1910" s="22">
        <f t="shared" si="239"/>
        <v>3</v>
      </c>
      <c r="H1910" s="5" t="str">
        <f ca="1">_xlfn.FORMULATEXT(표1[[#This Row],[Q''ty]])</f>
        <v>=F1811</v>
      </c>
    </row>
    <row r="1911" spans="1:8" ht="15" hidden="1" customHeight="1" x14ac:dyDescent="0.4">
      <c r="A1911" s="6">
        <v>2026</v>
      </c>
      <c r="B1911" s="6">
        <f t="shared" si="237"/>
        <v>20</v>
      </c>
      <c r="C1911" s="13" t="s">
        <v>18</v>
      </c>
      <c r="D1911" s="2" t="s">
        <v>12</v>
      </c>
      <c r="E1911" s="14" t="str">
        <f t="shared" ref="E1911:E1926" si="240">E1812</f>
        <v>BT GT</v>
      </c>
      <c r="F1911" s="22"/>
      <c r="H1911" s="5" t="e">
        <f ca="1">_xlfn.FORMULATEXT(표1[[#This Row],[Q''ty]])</f>
        <v>#N/A</v>
      </c>
    </row>
    <row r="1912" spans="1:8" ht="15" hidden="1" customHeight="1" x14ac:dyDescent="0.4">
      <c r="A1912" s="6">
        <v>2026</v>
      </c>
      <c r="B1912" s="6">
        <f t="shared" si="237"/>
        <v>20</v>
      </c>
      <c r="C1912" s="13" t="s">
        <v>18</v>
      </c>
      <c r="D1912" s="2" t="s">
        <v>12</v>
      </c>
      <c r="E1912" s="14" t="str">
        <f t="shared" si="240"/>
        <v>WT GT</v>
      </c>
      <c r="F1912" s="22"/>
      <c r="H1912" s="5" t="e">
        <f ca="1">_xlfn.FORMULATEXT(표1[[#This Row],[Q''ty]])</f>
        <v>#N/A</v>
      </c>
    </row>
    <row r="1913" spans="1:8" ht="15" hidden="1" customHeight="1" x14ac:dyDescent="0.4">
      <c r="A1913" s="6">
        <v>2026</v>
      </c>
      <c r="B1913" s="6">
        <f t="shared" si="237"/>
        <v>20</v>
      </c>
      <c r="C1913" s="13" t="s">
        <v>18</v>
      </c>
      <c r="D1913" s="2" t="s">
        <v>12</v>
      </c>
      <c r="E1913" s="14" t="str">
        <f t="shared" si="240"/>
        <v>Bending</v>
      </c>
      <c r="F1913" s="22"/>
      <c r="H1913" s="5" t="e">
        <f ca="1">_xlfn.FORMULATEXT(표1[[#This Row],[Q''ty]])</f>
        <v>#N/A</v>
      </c>
    </row>
    <row r="1914" spans="1:8" ht="15" hidden="1" customHeight="1" x14ac:dyDescent="0.4">
      <c r="A1914" s="6">
        <v>2026</v>
      </c>
      <c r="B1914" s="6">
        <f t="shared" si="237"/>
        <v>20</v>
      </c>
      <c r="C1914" s="13" t="s">
        <v>18</v>
      </c>
      <c r="D1914" s="2" t="s">
        <v>12</v>
      </c>
      <c r="E1914" s="14" t="str">
        <f t="shared" si="240"/>
        <v>L/W</v>
      </c>
      <c r="F1914" s="22"/>
      <c r="H1914" s="5" t="e">
        <f ca="1">_xlfn.FORMULATEXT(표1[[#This Row],[Q''ty]])</f>
        <v>#N/A</v>
      </c>
    </row>
    <row r="1915" spans="1:8" ht="15" hidden="1" customHeight="1" thickBot="1" x14ac:dyDescent="0.45">
      <c r="A1915" s="15">
        <v>2026</v>
      </c>
      <c r="B1915" s="15">
        <f t="shared" si="237"/>
        <v>20</v>
      </c>
      <c r="C1915" s="16" t="s">
        <v>18</v>
      </c>
      <c r="D1915" s="17" t="s">
        <v>12</v>
      </c>
      <c r="E1915" s="18" t="str">
        <f t="shared" si="240"/>
        <v>C/W</v>
      </c>
      <c r="F1915" s="23"/>
      <c r="H1915" s="5" t="e">
        <f ca="1">_xlfn.FORMULATEXT(표1[[#This Row],[Q''ty]])</f>
        <v>#N/A</v>
      </c>
    </row>
    <row r="1916" spans="1:8" ht="15" hidden="1" customHeight="1" thickTop="1" x14ac:dyDescent="0.4">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hidden="1" customHeight="1" x14ac:dyDescent="0.4">
      <c r="A1917" s="6">
        <v>2026</v>
      </c>
      <c r="B1917" s="6">
        <f t="shared" si="237"/>
        <v>20</v>
      </c>
      <c r="C1917" s="13" t="s">
        <v>19</v>
      </c>
      <c r="D1917" s="2" t="s">
        <v>6</v>
      </c>
      <c r="E1917" s="14" t="str">
        <f t="shared" si="240"/>
        <v>Paint Booth</v>
      </c>
      <c r="F1917" s="22">
        <f t="shared" si="241"/>
        <v>22</v>
      </c>
      <c r="H1917" s="5" t="str">
        <f ca="1">_xlfn.FORMULATEXT(표1[[#This Row],[Q''ty]])</f>
        <v>=F1818</v>
      </c>
    </row>
    <row r="1918" spans="1:8" ht="15" hidden="1" customHeight="1" x14ac:dyDescent="0.4">
      <c r="A1918" s="6">
        <v>2026</v>
      </c>
      <c r="B1918" s="6">
        <f t="shared" si="237"/>
        <v>20</v>
      </c>
      <c r="C1918" s="13" t="s">
        <v>19</v>
      </c>
      <c r="D1918" s="2" t="s">
        <v>6</v>
      </c>
      <c r="E1918" s="14" t="str">
        <f t="shared" si="240"/>
        <v>Paint Line</v>
      </c>
      <c r="F1918" s="22">
        <f t="shared" si="241"/>
        <v>6</v>
      </c>
      <c r="H1918" s="5" t="str">
        <f ca="1">_xlfn.FORMULATEXT(표1[[#This Row],[Q''ty]])</f>
        <v>=F1819</v>
      </c>
    </row>
    <row r="1919" spans="1:8" ht="15" hidden="1" customHeight="1" x14ac:dyDescent="0.4">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hidden="1" customHeight="1" x14ac:dyDescent="0.4">
      <c r="A1920" s="6">
        <v>2026</v>
      </c>
      <c r="B1920" s="6">
        <f t="shared" si="237"/>
        <v>20</v>
      </c>
      <c r="C1920" s="13" t="s">
        <v>19</v>
      </c>
      <c r="D1920" s="2" t="s">
        <v>6</v>
      </c>
      <c r="E1920" s="14" t="str">
        <f t="shared" si="240"/>
        <v>L/W Machine</v>
      </c>
      <c r="F1920" s="22">
        <f t="shared" si="241"/>
        <v>10</v>
      </c>
      <c r="H1920" s="5" t="str">
        <f ca="1">_xlfn.FORMULATEXT(표1[[#This Row],[Q''ty]])</f>
        <v>=F1821</v>
      </c>
    </row>
    <row r="1921" spans="1:8" ht="15" hidden="1" customHeight="1" x14ac:dyDescent="0.4">
      <c r="A1921" s="6">
        <v>2026</v>
      </c>
      <c r="B1921" s="6">
        <f t="shared" si="237"/>
        <v>20</v>
      </c>
      <c r="C1921" s="13" t="s">
        <v>19</v>
      </c>
      <c r="D1921" s="2" t="s">
        <v>6</v>
      </c>
      <c r="E1921" s="14" t="str">
        <f t="shared" si="240"/>
        <v>C/W Machine</v>
      </c>
      <c r="F1921" s="22">
        <f t="shared" si="241"/>
        <v>12</v>
      </c>
      <c r="H1921" s="5" t="str">
        <f ca="1">_xlfn.FORMULATEXT(표1[[#This Row],[Q''ty]])</f>
        <v>=F1822</v>
      </c>
    </row>
    <row r="1922" spans="1:8" ht="15" hidden="1" customHeight="1" x14ac:dyDescent="0.4">
      <c r="A1922" s="6">
        <v>2026</v>
      </c>
      <c r="B1922" s="6">
        <f t="shared" si="237"/>
        <v>20</v>
      </c>
      <c r="C1922" s="13" t="s">
        <v>19</v>
      </c>
      <c r="D1922" s="2" t="s">
        <v>12</v>
      </c>
      <c r="E1922" s="14" t="str">
        <f t="shared" si="240"/>
        <v>BT GT</v>
      </c>
      <c r="F1922" s="22"/>
      <c r="H1922" s="5" t="e">
        <f ca="1">_xlfn.FORMULATEXT(표1[[#This Row],[Q''ty]])</f>
        <v>#N/A</v>
      </c>
    </row>
    <row r="1923" spans="1:8" ht="15" hidden="1" customHeight="1" x14ac:dyDescent="0.4">
      <c r="A1923" s="6">
        <v>2026</v>
      </c>
      <c r="B1923" s="6">
        <f t="shared" si="237"/>
        <v>20</v>
      </c>
      <c r="C1923" s="13" t="s">
        <v>19</v>
      </c>
      <c r="D1923" s="2" t="s">
        <v>12</v>
      </c>
      <c r="E1923" s="14" t="str">
        <f t="shared" si="240"/>
        <v>WT GT</v>
      </c>
      <c r="F1923" s="22"/>
      <c r="H1923" s="5" t="e">
        <f ca="1">_xlfn.FORMULATEXT(표1[[#This Row],[Q''ty]])</f>
        <v>#N/A</v>
      </c>
    </row>
    <row r="1924" spans="1:8" ht="15" hidden="1" customHeight="1" x14ac:dyDescent="0.4">
      <c r="A1924" s="6">
        <v>2026</v>
      </c>
      <c r="B1924" s="6">
        <f t="shared" si="237"/>
        <v>20</v>
      </c>
      <c r="C1924" s="13" t="s">
        <v>19</v>
      </c>
      <c r="D1924" s="2" t="s">
        <v>12</v>
      </c>
      <c r="E1924" s="14" t="str">
        <f t="shared" si="240"/>
        <v>Bending</v>
      </c>
      <c r="F1924" s="22"/>
      <c r="H1924" s="5" t="e">
        <f ca="1">_xlfn.FORMULATEXT(표1[[#This Row],[Q''ty]])</f>
        <v>#N/A</v>
      </c>
    </row>
    <row r="1925" spans="1:8" ht="15" hidden="1" customHeight="1" x14ac:dyDescent="0.4">
      <c r="A1925" s="6">
        <v>2026</v>
      </c>
      <c r="B1925" s="6">
        <f t="shared" si="237"/>
        <v>20</v>
      </c>
      <c r="C1925" s="13" t="s">
        <v>19</v>
      </c>
      <c r="D1925" s="2" t="s">
        <v>12</v>
      </c>
      <c r="E1925" s="14" t="str">
        <f t="shared" si="240"/>
        <v>L/W</v>
      </c>
      <c r="F1925" s="22"/>
      <c r="H1925" s="5" t="e">
        <f ca="1">_xlfn.FORMULATEXT(표1[[#This Row],[Q''ty]])</f>
        <v>#N/A</v>
      </c>
    </row>
    <row r="1926" spans="1:8" ht="15" hidden="1" customHeight="1" thickBot="1" x14ac:dyDescent="0.45">
      <c r="A1926" s="15">
        <v>2026</v>
      </c>
      <c r="B1926" s="15">
        <f t="shared" si="237"/>
        <v>20</v>
      </c>
      <c r="C1926" s="16" t="s">
        <v>19</v>
      </c>
      <c r="D1926" s="17" t="s">
        <v>12</v>
      </c>
      <c r="E1926" s="18" t="str">
        <f t="shared" si="240"/>
        <v>C/W</v>
      </c>
      <c r="F1926" s="23"/>
      <c r="H1926" s="5" t="e">
        <f ca="1">_xlfn.FORMULATEXT(표1[[#This Row],[Q''ty]])</f>
        <v>#N/A</v>
      </c>
    </row>
    <row r="1927" spans="1:8" ht="15" hidden="1" customHeight="1" thickTop="1" x14ac:dyDescent="0.4">
      <c r="A1927" s="6">
        <v>2026</v>
      </c>
      <c r="B1927" s="6">
        <f t="shared" si="237"/>
        <v>20</v>
      </c>
      <c r="C1927" s="13" t="s">
        <v>25</v>
      </c>
      <c r="D1927" s="2" t="s">
        <v>6</v>
      </c>
      <c r="E1927" s="14" t="s">
        <v>7</v>
      </c>
      <c r="F1927" s="22">
        <f t="shared" ref="F1927:F1932" si="242">F1828</f>
        <v>3</v>
      </c>
      <c r="H1927" s="5" t="str">
        <f ca="1">_xlfn.FORMULATEXT(표1[[#This Row],[Q''ty]])</f>
        <v>=F1828</v>
      </c>
    </row>
    <row r="1928" spans="1:8" ht="15" hidden="1" customHeight="1" x14ac:dyDescent="0.4">
      <c r="A1928" s="6">
        <v>2026</v>
      </c>
      <c r="B1928" s="6">
        <f t="shared" si="237"/>
        <v>20</v>
      </c>
      <c r="C1928" s="13" t="s">
        <v>25</v>
      </c>
      <c r="D1928" s="2" t="s">
        <v>6</v>
      </c>
      <c r="E1928" s="14" t="s">
        <v>8</v>
      </c>
      <c r="F1928" s="22">
        <f t="shared" si="242"/>
        <v>3</v>
      </c>
      <c r="H1928" s="5" t="str">
        <f ca="1">_xlfn.FORMULATEXT(표1[[#This Row],[Q''ty]])</f>
        <v>=F1829</v>
      </c>
    </row>
    <row r="1929" spans="1:8" ht="15" hidden="1" customHeight="1" x14ac:dyDescent="0.4">
      <c r="A1929" s="6">
        <v>2026</v>
      </c>
      <c r="B1929" s="6">
        <f t="shared" si="237"/>
        <v>20</v>
      </c>
      <c r="C1929" s="13" t="s">
        <v>25</v>
      </c>
      <c r="D1929" s="2" t="s">
        <v>6</v>
      </c>
      <c r="E1929" s="14" t="s">
        <v>9</v>
      </c>
      <c r="F1929" s="22">
        <f t="shared" si="242"/>
        <v>2</v>
      </c>
      <c r="H1929" s="5" t="str">
        <f ca="1">_xlfn.FORMULATEXT(표1[[#This Row],[Q''ty]])</f>
        <v>=F1830</v>
      </c>
    </row>
    <row r="1930" spans="1:8" ht="15" hidden="1" customHeight="1" x14ac:dyDescent="0.4">
      <c r="A1930" s="6">
        <v>2026</v>
      </c>
      <c r="B1930" s="6">
        <f t="shared" si="237"/>
        <v>20</v>
      </c>
      <c r="C1930" s="13" t="s">
        <v>25</v>
      </c>
      <c r="D1930" s="2" t="s">
        <v>6</v>
      </c>
      <c r="E1930" s="14" t="s">
        <v>27</v>
      </c>
      <c r="F1930" s="22">
        <f t="shared" si="242"/>
        <v>2</v>
      </c>
      <c r="H1930" s="5" t="str">
        <f ca="1">_xlfn.FORMULATEXT(표1[[#This Row],[Q''ty]])</f>
        <v>=F1831</v>
      </c>
    </row>
    <row r="1931" spans="1:8" ht="15" hidden="1" customHeight="1" x14ac:dyDescent="0.4">
      <c r="A1931" s="6">
        <v>2026</v>
      </c>
      <c r="B1931" s="6">
        <f t="shared" si="237"/>
        <v>20</v>
      </c>
      <c r="C1931" s="13" t="s">
        <v>25</v>
      </c>
      <c r="D1931" s="2" t="s">
        <v>6</v>
      </c>
      <c r="E1931" s="14" t="s">
        <v>10</v>
      </c>
      <c r="F1931" s="22">
        <f t="shared" si="242"/>
        <v>3</v>
      </c>
      <c r="H1931" s="5" t="str">
        <f ca="1">_xlfn.FORMULATEXT(표1[[#This Row],[Q''ty]])</f>
        <v>=F1832</v>
      </c>
    </row>
    <row r="1932" spans="1:8" ht="15" hidden="1" customHeight="1" x14ac:dyDescent="0.4">
      <c r="A1932" s="6">
        <v>2026</v>
      </c>
      <c r="B1932" s="6">
        <f t="shared" si="237"/>
        <v>20</v>
      </c>
      <c r="C1932" s="13" t="s">
        <v>25</v>
      </c>
      <c r="D1932" s="2" t="s">
        <v>6</v>
      </c>
      <c r="E1932" s="14" t="s">
        <v>11</v>
      </c>
      <c r="F1932" s="22">
        <f t="shared" si="242"/>
        <v>4</v>
      </c>
      <c r="H1932" s="5" t="str">
        <f ca="1">_xlfn.FORMULATEXT(표1[[#This Row],[Q''ty]])</f>
        <v>=F1833</v>
      </c>
    </row>
    <row r="1933" spans="1:8" ht="15" hidden="1" customHeight="1" x14ac:dyDescent="0.4">
      <c r="A1933" s="6">
        <v>2026</v>
      </c>
      <c r="B1933" s="6">
        <f t="shared" si="237"/>
        <v>20</v>
      </c>
      <c r="C1933" s="13" t="s">
        <v>25</v>
      </c>
      <c r="D1933" s="2" t="s">
        <v>12</v>
      </c>
      <c r="E1933" s="14" t="s">
        <v>13</v>
      </c>
      <c r="F1933" s="22"/>
      <c r="H1933" s="5" t="e">
        <f ca="1">_xlfn.FORMULATEXT(표1[[#This Row],[Q''ty]])</f>
        <v>#N/A</v>
      </c>
    </row>
    <row r="1934" spans="1:8" ht="15" hidden="1" customHeight="1" x14ac:dyDescent="0.4">
      <c r="A1934" s="6">
        <v>2026</v>
      </c>
      <c r="B1934" s="6">
        <f t="shared" si="237"/>
        <v>20</v>
      </c>
      <c r="C1934" s="13" t="s">
        <v>25</v>
      </c>
      <c r="D1934" s="2" t="s">
        <v>12</v>
      </c>
      <c r="E1934" s="14" t="s">
        <v>14</v>
      </c>
      <c r="F1934" s="22"/>
      <c r="H1934" s="5" t="e">
        <f ca="1">_xlfn.FORMULATEXT(표1[[#This Row],[Q''ty]])</f>
        <v>#N/A</v>
      </c>
    </row>
    <row r="1935" spans="1:8" ht="15" hidden="1" customHeight="1" x14ac:dyDescent="0.4">
      <c r="A1935" s="6">
        <v>2026</v>
      </c>
      <c r="B1935" s="6">
        <f t="shared" si="237"/>
        <v>20</v>
      </c>
      <c r="C1935" s="13" t="s">
        <v>25</v>
      </c>
      <c r="D1935" s="2" t="s">
        <v>12</v>
      </c>
      <c r="E1935" s="14" t="s">
        <v>15</v>
      </c>
      <c r="F1935" s="22"/>
      <c r="H1935" s="5" t="e">
        <f ca="1">_xlfn.FORMULATEXT(표1[[#This Row],[Q''ty]])</f>
        <v>#N/A</v>
      </c>
    </row>
    <row r="1936" spans="1:8" ht="15" hidden="1" customHeight="1" x14ac:dyDescent="0.4">
      <c r="A1936" s="6">
        <v>2026</v>
      </c>
      <c r="B1936" s="6">
        <f t="shared" si="237"/>
        <v>20</v>
      </c>
      <c r="C1936" s="13" t="s">
        <v>25</v>
      </c>
      <c r="D1936" s="2" t="s">
        <v>12</v>
      </c>
      <c r="E1936" s="14" t="s">
        <v>16</v>
      </c>
      <c r="F1936" s="22"/>
      <c r="H1936" s="5" t="e">
        <f ca="1">_xlfn.FORMULATEXT(표1[[#This Row],[Q''ty]])</f>
        <v>#N/A</v>
      </c>
    </row>
    <row r="1937" spans="1:8" ht="15" hidden="1" customHeight="1" thickBot="1" x14ac:dyDescent="0.45">
      <c r="A1937" s="15">
        <v>2026</v>
      </c>
      <c r="B1937" s="15">
        <f t="shared" si="237"/>
        <v>20</v>
      </c>
      <c r="C1937" s="16" t="s">
        <v>25</v>
      </c>
      <c r="D1937" s="17" t="s">
        <v>12</v>
      </c>
      <c r="E1937" s="18" t="s">
        <v>17</v>
      </c>
      <c r="F1937" s="23"/>
      <c r="H1937" s="5" t="e">
        <f ca="1">_xlfn.FORMULATEXT(표1[[#This Row],[Q''ty]])</f>
        <v>#N/A</v>
      </c>
    </row>
    <row r="1938" spans="1:8" ht="15" hidden="1" customHeight="1" thickTop="1" x14ac:dyDescent="0.4">
      <c r="A1938" s="6">
        <v>2026</v>
      </c>
      <c r="B1938" s="6">
        <f t="shared" si="237"/>
        <v>20</v>
      </c>
      <c r="C1938" s="13" t="s">
        <v>26</v>
      </c>
      <c r="D1938" s="2" t="s">
        <v>6</v>
      </c>
      <c r="E1938" s="14" t="s">
        <v>7</v>
      </c>
      <c r="F1938" s="22">
        <f t="shared" ref="F1938:F1943" si="243">F1839</f>
        <v>6</v>
      </c>
      <c r="H1938" s="5" t="str">
        <f ca="1">_xlfn.FORMULATEXT(표1[[#This Row],[Q''ty]])</f>
        <v>=F1839</v>
      </c>
    </row>
    <row r="1939" spans="1:8" ht="15" hidden="1" customHeight="1" x14ac:dyDescent="0.4">
      <c r="A1939" s="6">
        <v>2026</v>
      </c>
      <c r="B1939" s="6">
        <f t="shared" si="237"/>
        <v>20</v>
      </c>
      <c r="C1939" s="13" t="s">
        <v>26</v>
      </c>
      <c r="D1939" s="2" t="s">
        <v>6</v>
      </c>
      <c r="E1939" s="14" t="s">
        <v>8</v>
      </c>
      <c r="F1939" s="22">
        <f t="shared" si="243"/>
        <v>4</v>
      </c>
      <c r="H1939" s="5" t="str">
        <f ca="1">_xlfn.FORMULATEXT(표1[[#This Row],[Q''ty]])</f>
        <v>=F1840</v>
      </c>
    </row>
    <row r="1940" spans="1:8" ht="15" hidden="1" customHeight="1" x14ac:dyDescent="0.4">
      <c r="A1940" s="6">
        <v>2026</v>
      </c>
      <c r="B1940" s="6">
        <f t="shared" si="237"/>
        <v>20</v>
      </c>
      <c r="C1940" s="13" t="s">
        <v>26</v>
      </c>
      <c r="D1940" s="2" t="s">
        <v>6</v>
      </c>
      <c r="E1940" s="14" t="s">
        <v>9</v>
      </c>
      <c r="F1940" s="22">
        <f t="shared" si="243"/>
        <v>2</v>
      </c>
      <c r="H1940" s="5" t="str">
        <f ca="1">_xlfn.FORMULATEXT(표1[[#This Row],[Q''ty]])</f>
        <v>=F1841</v>
      </c>
    </row>
    <row r="1941" spans="1:8" ht="15" hidden="1" customHeight="1" x14ac:dyDescent="0.4">
      <c r="A1941" s="6">
        <v>2026</v>
      </c>
      <c r="B1941" s="6">
        <f t="shared" si="237"/>
        <v>20</v>
      </c>
      <c r="C1941" s="13" t="s">
        <v>26</v>
      </c>
      <c r="D1941" s="2" t="s">
        <v>6</v>
      </c>
      <c r="E1941" s="14" t="s">
        <v>27</v>
      </c>
      <c r="F1941" s="22">
        <f t="shared" si="243"/>
        <v>3</v>
      </c>
      <c r="H1941" s="5" t="str">
        <f ca="1">_xlfn.FORMULATEXT(표1[[#This Row],[Q''ty]])</f>
        <v>=F1842</v>
      </c>
    </row>
    <row r="1942" spans="1:8" ht="15" hidden="1" customHeight="1" x14ac:dyDescent="0.4">
      <c r="A1942" s="6">
        <v>2026</v>
      </c>
      <c r="B1942" s="6">
        <f t="shared" si="237"/>
        <v>20</v>
      </c>
      <c r="C1942" s="13" t="s">
        <v>26</v>
      </c>
      <c r="D1942" s="2" t="s">
        <v>6</v>
      </c>
      <c r="E1942" s="14" t="s">
        <v>10</v>
      </c>
      <c r="F1942" s="22">
        <f t="shared" si="243"/>
        <v>4</v>
      </c>
      <c r="H1942" s="5" t="str">
        <f ca="1">_xlfn.FORMULATEXT(표1[[#This Row],[Q''ty]])</f>
        <v>=F1843</v>
      </c>
    </row>
    <row r="1943" spans="1:8" ht="15" hidden="1" customHeight="1" x14ac:dyDescent="0.4">
      <c r="A1943" s="6">
        <v>2026</v>
      </c>
      <c r="B1943" s="6">
        <f t="shared" si="237"/>
        <v>20</v>
      </c>
      <c r="C1943" s="13" t="s">
        <v>26</v>
      </c>
      <c r="D1943" s="2" t="s">
        <v>6</v>
      </c>
      <c r="E1943" s="14" t="s">
        <v>11</v>
      </c>
      <c r="F1943" s="22">
        <f t="shared" si="243"/>
        <v>6</v>
      </c>
      <c r="H1943" s="5" t="str">
        <f ca="1">_xlfn.FORMULATEXT(표1[[#This Row],[Q''ty]])</f>
        <v>=F1844</v>
      </c>
    </row>
    <row r="1944" spans="1:8" ht="15" hidden="1" customHeight="1" x14ac:dyDescent="0.4">
      <c r="A1944" s="6">
        <v>2026</v>
      </c>
      <c r="B1944" s="6">
        <f t="shared" si="237"/>
        <v>20</v>
      </c>
      <c r="C1944" s="13" t="s">
        <v>26</v>
      </c>
      <c r="D1944" s="2" t="s">
        <v>12</v>
      </c>
      <c r="E1944" s="14" t="str">
        <f t="shared" ref="E1944:E1981" si="244">E1845</f>
        <v>BT GT</v>
      </c>
      <c r="F1944" s="22"/>
      <c r="H1944" s="5" t="e">
        <f ca="1">_xlfn.FORMULATEXT(표1[[#This Row],[Q''ty]])</f>
        <v>#N/A</v>
      </c>
    </row>
    <row r="1945" spans="1:8" ht="15" hidden="1" customHeight="1" x14ac:dyDescent="0.4">
      <c r="A1945" s="6">
        <v>2026</v>
      </c>
      <c r="B1945" s="6">
        <f t="shared" si="237"/>
        <v>20</v>
      </c>
      <c r="C1945" s="13" t="s">
        <v>26</v>
      </c>
      <c r="D1945" s="2" t="s">
        <v>12</v>
      </c>
      <c r="E1945" s="14" t="str">
        <f t="shared" si="244"/>
        <v>WT GT</v>
      </c>
      <c r="F1945" s="22"/>
      <c r="H1945" s="5" t="e">
        <f ca="1">_xlfn.FORMULATEXT(표1[[#This Row],[Q''ty]])</f>
        <v>#N/A</v>
      </c>
    </row>
    <row r="1946" spans="1:8" ht="15" hidden="1" customHeight="1" x14ac:dyDescent="0.4">
      <c r="A1946" s="6">
        <v>2026</v>
      </c>
      <c r="B1946" s="6">
        <f t="shared" si="237"/>
        <v>20</v>
      </c>
      <c r="C1946" s="13" t="s">
        <v>26</v>
      </c>
      <c r="D1946" s="2" t="s">
        <v>12</v>
      </c>
      <c r="E1946" s="14" t="str">
        <f t="shared" si="244"/>
        <v>Bending</v>
      </c>
      <c r="F1946" s="22"/>
      <c r="H1946" s="5" t="e">
        <f ca="1">_xlfn.FORMULATEXT(표1[[#This Row],[Q''ty]])</f>
        <v>#N/A</v>
      </c>
    </row>
    <row r="1947" spans="1:8" ht="15" hidden="1" customHeight="1" x14ac:dyDescent="0.4">
      <c r="A1947" s="6">
        <v>2026</v>
      </c>
      <c r="B1947" s="6">
        <f t="shared" si="237"/>
        <v>20</v>
      </c>
      <c r="C1947" s="13" t="s">
        <v>26</v>
      </c>
      <c r="D1947" s="2" t="s">
        <v>12</v>
      </c>
      <c r="E1947" s="14" t="str">
        <f t="shared" si="244"/>
        <v>L/W</v>
      </c>
      <c r="F1947" s="22"/>
      <c r="H1947" s="5" t="e">
        <f ca="1">_xlfn.FORMULATEXT(표1[[#This Row],[Q''ty]])</f>
        <v>#N/A</v>
      </c>
    </row>
    <row r="1948" spans="1:8" ht="15" hidden="1" customHeight="1" thickBot="1" x14ac:dyDescent="0.45">
      <c r="A1948" s="15">
        <v>2026</v>
      </c>
      <c r="B1948" s="15">
        <f t="shared" ref="B1948:B1981" si="245">B1849+1</f>
        <v>20</v>
      </c>
      <c r="C1948" s="16" t="s">
        <v>26</v>
      </c>
      <c r="D1948" s="17" t="s">
        <v>12</v>
      </c>
      <c r="E1948" s="18" t="str">
        <f t="shared" si="244"/>
        <v>C/W</v>
      </c>
      <c r="F1948" s="23"/>
      <c r="H1948" s="5" t="e">
        <f ca="1">_xlfn.FORMULATEXT(표1[[#This Row],[Q''ty]])</f>
        <v>#N/A</v>
      </c>
    </row>
    <row r="1949" spans="1:8" ht="15" hidden="1" customHeight="1" thickTop="1" x14ac:dyDescent="0.4">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hidden="1" customHeight="1" x14ac:dyDescent="0.4">
      <c r="A1950" s="6">
        <v>2026</v>
      </c>
      <c r="B1950" s="6">
        <f t="shared" si="245"/>
        <v>20</v>
      </c>
      <c r="C1950" s="13" t="s">
        <v>20</v>
      </c>
      <c r="D1950" s="2" t="s">
        <v>6</v>
      </c>
      <c r="E1950" s="14" t="str">
        <f t="shared" si="244"/>
        <v>Paint Booth</v>
      </c>
      <c r="F1950" s="22">
        <f t="shared" si="246"/>
        <v>16</v>
      </c>
      <c r="H1950" s="5" t="str">
        <f ca="1">_xlfn.FORMULATEXT(표1[[#This Row],[Q''ty]])</f>
        <v>=F1851</v>
      </c>
    </row>
    <row r="1951" spans="1:8" ht="15" hidden="1" customHeight="1" x14ac:dyDescent="0.4">
      <c r="A1951" s="6">
        <v>2026</v>
      </c>
      <c r="B1951" s="6">
        <f t="shared" si="245"/>
        <v>20</v>
      </c>
      <c r="C1951" s="13" t="s">
        <v>20</v>
      </c>
      <c r="D1951" s="2" t="s">
        <v>6</v>
      </c>
      <c r="E1951" s="14" t="str">
        <f t="shared" si="244"/>
        <v>Paint Line</v>
      </c>
      <c r="F1951" s="22">
        <f t="shared" si="246"/>
        <v>8</v>
      </c>
      <c r="H1951" s="5" t="str">
        <f ca="1">_xlfn.FORMULATEXT(표1[[#This Row],[Q''ty]])</f>
        <v>=F1852</v>
      </c>
    </row>
    <row r="1952" spans="1:8" ht="15" hidden="1" customHeight="1" x14ac:dyDescent="0.4">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hidden="1" customHeight="1" x14ac:dyDescent="0.4">
      <c r="A1953" s="6">
        <v>2026</v>
      </c>
      <c r="B1953" s="6">
        <f t="shared" si="245"/>
        <v>20</v>
      </c>
      <c r="C1953" s="13" t="s">
        <v>20</v>
      </c>
      <c r="D1953" s="2" t="s">
        <v>6</v>
      </c>
      <c r="E1953" s="14" t="str">
        <f t="shared" si="244"/>
        <v>L/W Machine</v>
      </c>
      <c r="F1953" s="22">
        <f t="shared" si="246"/>
        <v>11</v>
      </c>
      <c r="H1953" s="5" t="str">
        <f ca="1">_xlfn.FORMULATEXT(표1[[#This Row],[Q''ty]])</f>
        <v>=F1854</v>
      </c>
    </row>
    <row r="1954" spans="1:8" ht="15" hidden="1" customHeight="1" x14ac:dyDescent="0.4">
      <c r="A1954" s="6">
        <v>2026</v>
      </c>
      <c r="B1954" s="6">
        <f t="shared" si="245"/>
        <v>20</v>
      </c>
      <c r="C1954" s="13" t="s">
        <v>20</v>
      </c>
      <c r="D1954" s="2" t="s">
        <v>6</v>
      </c>
      <c r="E1954" s="14" t="str">
        <f t="shared" si="244"/>
        <v>C/W Machine</v>
      </c>
      <c r="F1954" s="22">
        <f t="shared" si="246"/>
        <v>15</v>
      </c>
      <c r="H1954" s="5" t="str">
        <f ca="1">_xlfn.FORMULATEXT(표1[[#This Row],[Q''ty]])</f>
        <v>=F1855</v>
      </c>
    </row>
    <row r="1955" spans="1:8" ht="15" hidden="1" customHeight="1" x14ac:dyDescent="0.4">
      <c r="A1955" s="6">
        <v>2026</v>
      </c>
      <c r="B1955" s="6">
        <f t="shared" si="245"/>
        <v>20</v>
      </c>
      <c r="C1955" s="13" t="s">
        <v>20</v>
      </c>
      <c r="D1955" s="2" t="s">
        <v>12</v>
      </c>
      <c r="E1955" s="14" t="str">
        <f t="shared" si="244"/>
        <v>BT GT</v>
      </c>
      <c r="F1955" s="22"/>
      <c r="H1955" s="5" t="e">
        <f ca="1">_xlfn.FORMULATEXT(표1[[#This Row],[Q''ty]])</f>
        <v>#N/A</v>
      </c>
    </row>
    <row r="1956" spans="1:8" ht="15" hidden="1" customHeight="1" x14ac:dyDescent="0.4">
      <c r="A1956" s="6">
        <v>2026</v>
      </c>
      <c r="B1956" s="6">
        <f t="shared" si="245"/>
        <v>20</v>
      </c>
      <c r="C1956" s="13" t="s">
        <v>20</v>
      </c>
      <c r="D1956" s="2" t="s">
        <v>12</v>
      </c>
      <c r="E1956" s="14" t="str">
        <f t="shared" si="244"/>
        <v>WT GT</v>
      </c>
      <c r="F1956" s="22"/>
      <c r="H1956" s="5" t="e">
        <f ca="1">_xlfn.FORMULATEXT(표1[[#This Row],[Q''ty]])</f>
        <v>#N/A</v>
      </c>
    </row>
    <row r="1957" spans="1:8" ht="15" hidden="1" customHeight="1" x14ac:dyDescent="0.4">
      <c r="A1957" s="6">
        <v>2026</v>
      </c>
      <c r="B1957" s="6">
        <f t="shared" si="245"/>
        <v>20</v>
      </c>
      <c r="C1957" s="13" t="s">
        <v>20</v>
      </c>
      <c r="D1957" s="2" t="s">
        <v>12</v>
      </c>
      <c r="E1957" s="14" t="str">
        <f t="shared" si="244"/>
        <v>Bending</v>
      </c>
      <c r="F1957" s="22"/>
      <c r="H1957" s="5" t="e">
        <f ca="1">_xlfn.FORMULATEXT(표1[[#This Row],[Q''ty]])</f>
        <v>#N/A</v>
      </c>
    </row>
    <row r="1958" spans="1:8" ht="15" hidden="1" customHeight="1" x14ac:dyDescent="0.4">
      <c r="A1958" s="6">
        <v>2026</v>
      </c>
      <c r="B1958" s="6">
        <f t="shared" si="245"/>
        <v>20</v>
      </c>
      <c r="C1958" s="13" t="s">
        <v>20</v>
      </c>
      <c r="D1958" s="2" t="s">
        <v>12</v>
      </c>
      <c r="E1958" s="14" t="str">
        <f t="shared" si="244"/>
        <v>L/W</v>
      </c>
      <c r="F1958" s="22"/>
      <c r="H1958" s="5" t="e">
        <f ca="1">_xlfn.FORMULATEXT(표1[[#This Row],[Q''ty]])</f>
        <v>#N/A</v>
      </c>
    </row>
    <row r="1959" spans="1:8" ht="15" hidden="1" customHeight="1" thickBot="1" x14ac:dyDescent="0.45">
      <c r="A1959" s="15">
        <v>2026</v>
      </c>
      <c r="B1959" s="15">
        <f t="shared" si="245"/>
        <v>20</v>
      </c>
      <c r="C1959" s="16" t="s">
        <v>20</v>
      </c>
      <c r="D1959" s="17" t="s">
        <v>12</v>
      </c>
      <c r="E1959" s="18" t="str">
        <f t="shared" si="244"/>
        <v>C/W</v>
      </c>
      <c r="F1959" s="23"/>
      <c r="H1959" s="5" t="e">
        <f ca="1">_xlfn.FORMULATEXT(표1[[#This Row],[Q''ty]])</f>
        <v>#N/A</v>
      </c>
    </row>
    <row r="1960" spans="1:8" ht="15" hidden="1" customHeight="1" thickTop="1" x14ac:dyDescent="0.4">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hidden="1" customHeight="1" x14ac:dyDescent="0.4">
      <c r="A1961" s="6">
        <v>2026</v>
      </c>
      <c r="B1961" s="6">
        <f t="shared" si="245"/>
        <v>20</v>
      </c>
      <c r="C1961" s="13" t="s">
        <v>21</v>
      </c>
      <c r="D1961" s="2" t="s">
        <v>6</v>
      </c>
      <c r="E1961" s="14" t="str">
        <f t="shared" si="244"/>
        <v>Paint Booth</v>
      </c>
      <c r="F1961" s="22">
        <f t="shared" si="247"/>
        <v>4</v>
      </c>
      <c r="H1961" s="5" t="str">
        <f ca="1">_xlfn.FORMULATEXT(표1[[#This Row],[Q''ty]])</f>
        <v>=F1862</v>
      </c>
    </row>
    <row r="1962" spans="1:8" ht="15" hidden="1" customHeight="1" x14ac:dyDescent="0.4">
      <c r="A1962" s="6">
        <v>2026</v>
      </c>
      <c r="B1962" s="6">
        <f t="shared" si="245"/>
        <v>20</v>
      </c>
      <c r="C1962" s="13" t="s">
        <v>21</v>
      </c>
      <c r="D1962" s="2" t="s">
        <v>6</v>
      </c>
      <c r="E1962" s="14" t="str">
        <f t="shared" si="244"/>
        <v>Paint Line</v>
      </c>
      <c r="F1962" s="22">
        <f t="shared" si="247"/>
        <v>4</v>
      </c>
      <c r="H1962" s="5" t="str">
        <f ca="1">_xlfn.FORMULATEXT(표1[[#This Row],[Q''ty]])</f>
        <v>=F1863</v>
      </c>
    </row>
    <row r="1963" spans="1:8" ht="15" hidden="1" customHeight="1" x14ac:dyDescent="0.4">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hidden="1" customHeight="1" x14ac:dyDescent="0.4">
      <c r="A1964" s="6">
        <v>2026</v>
      </c>
      <c r="B1964" s="6">
        <f t="shared" si="245"/>
        <v>20</v>
      </c>
      <c r="C1964" s="13" t="s">
        <v>21</v>
      </c>
      <c r="D1964" s="2" t="s">
        <v>6</v>
      </c>
      <c r="E1964" s="14" t="str">
        <f t="shared" si="244"/>
        <v>L/W Machine</v>
      </c>
      <c r="F1964" s="22">
        <f t="shared" si="247"/>
        <v>4</v>
      </c>
      <c r="H1964" s="5" t="str">
        <f ca="1">_xlfn.FORMULATEXT(표1[[#This Row],[Q''ty]])</f>
        <v>=F1865</v>
      </c>
    </row>
    <row r="1965" spans="1:8" ht="15" hidden="1" customHeight="1" x14ac:dyDescent="0.4">
      <c r="A1965" s="6">
        <v>2026</v>
      </c>
      <c r="B1965" s="6">
        <f t="shared" si="245"/>
        <v>20</v>
      </c>
      <c r="C1965" s="13" t="s">
        <v>21</v>
      </c>
      <c r="D1965" s="2" t="s">
        <v>6</v>
      </c>
      <c r="E1965" s="14" t="str">
        <f t="shared" si="244"/>
        <v>C/W Machine</v>
      </c>
      <c r="F1965" s="22">
        <f t="shared" si="247"/>
        <v>6.5</v>
      </c>
      <c r="H1965" s="5" t="str">
        <f ca="1">_xlfn.FORMULATEXT(표1[[#This Row],[Q''ty]])</f>
        <v>=F1866</v>
      </c>
    </row>
    <row r="1966" spans="1:8" ht="15" hidden="1" customHeight="1" x14ac:dyDescent="0.4">
      <c r="A1966" s="6">
        <v>2026</v>
      </c>
      <c r="B1966" s="6">
        <f t="shared" si="245"/>
        <v>20</v>
      </c>
      <c r="C1966" s="13" t="s">
        <v>21</v>
      </c>
      <c r="D1966" s="2" t="s">
        <v>12</v>
      </c>
      <c r="E1966" s="14" t="str">
        <f t="shared" si="244"/>
        <v>BT GT</v>
      </c>
      <c r="F1966" s="22"/>
      <c r="H1966" s="5" t="e">
        <f ca="1">_xlfn.FORMULATEXT(표1[[#This Row],[Q''ty]])</f>
        <v>#N/A</v>
      </c>
    </row>
    <row r="1967" spans="1:8" ht="15" hidden="1" customHeight="1" x14ac:dyDescent="0.4">
      <c r="A1967" s="6">
        <v>2026</v>
      </c>
      <c r="B1967" s="6">
        <f t="shared" si="245"/>
        <v>20</v>
      </c>
      <c r="C1967" s="13" t="s">
        <v>21</v>
      </c>
      <c r="D1967" s="2" t="s">
        <v>12</v>
      </c>
      <c r="E1967" s="14" t="str">
        <f t="shared" si="244"/>
        <v>WT GT</v>
      </c>
      <c r="F1967" s="22"/>
      <c r="H1967" s="5" t="e">
        <f ca="1">_xlfn.FORMULATEXT(표1[[#This Row],[Q''ty]])</f>
        <v>#N/A</v>
      </c>
    </row>
    <row r="1968" spans="1:8" ht="15" hidden="1" customHeight="1" x14ac:dyDescent="0.4">
      <c r="A1968" s="6">
        <v>2026</v>
      </c>
      <c r="B1968" s="6">
        <f t="shared" si="245"/>
        <v>20</v>
      </c>
      <c r="C1968" s="13" t="s">
        <v>21</v>
      </c>
      <c r="D1968" s="2" t="s">
        <v>12</v>
      </c>
      <c r="E1968" s="14" t="str">
        <f t="shared" si="244"/>
        <v>Bending</v>
      </c>
      <c r="F1968" s="22"/>
      <c r="H1968" s="5" t="e">
        <f ca="1">_xlfn.FORMULATEXT(표1[[#This Row],[Q''ty]])</f>
        <v>#N/A</v>
      </c>
    </row>
    <row r="1969" spans="1:10" ht="15" hidden="1" customHeight="1" x14ac:dyDescent="0.4">
      <c r="A1969" s="6">
        <v>2026</v>
      </c>
      <c r="B1969" s="6">
        <f t="shared" si="245"/>
        <v>20</v>
      </c>
      <c r="C1969" s="13" t="s">
        <v>21</v>
      </c>
      <c r="D1969" s="2" t="s">
        <v>12</v>
      </c>
      <c r="E1969" s="14" t="str">
        <f t="shared" si="244"/>
        <v>L/W</v>
      </c>
      <c r="F1969" s="22"/>
      <c r="H1969" s="5" t="e">
        <f ca="1">_xlfn.FORMULATEXT(표1[[#This Row],[Q''ty]])</f>
        <v>#N/A</v>
      </c>
    </row>
    <row r="1970" spans="1:10" ht="15" hidden="1" customHeight="1" thickBot="1" x14ac:dyDescent="0.45">
      <c r="A1970" s="15">
        <v>2026</v>
      </c>
      <c r="B1970" s="15">
        <f t="shared" si="245"/>
        <v>20</v>
      </c>
      <c r="C1970" s="16" t="s">
        <v>21</v>
      </c>
      <c r="D1970" s="17" t="s">
        <v>12</v>
      </c>
      <c r="E1970" s="18" t="str">
        <f t="shared" si="244"/>
        <v>C/W</v>
      </c>
      <c r="F1970" s="23"/>
      <c r="H1970" s="5" t="e">
        <f ca="1">_xlfn.FORMULATEXT(표1[[#This Row],[Q''ty]])</f>
        <v>#N/A</v>
      </c>
    </row>
    <row r="1971" spans="1:10" ht="15" hidden="1" customHeight="1" thickTop="1" x14ac:dyDescent="0.4">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10" ht="15" hidden="1" customHeight="1" x14ac:dyDescent="0.4">
      <c r="A1972" s="6">
        <v>2026</v>
      </c>
      <c r="B1972" s="6">
        <f t="shared" si="245"/>
        <v>20</v>
      </c>
      <c r="C1972" s="13" t="s">
        <v>22</v>
      </c>
      <c r="D1972" s="2" t="s">
        <v>6</v>
      </c>
      <c r="E1972" s="14" t="str">
        <f t="shared" si="244"/>
        <v>Paint Booth</v>
      </c>
      <c r="F1972" s="22">
        <f t="shared" si="248"/>
        <v>6</v>
      </c>
      <c r="H1972" s="5" t="str">
        <f ca="1">_xlfn.FORMULATEXT(표1[[#This Row],[Q''ty]])</f>
        <v>=F1873</v>
      </c>
    </row>
    <row r="1973" spans="1:10" ht="15" hidden="1" customHeight="1" x14ac:dyDescent="0.4">
      <c r="A1973" s="6">
        <v>2026</v>
      </c>
      <c r="B1973" s="6">
        <f t="shared" si="245"/>
        <v>20</v>
      </c>
      <c r="C1973" s="13" t="s">
        <v>22</v>
      </c>
      <c r="D1973" s="2" t="s">
        <v>6</v>
      </c>
      <c r="E1973" s="14" t="str">
        <f t="shared" si="244"/>
        <v>Paint Line</v>
      </c>
      <c r="F1973" s="22">
        <f t="shared" si="248"/>
        <v>4</v>
      </c>
      <c r="H1973" s="5" t="str">
        <f ca="1">_xlfn.FORMULATEXT(표1[[#This Row],[Q''ty]])</f>
        <v>=F1874</v>
      </c>
    </row>
    <row r="1974" spans="1:10" ht="15" hidden="1" customHeight="1" x14ac:dyDescent="0.4">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10" ht="15" hidden="1" customHeight="1" x14ac:dyDescent="0.4">
      <c r="A1975" s="6">
        <v>2026</v>
      </c>
      <c r="B1975" s="6">
        <f t="shared" si="245"/>
        <v>20</v>
      </c>
      <c r="C1975" s="13" t="s">
        <v>22</v>
      </c>
      <c r="D1975" s="2" t="s">
        <v>6</v>
      </c>
      <c r="E1975" s="14" t="str">
        <f t="shared" si="244"/>
        <v>L/W Machine</v>
      </c>
      <c r="F1975" s="22">
        <f t="shared" si="248"/>
        <v>7</v>
      </c>
      <c r="H1975" s="5" t="str">
        <f ca="1">_xlfn.FORMULATEXT(표1[[#This Row],[Q''ty]])</f>
        <v>=F1876</v>
      </c>
    </row>
    <row r="1976" spans="1:10" ht="15" hidden="1" customHeight="1" x14ac:dyDescent="0.4">
      <c r="A1976" s="6">
        <v>2026</v>
      </c>
      <c r="B1976" s="6">
        <f t="shared" si="245"/>
        <v>20</v>
      </c>
      <c r="C1976" s="13" t="s">
        <v>22</v>
      </c>
      <c r="D1976" s="2" t="s">
        <v>6</v>
      </c>
      <c r="E1976" s="14" t="str">
        <f t="shared" si="244"/>
        <v>C/W Machine</v>
      </c>
      <c r="F1976" s="22">
        <f t="shared" si="248"/>
        <v>12.5</v>
      </c>
      <c r="H1976" s="5" t="str">
        <f ca="1">_xlfn.FORMULATEXT(표1[[#This Row],[Q''ty]])</f>
        <v>=F1877</v>
      </c>
    </row>
    <row r="1977" spans="1:10" ht="15" hidden="1" customHeight="1" x14ac:dyDescent="0.4">
      <c r="A1977" s="6">
        <v>2026</v>
      </c>
      <c r="B1977" s="6">
        <f t="shared" si="245"/>
        <v>20</v>
      </c>
      <c r="C1977" s="13" t="s">
        <v>22</v>
      </c>
      <c r="D1977" s="2" t="s">
        <v>12</v>
      </c>
      <c r="E1977" s="14" t="str">
        <f t="shared" si="244"/>
        <v>BT GT</v>
      </c>
      <c r="F1977" s="22"/>
      <c r="H1977" s="5" t="e">
        <f ca="1">_xlfn.FORMULATEXT(표1[[#This Row],[Q''ty]])</f>
        <v>#N/A</v>
      </c>
    </row>
    <row r="1978" spans="1:10" ht="15" hidden="1" customHeight="1" x14ac:dyDescent="0.4">
      <c r="A1978" s="6">
        <v>2026</v>
      </c>
      <c r="B1978" s="6">
        <f t="shared" si="245"/>
        <v>20</v>
      </c>
      <c r="C1978" s="13" t="s">
        <v>22</v>
      </c>
      <c r="D1978" s="2" t="s">
        <v>12</v>
      </c>
      <c r="E1978" s="14" t="str">
        <f t="shared" si="244"/>
        <v>WT GT</v>
      </c>
      <c r="F1978" s="22"/>
      <c r="H1978" s="5" t="e">
        <f ca="1">_xlfn.FORMULATEXT(표1[[#This Row],[Q''ty]])</f>
        <v>#N/A</v>
      </c>
    </row>
    <row r="1979" spans="1:10" ht="15" hidden="1" customHeight="1" x14ac:dyDescent="0.4">
      <c r="A1979" s="6">
        <v>2026</v>
      </c>
      <c r="B1979" s="6">
        <f t="shared" si="245"/>
        <v>20</v>
      </c>
      <c r="C1979" s="13" t="s">
        <v>22</v>
      </c>
      <c r="D1979" s="2" t="s">
        <v>12</v>
      </c>
      <c r="E1979" s="14" t="str">
        <f t="shared" si="244"/>
        <v>Bending</v>
      </c>
      <c r="F1979" s="22"/>
      <c r="H1979" s="5" t="e">
        <f ca="1">_xlfn.FORMULATEXT(표1[[#This Row],[Q''ty]])</f>
        <v>#N/A</v>
      </c>
    </row>
    <row r="1980" spans="1:10" ht="15" hidden="1" customHeight="1" x14ac:dyDescent="0.4">
      <c r="A1980" s="6">
        <v>2026</v>
      </c>
      <c r="B1980" s="6">
        <f t="shared" si="245"/>
        <v>20</v>
      </c>
      <c r="C1980" s="13" t="s">
        <v>22</v>
      </c>
      <c r="D1980" s="2" t="s">
        <v>12</v>
      </c>
      <c r="E1980" s="14" t="str">
        <f t="shared" si="244"/>
        <v>L/W</v>
      </c>
      <c r="F1980" s="22"/>
      <c r="H1980" s="5" t="e">
        <f ca="1">_xlfn.FORMULATEXT(표1[[#This Row],[Q''ty]])</f>
        <v>#N/A</v>
      </c>
    </row>
    <row r="1981" spans="1:10" ht="15" hidden="1" customHeight="1" thickBot="1" x14ac:dyDescent="0.45">
      <c r="A1981" s="6">
        <v>2026</v>
      </c>
      <c r="B1981" s="6">
        <f t="shared" si="245"/>
        <v>20</v>
      </c>
      <c r="C1981" s="13" t="s">
        <v>22</v>
      </c>
      <c r="D1981" s="2" t="s">
        <v>12</v>
      </c>
      <c r="E1981" s="14" t="str">
        <f t="shared" si="244"/>
        <v>C/W</v>
      </c>
      <c r="F1981" s="22"/>
      <c r="H1981" s="5" t="e">
        <f ca="1">_xlfn.FORMULATEXT(표1[[#This Row],[Q''ty]])</f>
        <v>#N/A</v>
      </c>
    </row>
    <row r="1982" spans="1:10" ht="15" hidden="1" customHeight="1" thickTop="1" x14ac:dyDescent="0.4">
      <c r="A1982" s="9">
        <v>2026</v>
      </c>
      <c r="B1982" s="9">
        <f>B1883+1</f>
        <v>21</v>
      </c>
      <c r="C1982" s="10" t="s">
        <v>28</v>
      </c>
      <c r="D1982" s="11" t="s">
        <v>6</v>
      </c>
      <c r="E1982" s="12" t="s">
        <v>7</v>
      </c>
      <c r="F1982" s="21">
        <f t="shared" ref="F1982:F1987" si="249">F1883</f>
        <v>15</v>
      </c>
      <c r="H1982" s="5" t="str">
        <f ca="1">_xlfn.FORMULATEXT(표1[[#This Row],[Q''ty]])</f>
        <v>=F1883</v>
      </c>
    </row>
    <row r="1983" spans="1:10" s="2" customFormat="1" ht="15" hidden="1" customHeight="1" x14ac:dyDescent="0.4">
      <c r="A1983" s="6">
        <v>2026</v>
      </c>
      <c r="B1983" s="6">
        <f t="shared" ref="B1983:B2046" si="250">B1884+1</f>
        <v>21</v>
      </c>
      <c r="C1983" s="13" t="s">
        <v>23</v>
      </c>
      <c r="D1983" s="2" t="s">
        <v>6</v>
      </c>
      <c r="E1983" s="14" t="s">
        <v>8</v>
      </c>
      <c r="F1983" s="22">
        <f t="shared" si="249"/>
        <v>10</v>
      </c>
      <c r="H1983" s="5" t="str">
        <f ca="1">_xlfn.FORMULATEXT(표1[[#This Row],[Q''ty]])</f>
        <v>=F1884</v>
      </c>
      <c r="I1983" s="26"/>
      <c r="J1983" s="26"/>
    </row>
    <row r="1984" spans="1:10" s="2" customFormat="1" ht="15" hidden="1" customHeight="1" x14ac:dyDescent="0.4">
      <c r="A1984" s="6">
        <v>2026</v>
      </c>
      <c r="B1984" s="6">
        <f t="shared" si="250"/>
        <v>21</v>
      </c>
      <c r="C1984" s="13" t="s">
        <v>23</v>
      </c>
      <c r="D1984" s="2" t="s">
        <v>6</v>
      </c>
      <c r="E1984" s="14" t="s">
        <v>9</v>
      </c>
      <c r="F1984" s="22">
        <f t="shared" si="249"/>
        <v>5</v>
      </c>
      <c r="H1984" s="5" t="str">
        <f ca="1">_xlfn.FORMULATEXT(표1[[#This Row],[Q''ty]])</f>
        <v>=F1885</v>
      </c>
      <c r="I1984" s="26"/>
      <c r="J1984" s="26"/>
    </row>
    <row r="1985" spans="1:10" ht="15" hidden="1" customHeight="1" x14ac:dyDescent="0.4">
      <c r="A1985" s="6">
        <v>2026</v>
      </c>
      <c r="B1985" s="6">
        <f t="shared" si="250"/>
        <v>21</v>
      </c>
      <c r="C1985" s="13" t="s">
        <v>23</v>
      </c>
      <c r="D1985" s="2" t="s">
        <v>6</v>
      </c>
      <c r="E1985" s="14" t="s">
        <v>27</v>
      </c>
      <c r="F1985" s="22">
        <f t="shared" si="249"/>
        <v>6</v>
      </c>
      <c r="H1985" s="5" t="str">
        <f ca="1">_xlfn.FORMULATEXT(표1[[#This Row],[Q''ty]])</f>
        <v>=F1886</v>
      </c>
    </row>
    <row r="1986" spans="1:10" ht="15" hidden="1" customHeight="1" x14ac:dyDescent="0.4">
      <c r="A1986" s="6">
        <v>2026</v>
      </c>
      <c r="B1986" s="6">
        <f t="shared" si="250"/>
        <v>21</v>
      </c>
      <c r="C1986" s="13" t="s">
        <v>23</v>
      </c>
      <c r="D1986" s="2" t="s">
        <v>6</v>
      </c>
      <c r="E1986" s="14" t="s">
        <v>10</v>
      </c>
      <c r="F1986" s="22">
        <f t="shared" si="249"/>
        <v>10</v>
      </c>
      <c r="H1986" s="5" t="str">
        <f ca="1">_xlfn.FORMULATEXT(표1[[#This Row],[Q''ty]])</f>
        <v>=F1887</v>
      </c>
    </row>
    <row r="1987" spans="1:10" ht="15" hidden="1" customHeight="1" x14ac:dyDescent="0.4">
      <c r="A1987" s="6">
        <v>2026</v>
      </c>
      <c r="B1987" s="6">
        <f t="shared" si="250"/>
        <v>21</v>
      </c>
      <c r="C1987" s="13" t="s">
        <v>23</v>
      </c>
      <c r="D1987" s="2" t="s">
        <v>6</v>
      </c>
      <c r="E1987" s="14" t="s">
        <v>11</v>
      </c>
      <c r="F1987" s="22">
        <f t="shared" si="249"/>
        <v>10</v>
      </c>
      <c r="H1987" s="5" t="str">
        <f ca="1">_xlfn.FORMULATEXT(표1[[#This Row],[Q''ty]])</f>
        <v>=F1888</v>
      </c>
    </row>
    <row r="1988" spans="1:10" ht="15" hidden="1" customHeight="1" x14ac:dyDescent="0.4">
      <c r="A1988" s="6">
        <v>2026</v>
      </c>
      <c r="B1988" s="6">
        <f t="shared" si="250"/>
        <v>21</v>
      </c>
      <c r="C1988" s="13" t="s">
        <v>23</v>
      </c>
      <c r="D1988" s="2" t="s">
        <v>12</v>
      </c>
      <c r="E1988" s="14" t="s">
        <v>13</v>
      </c>
      <c r="F1988" s="22"/>
      <c r="H1988" s="5" t="e">
        <f ca="1">_xlfn.FORMULATEXT(표1[[#This Row],[Q''ty]])</f>
        <v>#N/A</v>
      </c>
    </row>
    <row r="1989" spans="1:10" s="2" customFormat="1" ht="15" hidden="1" customHeight="1" x14ac:dyDescent="0.4">
      <c r="A1989" s="6">
        <v>2026</v>
      </c>
      <c r="B1989" s="6">
        <f t="shared" si="250"/>
        <v>21</v>
      </c>
      <c r="C1989" s="13" t="s">
        <v>23</v>
      </c>
      <c r="D1989" s="2" t="s">
        <v>12</v>
      </c>
      <c r="E1989" s="14" t="s">
        <v>14</v>
      </c>
      <c r="F1989" s="22"/>
      <c r="H1989" s="5" t="e">
        <f ca="1">_xlfn.FORMULATEXT(표1[[#This Row],[Q''ty]])</f>
        <v>#N/A</v>
      </c>
      <c r="I1989" s="26"/>
      <c r="J1989" s="26"/>
    </row>
    <row r="1990" spans="1:10" ht="15" hidden="1" customHeight="1" x14ac:dyDescent="0.4">
      <c r="A1990" s="6">
        <v>2026</v>
      </c>
      <c r="B1990" s="6">
        <f t="shared" si="250"/>
        <v>21</v>
      </c>
      <c r="C1990" s="13" t="s">
        <v>23</v>
      </c>
      <c r="D1990" s="2" t="s">
        <v>12</v>
      </c>
      <c r="E1990" s="14" t="s">
        <v>15</v>
      </c>
      <c r="F1990" s="22"/>
      <c r="H1990" s="5" t="e">
        <f ca="1">_xlfn.FORMULATEXT(표1[[#This Row],[Q''ty]])</f>
        <v>#N/A</v>
      </c>
    </row>
    <row r="1991" spans="1:10" ht="15" hidden="1" customHeight="1" x14ac:dyDescent="0.4">
      <c r="A1991" s="6">
        <v>2026</v>
      </c>
      <c r="B1991" s="6">
        <f t="shared" si="250"/>
        <v>21</v>
      </c>
      <c r="C1991" s="13" t="s">
        <v>23</v>
      </c>
      <c r="D1991" s="2" t="s">
        <v>12</v>
      </c>
      <c r="E1991" s="14" t="s">
        <v>16</v>
      </c>
      <c r="F1991" s="22"/>
      <c r="H1991" s="5" t="e">
        <f ca="1">_xlfn.FORMULATEXT(표1[[#This Row],[Q''ty]])</f>
        <v>#N/A</v>
      </c>
    </row>
    <row r="1992" spans="1:10" ht="15" hidden="1" customHeight="1" thickBot="1" x14ac:dyDescent="0.45">
      <c r="A1992" s="15">
        <v>2026</v>
      </c>
      <c r="B1992" s="15">
        <f t="shared" si="250"/>
        <v>21</v>
      </c>
      <c r="C1992" s="16" t="s">
        <v>23</v>
      </c>
      <c r="D1992" s="17" t="s">
        <v>12</v>
      </c>
      <c r="E1992" s="18" t="s">
        <v>17</v>
      </c>
      <c r="F1992" s="23"/>
      <c r="H1992" s="5" t="e">
        <f ca="1">_xlfn.FORMULATEXT(표1[[#This Row],[Q''ty]])</f>
        <v>#N/A</v>
      </c>
    </row>
    <row r="1993" spans="1:10" ht="15" hidden="1" customHeight="1" thickTop="1" x14ac:dyDescent="0.4">
      <c r="A1993" s="9">
        <v>2026</v>
      </c>
      <c r="B1993" s="9">
        <f t="shared" si="250"/>
        <v>21</v>
      </c>
      <c r="C1993" s="10" t="s">
        <v>29</v>
      </c>
      <c r="D1993" s="11" t="s">
        <v>6</v>
      </c>
      <c r="E1993" s="12" t="s">
        <v>7</v>
      </c>
      <c r="F1993" s="21">
        <f t="shared" ref="F1993:F1998" si="251">F1894</f>
        <v>14</v>
      </c>
      <c r="H1993" s="5" t="str">
        <f ca="1">_xlfn.FORMULATEXT(표1[[#This Row],[Q''ty]])</f>
        <v>=F1894</v>
      </c>
    </row>
    <row r="1994" spans="1:10" s="2" customFormat="1" ht="15" hidden="1" customHeight="1" x14ac:dyDescent="0.4">
      <c r="A1994" s="6">
        <v>2026</v>
      </c>
      <c r="B1994" s="6">
        <f t="shared" si="250"/>
        <v>21</v>
      </c>
      <c r="C1994" s="13" t="s">
        <v>24</v>
      </c>
      <c r="D1994" s="2" t="s">
        <v>6</v>
      </c>
      <c r="E1994" s="14" t="s">
        <v>8</v>
      </c>
      <c r="F1994" s="22">
        <f t="shared" si="251"/>
        <v>8</v>
      </c>
      <c r="H1994" s="5" t="str">
        <f ca="1">_xlfn.FORMULATEXT(표1[[#This Row],[Q''ty]])</f>
        <v>=F1895</v>
      </c>
      <c r="I1994" s="26"/>
      <c r="J1994" s="26"/>
    </row>
    <row r="1995" spans="1:10" s="2" customFormat="1" ht="15" hidden="1" customHeight="1" x14ac:dyDescent="0.4">
      <c r="A1995" s="6">
        <v>2026</v>
      </c>
      <c r="B1995" s="6">
        <f t="shared" si="250"/>
        <v>21</v>
      </c>
      <c r="C1995" s="13" t="s">
        <v>24</v>
      </c>
      <c r="D1995" s="2" t="s">
        <v>6</v>
      </c>
      <c r="E1995" s="14" t="s">
        <v>9</v>
      </c>
      <c r="F1995" s="22">
        <f t="shared" si="251"/>
        <v>4</v>
      </c>
      <c r="H1995" s="5" t="str">
        <f ca="1">_xlfn.FORMULATEXT(표1[[#This Row],[Q''ty]])</f>
        <v>=F1896</v>
      </c>
      <c r="I1995" s="26"/>
      <c r="J1995" s="26"/>
    </row>
    <row r="1996" spans="1:10" ht="15" hidden="1" customHeight="1" x14ac:dyDescent="0.4">
      <c r="A1996" s="6">
        <v>2026</v>
      </c>
      <c r="B1996" s="6">
        <f t="shared" si="250"/>
        <v>21</v>
      </c>
      <c r="C1996" s="13" t="s">
        <v>24</v>
      </c>
      <c r="D1996" s="2" t="s">
        <v>6</v>
      </c>
      <c r="E1996" s="14" t="s">
        <v>27</v>
      </c>
      <c r="F1996" s="22">
        <f t="shared" si="251"/>
        <v>3</v>
      </c>
      <c r="H1996" s="5" t="str">
        <f ca="1">_xlfn.FORMULATEXT(표1[[#This Row],[Q''ty]])</f>
        <v>=F1897</v>
      </c>
    </row>
    <row r="1997" spans="1:10" ht="15" hidden="1" customHeight="1" x14ac:dyDescent="0.4">
      <c r="A1997" s="6">
        <v>2026</v>
      </c>
      <c r="B1997" s="6">
        <f t="shared" si="250"/>
        <v>21</v>
      </c>
      <c r="C1997" s="13" t="s">
        <v>24</v>
      </c>
      <c r="D1997" s="2" t="s">
        <v>6</v>
      </c>
      <c r="E1997" s="14" t="s">
        <v>10</v>
      </c>
      <c r="F1997" s="22">
        <f t="shared" si="251"/>
        <v>6</v>
      </c>
      <c r="H1997" s="5" t="str">
        <f ca="1">_xlfn.FORMULATEXT(표1[[#This Row],[Q''ty]])</f>
        <v>=F1898</v>
      </c>
    </row>
    <row r="1998" spans="1:10" ht="15" hidden="1" customHeight="1" x14ac:dyDescent="0.4">
      <c r="A1998" s="6">
        <v>2026</v>
      </c>
      <c r="B1998" s="6">
        <f t="shared" si="250"/>
        <v>21</v>
      </c>
      <c r="C1998" s="13" t="s">
        <v>24</v>
      </c>
      <c r="D1998" s="2" t="s">
        <v>6</v>
      </c>
      <c r="E1998" s="14" t="s">
        <v>11</v>
      </c>
      <c r="F1998" s="22">
        <f t="shared" si="251"/>
        <v>8.8000000000000007</v>
      </c>
      <c r="H1998" s="5" t="str">
        <f ca="1">_xlfn.FORMULATEXT(표1[[#This Row],[Q''ty]])</f>
        <v>=F1899</v>
      </c>
    </row>
    <row r="1999" spans="1:10" ht="15" hidden="1" customHeight="1" x14ac:dyDescent="0.4">
      <c r="A1999" s="6">
        <v>2026</v>
      </c>
      <c r="B1999" s="6">
        <f t="shared" si="250"/>
        <v>21</v>
      </c>
      <c r="C1999" s="13" t="s">
        <v>24</v>
      </c>
      <c r="D1999" s="2" t="s">
        <v>12</v>
      </c>
      <c r="E1999" s="14" t="s">
        <v>13</v>
      </c>
      <c r="F1999" s="22"/>
      <c r="H1999" s="5" t="e">
        <f ca="1">_xlfn.FORMULATEXT(표1[[#This Row],[Q''ty]])</f>
        <v>#N/A</v>
      </c>
    </row>
    <row r="2000" spans="1:10" s="2" customFormat="1" ht="15" hidden="1" customHeight="1" x14ac:dyDescent="0.4">
      <c r="A2000" s="6">
        <v>2026</v>
      </c>
      <c r="B2000" s="6">
        <f t="shared" si="250"/>
        <v>21</v>
      </c>
      <c r="C2000" s="13" t="s">
        <v>24</v>
      </c>
      <c r="D2000" s="2" t="s">
        <v>12</v>
      </c>
      <c r="E2000" s="14" t="s">
        <v>14</v>
      </c>
      <c r="F2000" s="22"/>
      <c r="H2000" s="5" t="e">
        <f ca="1">_xlfn.FORMULATEXT(표1[[#This Row],[Q''ty]])</f>
        <v>#N/A</v>
      </c>
      <c r="I2000" s="26"/>
      <c r="J2000" s="26"/>
    </row>
    <row r="2001" spans="1:8" ht="15" hidden="1" customHeight="1" x14ac:dyDescent="0.4">
      <c r="A2001" s="6">
        <v>2026</v>
      </c>
      <c r="B2001" s="6">
        <f t="shared" si="250"/>
        <v>21</v>
      </c>
      <c r="C2001" s="13" t="s">
        <v>24</v>
      </c>
      <c r="D2001" s="2" t="s">
        <v>12</v>
      </c>
      <c r="E2001" s="14" t="s">
        <v>15</v>
      </c>
      <c r="F2001" s="22"/>
      <c r="H2001" s="5" t="e">
        <f ca="1">_xlfn.FORMULATEXT(표1[[#This Row],[Q''ty]])</f>
        <v>#N/A</v>
      </c>
    </row>
    <row r="2002" spans="1:8" ht="15" hidden="1" customHeight="1" x14ac:dyDescent="0.4">
      <c r="A2002" s="6">
        <v>2026</v>
      </c>
      <c r="B2002" s="6">
        <f t="shared" si="250"/>
        <v>21</v>
      </c>
      <c r="C2002" s="13" t="s">
        <v>24</v>
      </c>
      <c r="D2002" s="2" t="s">
        <v>12</v>
      </c>
      <c r="E2002" s="14" t="s">
        <v>16</v>
      </c>
      <c r="F2002" s="22"/>
      <c r="H2002" s="5" t="e">
        <f ca="1">_xlfn.FORMULATEXT(표1[[#This Row],[Q''ty]])</f>
        <v>#N/A</v>
      </c>
    </row>
    <row r="2003" spans="1:8" ht="15" hidden="1" customHeight="1" thickBot="1" x14ac:dyDescent="0.45">
      <c r="A2003" s="15">
        <v>2026</v>
      </c>
      <c r="B2003" s="15">
        <f t="shared" si="250"/>
        <v>21</v>
      </c>
      <c r="C2003" s="16" t="s">
        <v>24</v>
      </c>
      <c r="D2003" s="17" t="s">
        <v>12</v>
      </c>
      <c r="E2003" s="18" t="s">
        <v>17</v>
      </c>
      <c r="F2003" s="23"/>
      <c r="H2003" s="5" t="e">
        <f ca="1">_xlfn.FORMULATEXT(표1[[#This Row],[Q''ty]])</f>
        <v>#N/A</v>
      </c>
    </row>
    <row r="2004" spans="1:8" ht="15" hidden="1" customHeight="1" thickTop="1" x14ac:dyDescent="0.4">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hidden="1" customHeight="1" x14ac:dyDescent="0.4">
      <c r="A2005" s="6">
        <v>2026</v>
      </c>
      <c r="B2005" s="6">
        <f t="shared" si="250"/>
        <v>21</v>
      </c>
      <c r="C2005" s="13" t="s">
        <v>18</v>
      </c>
      <c r="D2005" s="2" t="s">
        <v>6</v>
      </c>
      <c r="E2005" s="14" t="str">
        <f t="shared" si="252"/>
        <v>Paint Booth</v>
      </c>
      <c r="F2005" s="22">
        <f t="shared" si="252"/>
        <v>3</v>
      </c>
      <c r="H2005" s="5" t="str">
        <f ca="1">_xlfn.FORMULATEXT(표1[[#This Row],[Q''ty]])</f>
        <v>=F1906</v>
      </c>
    </row>
    <row r="2006" spans="1:8" ht="15" hidden="1" customHeight="1" x14ac:dyDescent="0.4">
      <c r="A2006" s="6">
        <v>2026</v>
      </c>
      <c r="B2006" s="6">
        <f t="shared" si="250"/>
        <v>21</v>
      </c>
      <c r="C2006" s="13" t="s">
        <v>18</v>
      </c>
      <c r="D2006" s="2" t="s">
        <v>6</v>
      </c>
      <c r="E2006" s="14" t="str">
        <f t="shared" si="252"/>
        <v>Paint Line</v>
      </c>
      <c r="F2006" s="22">
        <f t="shared" si="252"/>
        <v>2</v>
      </c>
      <c r="H2006" s="5" t="str">
        <f ca="1">_xlfn.FORMULATEXT(표1[[#This Row],[Q''ty]])</f>
        <v>=F1907</v>
      </c>
    </row>
    <row r="2007" spans="1:8" ht="15" hidden="1" customHeight="1" x14ac:dyDescent="0.4">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hidden="1" customHeight="1" x14ac:dyDescent="0.4">
      <c r="A2008" s="6">
        <v>2026</v>
      </c>
      <c r="B2008" s="6">
        <f t="shared" si="250"/>
        <v>21</v>
      </c>
      <c r="C2008" s="13" t="s">
        <v>18</v>
      </c>
      <c r="D2008" s="2" t="s">
        <v>6</v>
      </c>
      <c r="E2008" s="14" t="str">
        <f t="shared" si="252"/>
        <v>L/W Machine</v>
      </c>
      <c r="F2008" s="22">
        <f t="shared" si="252"/>
        <v>2</v>
      </c>
      <c r="H2008" s="5" t="str">
        <f ca="1">_xlfn.FORMULATEXT(표1[[#This Row],[Q''ty]])</f>
        <v>=F1909</v>
      </c>
    </row>
    <row r="2009" spans="1:8" ht="15" hidden="1" customHeight="1" x14ac:dyDescent="0.4">
      <c r="A2009" s="6">
        <v>2026</v>
      </c>
      <c r="B2009" s="6">
        <f t="shared" si="250"/>
        <v>21</v>
      </c>
      <c r="C2009" s="13" t="s">
        <v>18</v>
      </c>
      <c r="D2009" s="2" t="s">
        <v>6</v>
      </c>
      <c r="E2009" s="14" t="str">
        <f t="shared" si="252"/>
        <v>C/W Machine</v>
      </c>
      <c r="F2009" s="22">
        <f t="shared" si="252"/>
        <v>3</v>
      </c>
      <c r="H2009" s="5" t="str">
        <f ca="1">_xlfn.FORMULATEXT(표1[[#This Row],[Q''ty]])</f>
        <v>=F1910</v>
      </c>
    </row>
    <row r="2010" spans="1:8" ht="15" hidden="1" customHeight="1" x14ac:dyDescent="0.4">
      <c r="A2010" s="6">
        <v>2026</v>
      </c>
      <c r="B2010" s="6">
        <f t="shared" si="250"/>
        <v>21</v>
      </c>
      <c r="C2010" s="13" t="s">
        <v>18</v>
      </c>
      <c r="D2010" s="2" t="s">
        <v>12</v>
      </c>
      <c r="E2010" s="14" t="str">
        <f t="shared" ref="E2010:E2025" si="253">E1911</f>
        <v>BT GT</v>
      </c>
      <c r="F2010" s="22"/>
      <c r="H2010" s="5" t="e">
        <f ca="1">_xlfn.FORMULATEXT(표1[[#This Row],[Q''ty]])</f>
        <v>#N/A</v>
      </c>
    </row>
    <row r="2011" spans="1:8" ht="15" hidden="1" customHeight="1" x14ac:dyDescent="0.4">
      <c r="A2011" s="6">
        <v>2026</v>
      </c>
      <c r="B2011" s="6">
        <f t="shared" si="250"/>
        <v>21</v>
      </c>
      <c r="C2011" s="13" t="s">
        <v>18</v>
      </c>
      <c r="D2011" s="2" t="s">
        <v>12</v>
      </c>
      <c r="E2011" s="14" t="str">
        <f t="shared" si="253"/>
        <v>WT GT</v>
      </c>
      <c r="F2011" s="22"/>
      <c r="H2011" s="5" t="e">
        <f ca="1">_xlfn.FORMULATEXT(표1[[#This Row],[Q''ty]])</f>
        <v>#N/A</v>
      </c>
    </row>
    <row r="2012" spans="1:8" ht="15" hidden="1" customHeight="1" x14ac:dyDescent="0.4">
      <c r="A2012" s="6">
        <v>2026</v>
      </c>
      <c r="B2012" s="6">
        <f t="shared" si="250"/>
        <v>21</v>
      </c>
      <c r="C2012" s="13" t="s">
        <v>18</v>
      </c>
      <c r="D2012" s="2" t="s">
        <v>12</v>
      </c>
      <c r="E2012" s="14" t="str">
        <f t="shared" si="253"/>
        <v>Bending</v>
      </c>
      <c r="F2012" s="22"/>
      <c r="H2012" s="5" t="e">
        <f ca="1">_xlfn.FORMULATEXT(표1[[#This Row],[Q''ty]])</f>
        <v>#N/A</v>
      </c>
    </row>
    <row r="2013" spans="1:8" ht="15" hidden="1" customHeight="1" x14ac:dyDescent="0.4">
      <c r="A2013" s="6">
        <v>2026</v>
      </c>
      <c r="B2013" s="6">
        <f t="shared" si="250"/>
        <v>21</v>
      </c>
      <c r="C2013" s="13" t="s">
        <v>18</v>
      </c>
      <c r="D2013" s="2" t="s">
        <v>12</v>
      </c>
      <c r="E2013" s="14" t="str">
        <f t="shared" si="253"/>
        <v>L/W</v>
      </c>
      <c r="F2013" s="22"/>
      <c r="H2013" s="5" t="e">
        <f ca="1">_xlfn.FORMULATEXT(표1[[#This Row],[Q''ty]])</f>
        <v>#N/A</v>
      </c>
    </row>
    <row r="2014" spans="1:8" ht="15" hidden="1" customHeight="1" thickBot="1" x14ac:dyDescent="0.45">
      <c r="A2014" s="15">
        <v>2026</v>
      </c>
      <c r="B2014" s="15">
        <f t="shared" si="250"/>
        <v>21</v>
      </c>
      <c r="C2014" s="16" t="s">
        <v>18</v>
      </c>
      <c r="D2014" s="17" t="s">
        <v>12</v>
      </c>
      <c r="E2014" s="18" t="str">
        <f t="shared" si="253"/>
        <v>C/W</v>
      </c>
      <c r="F2014" s="23"/>
      <c r="H2014" s="5" t="e">
        <f ca="1">_xlfn.FORMULATEXT(표1[[#This Row],[Q''ty]])</f>
        <v>#N/A</v>
      </c>
    </row>
    <row r="2015" spans="1:8" ht="15" hidden="1" customHeight="1" thickTop="1" x14ac:dyDescent="0.4">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hidden="1" customHeight="1" x14ac:dyDescent="0.4">
      <c r="A2016" s="6">
        <v>2026</v>
      </c>
      <c r="B2016" s="6">
        <f t="shared" si="250"/>
        <v>21</v>
      </c>
      <c r="C2016" s="13" t="s">
        <v>19</v>
      </c>
      <c r="D2016" s="2" t="s">
        <v>6</v>
      </c>
      <c r="E2016" s="14" t="str">
        <f t="shared" si="253"/>
        <v>Paint Booth</v>
      </c>
      <c r="F2016" s="22">
        <f t="shared" si="254"/>
        <v>22</v>
      </c>
      <c r="H2016" s="5" t="str">
        <f ca="1">_xlfn.FORMULATEXT(표1[[#This Row],[Q''ty]])</f>
        <v>=F1917</v>
      </c>
    </row>
    <row r="2017" spans="1:8" ht="15" hidden="1" customHeight="1" x14ac:dyDescent="0.4">
      <c r="A2017" s="6">
        <v>2026</v>
      </c>
      <c r="B2017" s="6">
        <f t="shared" si="250"/>
        <v>21</v>
      </c>
      <c r="C2017" s="13" t="s">
        <v>19</v>
      </c>
      <c r="D2017" s="2" t="s">
        <v>6</v>
      </c>
      <c r="E2017" s="14" t="str">
        <f t="shared" si="253"/>
        <v>Paint Line</v>
      </c>
      <c r="F2017" s="22">
        <f t="shared" si="254"/>
        <v>6</v>
      </c>
      <c r="H2017" s="5" t="str">
        <f ca="1">_xlfn.FORMULATEXT(표1[[#This Row],[Q''ty]])</f>
        <v>=F1918</v>
      </c>
    </row>
    <row r="2018" spans="1:8" ht="15" hidden="1" customHeight="1" x14ac:dyDescent="0.4">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hidden="1" customHeight="1" x14ac:dyDescent="0.4">
      <c r="A2019" s="6">
        <v>2026</v>
      </c>
      <c r="B2019" s="6">
        <f t="shared" si="250"/>
        <v>21</v>
      </c>
      <c r="C2019" s="13" t="s">
        <v>19</v>
      </c>
      <c r="D2019" s="2" t="s">
        <v>6</v>
      </c>
      <c r="E2019" s="14" t="str">
        <f t="shared" si="253"/>
        <v>L/W Machine</v>
      </c>
      <c r="F2019" s="22">
        <f t="shared" si="254"/>
        <v>10</v>
      </c>
      <c r="H2019" s="5" t="str">
        <f ca="1">_xlfn.FORMULATEXT(표1[[#This Row],[Q''ty]])</f>
        <v>=F1920</v>
      </c>
    </row>
    <row r="2020" spans="1:8" ht="15" hidden="1" customHeight="1" x14ac:dyDescent="0.4">
      <c r="A2020" s="6">
        <v>2026</v>
      </c>
      <c r="B2020" s="6">
        <f t="shared" si="250"/>
        <v>21</v>
      </c>
      <c r="C2020" s="13" t="s">
        <v>19</v>
      </c>
      <c r="D2020" s="2" t="s">
        <v>6</v>
      </c>
      <c r="E2020" s="14" t="str">
        <f t="shared" si="253"/>
        <v>C/W Machine</v>
      </c>
      <c r="F2020" s="22">
        <f t="shared" si="254"/>
        <v>12</v>
      </c>
      <c r="H2020" s="5" t="str">
        <f ca="1">_xlfn.FORMULATEXT(표1[[#This Row],[Q''ty]])</f>
        <v>=F1921</v>
      </c>
    </row>
    <row r="2021" spans="1:8" ht="15" hidden="1" customHeight="1" x14ac:dyDescent="0.4">
      <c r="A2021" s="6">
        <v>2026</v>
      </c>
      <c r="B2021" s="6">
        <f t="shared" si="250"/>
        <v>21</v>
      </c>
      <c r="C2021" s="13" t="s">
        <v>19</v>
      </c>
      <c r="D2021" s="2" t="s">
        <v>12</v>
      </c>
      <c r="E2021" s="14" t="str">
        <f t="shared" si="253"/>
        <v>BT GT</v>
      </c>
      <c r="F2021" s="22"/>
      <c r="H2021" s="5" t="e">
        <f ca="1">_xlfn.FORMULATEXT(표1[[#This Row],[Q''ty]])</f>
        <v>#N/A</v>
      </c>
    </row>
    <row r="2022" spans="1:8" ht="15" hidden="1" customHeight="1" x14ac:dyDescent="0.4">
      <c r="A2022" s="6">
        <v>2026</v>
      </c>
      <c r="B2022" s="6">
        <f t="shared" si="250"/>
        <v>21</v>
      </c>
      <c r="C2022" s="13" t="s">
        <v>19</v>
      </c>
      <c r="D2022" s="2" t="s">
        <v>12</v>
      </c>
      <c r="E2022" s="14" t="str">
        <f t="shared" si="253"/>
        <v>WT GT</v>
      </c>
      <c r="F2022" s="22"/>
      <c r="H2022" s="5" t="e">
        <f ca="1">_xlfn.FORMULATEXT(표1[[#This Row],[Q''ty]])</f>
        <v>#N/A</v>
      </c>
    </row>
    <row r="2023" spans="1:8" ht="15" hidden="1" customHeight="1" x14ac:dyDescent="0.4">
      <c r="A2023" s="6">
        <v>2026</v>
      </c>
      <c r="B2023" s="6">
        <f t="shared" si="250"/>
        <v>21</v>
      </c>
      <c r="C2023" s="13" t="s">
        <v>19</v>
      </c>
      <c r="D2023" s="2" t="s">
        <v>12</v>
      </c>
      <c r="E2023" s="14" t="str">
        <f t="shared" si="253"/>
        <v>Bending</v>
      </c>
      <c r="F2023" s="22"/>
      <c r="H2023" s="5" t="e">
        <f ca="1">_xlfn.FORMULATEXT(표1[[#This Row],[Q''ty]])</f>
        <v>#N/A</v>
      </c>
    </row>
    <row r="2024" spans="1:8" ht="15" hidden="1" customHeight="1" x14ac:dyDescent="0.4">
      <c r="A2024" s="6">
        <v>2026</v>
      </c>
      <c r="B2024" s="6">
        <f t="shared" si="250"/>
        <v>21</v>
      </c>
      <c r="C2024" s="13" t="s">
        <v>19</v>
      </c>
      <c r="D2024" s="2" t="s">
        <v>12</v>
      </c>
      <c r="E2024" s="14" t="str">
        <f t="shared" si="253"/>
        <v>L/W</v>
      </c>
      <c r="F2024" s="22"/>
      <c r="H2024" s="5" t="e">
        <f ca="1">_xlfn.FORMULATEXT(표1[[#This Row],[Q''ty]])</f>
        <v>#N/A</v>
      </c>
    </row>
    <row r="2025" spans="1:8" ht="15" hidden="1" customHeight="1" thickBot="1" x14ac:dyDescent="0.45">
      <c r="A2025" s="15">
        <v>2026</v>
      </c>
      <c r="B2025" s="15">
        <f t="shared" si="250"/>
        <v>21</v>
      </c>
      <c r="C2025" s="16" t="s">
        <v>19</v>
      </c>
      <c r="D2025" s="17" t="s">
        <v>12</v>
      </c>
      <c r="E2025" s="18" t="str">
        <f t="shared" si="253"/>
        <v>C/W</v>
      </c>
      <c r="F2025" s="23"/>
      <c r="H2025" s="5" t="e">
        <f ca="1">_xlfn.FORMULATEXT(표1[[#This Row],[Q''ty]])</f>
        <v>#N/A</v>
      </c>
    </row>
    <row r="2026" spans="1:8" ht="15" hidden="1" customHeight="1" thickTop="1" x14ac:dyDescent="0.4">
      <c r="A2026" s="6">
        <v>2026</v>
      </c>
      <c r="B2026" s="6">
        <f t="shared" si="250"/>
        <v>21</v>
      </c>
      <c r="C2026" s="13" t="s">
        <v>25</v>
      </c>
      <c r="D2026" s="2" t="s">
        <v>6</v>
      </c>
      <c r="E2026" s="14" t="s">
        <v>7</v>
      </c>
      <c r="F2026" s="22">
        <f t="shared" ref="F2026:F2031" si="255">F1927</f>
        <v>3</v>
      </c>
      <c r="H2026" s="5" t="str">
        <f ca="1">_xlfn.FORMULATEXT(표1[[#This Row],[Q''ty]])</f>
        <v>=F1927</v>
      </c>
    </row>
    <row r="2027" spans="1:8" ht="15" hidden="1" customHeight="1" x14ac:dyDescent="0.4">
      <c r="A2027" s="6">
        <v>2026</v>
      </c>
      <c r="B2027" s="6">
        <f t="shared" si="250"/>
        <v>21</v>
      </c>
      <c r="C2027" s="13" t="s">
        <v>25</v>
      </c>
      <c r="D2027" s="2" t="s">
        <v>6</v>
      </c>
      <c r="E2027" s="14" t="s">
        <v>8</v>
      </c>
      <c r="F2027" s="22">
        <f t="shared" si="255"/>
        <v>3</v>
      </c>
      <c r="H2027" s="5" t="str">
        <f ca="1">_xlfn.FORMULATEXT(표1[[#This Row],[Q''ty]])</f>
        <v>=F1928</v>
      </c>
    </row>
    <row r="2028" spans="1:8" ht="15" hidden="1" customHeight="1" x14ac:dyDescent="0.4">
      <c r="A2028" s="6">
        <v>2026</v>
      </c>
      <c r="B2028" s="6">
        <f t="shared" si="250"/>
        <v>21</v>
      </c>
      <c r="C2028" s="13" t="s">
        <v>25</v>
      </c>
      <c r="D2028" s="2" t="s">
        <v>6</v>
      </c>
      <c r="E2028" s="14" t="s">
        <v>9</v>
      </c>
      <c r="F2028" s="22">
        <f t="shared" si="255"/>
        <v>2</v>
      </c>
      <c r="H2028" s="5" t="str">
        <f ca="1">_xlfn.FORMULATEXT(표1[[#This Row],[Q''ty]])</f>
        <v>=F1929</v>
      </c>
    </row>
    <row r="2029" spans="1:8" ht="15" hidden="1" customHeight="1" x14ac:dyDescent="0.4">
      <c r="A2029" s="6">
        <v>2026</v>
      </c>
      <c r="B2029" s="6">
        <f t="shared" si="250"/>
        <v>21</v>
      </c>
      <c r="C2029" s="13" t="s">
        <v>25</v>
      </c>
      <c r="D2029" s="2" t="s">
        <v>6</v>
      </c>
      <c r="E2029" s="14" t="s">
        <v>27</v>
      </c>
      <c r="F2029" s="22">
        <f t="shared" si="255"/>
        <v>2</v>
      </c>
      <c r="H2029" s="5" t="str">
        <f ca="1">_xlfn.FORMULATEXT(표1[[#This Row],[Q''ty]])</f>
        <v>=F1930</v>
      </c>
    </row>
    <row r="2030" spans="1:8" ht="15" hidden="1" customHeight="1" x14ac:dyDescent="0.4">
      <c r="A2030" s="6">
        <v>2026</v>
      </c>
      <c r="B2030" s="6">
        <f t="shared" si="250"/>
        <v>21</v>
      </c>
      <c r="C2030" s="13" t="s">
        <v>25</v>
      </c>
      <c r="D2030" s="2" t="s">
        <v>6</v>
      </c>
      <c r="E2030" s="14" t="s">
        <v>10</v>
      </c>
      <c r="F2030" s="22">
        <f t="shared" si="255"/>
        <v>3</v>
      </c>
      <c r="H2030" s="5" t="str">
        <f ca="1">_xlfn.FORMULATEXT(표1[[#This Row],[Q''ty]])</f>
        <v>=F1931</v>
      </c>
    </row>
    <row r="2031" spans="1:8" ht="15" hidden="1" customHeight="1" x14ac:dyDescent="0.4">
      <c r="A2031" s="6">
        <v>2026</v>
      </c>
      <c r="B2031" s="6">
        <f t="shared" si="250"/>
        <v>21</v>
      </c>
      <c r="C2031" s="13" t="s">
        <v>25</v>
      </c>
      <c r="D2031" s="2" t="s">
        <v>6</v>
      </c>
      <c r="E2031" s="14" t="s">
        <v>11</v>
      </c>
      <c r="F2031" s="22">
        <f t="shared" si="255"/>
        <v>4</v>
      </c>
      <c r="H2031" s="5" t="str">
        <f ca="1">_xlfn.FORMULATEXT(표1[[#This Row],[Q''ty]])</f>
        <v>=F1932</v>
      </c>
    </row>
    <row r="2032" spans="1:8" ht="15" hidden="1" customHeight="1" x14ac:dyDescent="0.4">
      <c r="A2032" s="6">
        <v>2026</v>
      </c>
      <c r="B2032" s="6">
        <f t="shared" si="250"/>
        <v>21</v>
      </c>
      <c r="C2032" s="13" t="s">
        <v>25</v>
      </c>
      <c r="D2032" s="2" t="s">
        <v>12</v>
      </c>
      <c r="E2032" s="14" t="s">
        <v>13</v>
      </c>
      <c r="F2032" s="22"/>
      <c r="H2032" s="5" t="e">
        <f ca="1">_xlfn.FORMULATEXT(표1[[#This Row],[Q''ty]])</f>
        <v>#N/A</v>
      </c>
    </row>
    <row r="2033" spans="1:8" ht="15" hidden="1" customHeight="1" x14ac:dyDescent="0.4">
      <c r="A2033" s="6">
        <v>2026</v>
      </c>
      <c r="B2033" s="6">
        <f t="shared" si="250"/>
        <v>21</v>
      </c>
      <c r="C2033" s="13" t="s">
        <v>25</v>
      </c>
      <c r="D2033" s="2" t="s">
        <v>12</v>
      </c>
      <c r="E2033" s="14" t="s">
        <v>14</v>
      </c>
      <c r="F2033" s="22"/>
      <c r="H2033" s="5" t="e">
        <f ca="1">_xlfn.FORMULATEXT(표1[[#This Row],[Q''ty]])</f>
        <v>#N/A</v>
      </c>
    </row>
    <row r="2034" spans="1:8" ht="15" hidden="1" customHeight="1" x14ac:dyDescent="0.4">
      <c r="A2034" s="6">
        <v>2026</v>
      </c>
      <c r="B2034" s="6">
        <f t="shared" si="250"/>
        <v>21</v>
      </c>
      <c r="C2034" s="13" t="s">
        <v>25</v>
      </c>
      <c r="D2034" s="2" t="s">
        <v>12</v>
      </c>
      <c r="E2034" s="14" t="s">
        <v>15</v>
      </c>
      <c r="F2034" s="22"/>
      <c r="H2034" s="5" t="e">
        <f ca="1">_xlfn.FORMULATEXT(표1[[#This Row],[Q''ty]])</f>
        <v>#N/A</v>
      </c>
    </row>
    <row r="2035" spans="1:8" ht="15" hidden="1" customHeight="1" x14ac:dyDescent="0.4">
      <c r="A2035" s="6">
        <v>2026</v>
      </c>
      <c r="B2035" s="6">
        <f t="shared" si="250"/>
        <v>21</v>
      </c>
      <c r="C2035" s="13" t="s">
        <v>25</v>
      </c>
      <c r="D2035" s="2" t="s">
        <v>12</v>
      </c>
      <c r="E2035" s="14" t="s">
        <v>16</v>
      </c>
      <c r="F2035" s="22"/>
      <c r="H2035" s="5" t="e">
        <f ca="1">_xlfn.FORMULATEXT(표1[[#This Row],[Q''ty]])</f>
        <v>#N/A</v>
      </c>
    </row>
    <row r="2036" spans="1:8" ht="15" hidden="1" customHeight="1" thickBot="1" x14ac:dyDescent="0.45">
      <c r="A2036" s="15">
        <v>2026</v>
      </c>
      <c r="B2036" s="15">
        <f t="shared" si="250"/>
        <v>21</v>
      </c>
      <c r="C2036" s="16" t="s">
        <v>25</v>
      </c>
      <c r="D2036" s="17" t="s">
        <v>12</v>
      </c>
      <c r="E2036" s="18" t="s">
        <v>17</v>
      </c>
      <c r="F2036" s="23"/>
      <c r="H2036" s="5" t="e">
        <f ca="1">_xlfn.FORMULATEXT(표1[[#This Row],[Q''ty]])</f>
        <v>#N/A</v>
      </c>
    </row>
    <row r="2037" spans="1:8" ht="15" hidden="1" customHeight="1" thickTop="1" x14ac:dyDescent="0.4">
      <c r="A2037" s="6">
        <v>2026</v>
      </c>
      <c r="B2037" s="6">
        <f t="shared" si="250"/>
        <v>21</v>
      </c>
      <c r="C2037" s="13" t="s">
        <v>26</v>
      </c>
      <c r="D2037" s="2" t="s">
        <v>6</v>
      </c>
      <c r="E2037" s="14" t="s">
        <v>7</v>
      </c>
      <c r="F2037" s="22">
        <f t="shared" ref="F2037:F2042" si="256">F1938</f>
        <v>6</v>
      </c>
      <c r="H2037" s="5" t="str">
        <f ca="1">_xlfn.FORMULATEXT(표1[[#This Row],[Q''ty]])</f>
        <v>=F1938</v>
      </c>
    </row>
    <row r="2038" spans="1:8" ht="15" hidden="1" customHeight="1" x14ac:dyDescent="0.4">
      <c r="A2038" s="6">
        <v>2026</v>
      </c>
      <c r="B2038" s="6">
        <f t="shared" si="250"/>
        <v>21</v>
      </c>
      <c r="C2038" s="13" t="s">
        <v>26</v>
      </c>
      <c r="D2038" s="2" t="s">
        <v>6</v>
      </c>
      <c r="E2038" s="14" t="s">
        <v>8</v>
      </c>
      <c r="F2038" s="22">
        <f t="shared" si="256"/>
        <v>4</v>
      </c>
      <c r="H2038" s="5" t="str">
        <f ca="1">_xlfn.FORMULATEXT(표1[[#This Row],[Q''ty]])</f>
        <v>=F1939</v>
      </c>
    </row>
    <row r="2039" spans="1:8" ht="15" hidden="1" customHeight="1" x14ac:dyDescent="0.4">
      <c r="A2039" s="6">
        <v>2026</v>
      </c>
      <c r="B2039" s="6">
        <f t="shared" si="250"/>
        <v>21</v>
      </c>
      <c r="C2039" s="13" t="s">
        <v>26</v>
      </c>
      <c r="D2039" s="2" t="s">
        <v>6</v>
      </c>
      <c r="E2039" s="14" t="s">
        <v>9</v>
      </c>
      <c r="F2039" s="22">
        <f t="shared" si="256"/>
        <v>2</v>
      </c>
      <c r="H2039" s="5" t="str">
        <f ca="1">_xlfn.FORMULATEXT(표1[[#This Row],[Q''ty]])</f>
        <v>=F1940</v>
      </c>
    </row>
    <row r="2040" spans="1:8" ht="15" hidden="1" customHeight="1" x14ac:dyDescent="0.4">
      <c r="A2040" s="6">
        <v>2026</v>
      </c>
      <c r="B2040" s="6">
        <f t="shared" si="250"/>
        <v>21</v>
      </c>
      <c r="C2040" s="13" t="s">
        <v>26</v>
      </c>
      <c r="D2040" s="2" t="s">
        <v>6</v>
      </c>
      <c r="E2040" s="14" t="s">
        <v>27</v>
      </c>
      <c r="F2040" s="22">
        <f t="shared" si="256"/>
        <v>3</v>
      </c>
      <c r="H2040" s="5" t="str">
        <f ca="1">_xlfn.FORMULATEXT(표1[[#This Row],[Q''ty]])</f>
        <v>=F1941</v>
      </c>
    </row>
    <row r="2041" spans="1:8" ht="15" hidden="1" customHeight="1" x14ac:dyDescent="0.4">
      <c r="A2041" s="6">
        <v>2026</v>
      </c>
      <c r="B2041" s="6">
        <f t="shared" si="250"/>
        <v>21</v>
      </c>
      <c r="C2041" s="13" t="s">
        <v>26</v>
      </c>
      <c r="D2041" s="2" t="s">
        <v>6</v>
      </c>
      <c r="E2041" s="14" t="s">
        <v>10</v>
      </c>
      <c r="F2041" s="22">
        <f t="shared" si="256"/>
        <v>4</v>
      </c>
      <c r="H2041" s="5" t="str">
        <f ca="1">_xlfn.FORMULATEXT(표1[[#This Row],[Q''ty]])</f>
        <v>=F1942</v>
      </c>
    </row>
    <row r="2042" spans="1:8" ht="15" hidden="1" customHeight="1" x14ac:dyDescent="0.4">
      <c r="A2042" s="6">
        <v>2026</v>
      </c>
      <c r="B2042" s="6">
        <f t="shared" si="250"/>
        <v>21</v>
      </c>
      <c r="C2042" s="13" t="s">
        <v>26</v>
      </c>
      <c r="D2042" s="2" t="s">
        <v>6</v>
      </c>
      <c r="E2042" s="14" t="s">
        <v>11</v>
      </c>
      <c r="F2042" s="22">
        <f t="shared" si="256"/>
        <v>6</v>
      </c>
      <c r="H2042" s="5" t="str">
        <f ca="1">_xlfn.FORMULATEXT(표1[[#This Row],[Q''ty]])</f>
        <v>=F1943</v>
      </c>
    </row>
    <row r="2043" spans="1:8" ht="15" hidden="1" customHeight="1" x14ac:dyDescent="0.4">
      <c r="A2043" s="6">
        <v>2026</v>
      </c>
      <c r="B2043" s="6">
        <f t="shared" si="250"/>
        <v>21</v>
      </c>
      <c r="C2043" s="13" t="s">
        <v>26</v>
      </c>
      <c r="D2043" s="2" t="s">
        <v>12</v>
      </c>
      <c r="E2043" s="14" t="str">
        <f t="shared" ref="E2043:E2080" si="257">E1944</f>
        <v>BT GT</v>
      </c>
      <c r="F2043" s="22"/>
      <c r="H2043" s="5" t="e">
        <f ca="1">_xlfn.FORMULATEXT(표1[[#This Row],[Q''ty]])</f>
        <v>#N/A</v>
      </c>
    </row>
    <row r="2044" spans="1:8" ht="15" hidden="1" customHeight="1" x14ac:dyDescent="0.4">
      <c r="A2044" s="6">
        <v>2026</v>
      </c>
      <c r="B2044" s="6">
        <f t="shared" si="250"/>
        <v>21</v>
      </c>
      <c r="C2044" s="13" t="s">
        <v>26</v>
      </c>
      <c r="D2044" s="2" t="s">
        <v>12</v>
      </c>
      <c r="E2044" s="14" t="str">
        <f t="shared" si="257"/>
        <v>WT GT</v>
      </c>
      <c r="F2044" s="22"/>
      <c r="H2044" s="5" t="e">
        <f ca="1">_xlfn.FORMULATEXT(표1[[#This Row],[Q''ty]])</f>
        <v>#N/A</v>
      </c>
    </row>
    <row r="2045" spans="1:8" ht="15" hidden="1" customHeight="1" x14ac:dyDescent="0.4">
      <c r="A2045" s="6">
        <v>2026</v>
      </c>
      <c r="B2045" s="6">
        <f t="shared" si="250"/>
        <v>21</v>
      </c>
      <c r="C2045" s="13" t="s">
        <v>26</v>
      </c>
      <c r="D2045" s="2" t="s">
        <v>12</v>
      </c>
      <c r="E2045" s="14" t="str">
        <f t="shared" si="257"/>
        <v>Bending</v>
      </c>
      <c r="F2045" s="22"/>
      <c r="H2045" s="5" t="e">
        <f ca="1">_xlfn.FORMULATEXT(표1[[#This Row],[Q''ty]])</f>
        <v>#N/A</v>
      </c>
    </row>
    <row r="2046" spans="1:8" ht="15" hidden="1" customHeight="1" x14ac:dyDescent="0.4">
      <c r="A2046" s="6">
        <v>2026</v>
      </c>
      <c r="B2046" s="6">
        <f t="shared" si="250"/>
        <v>21</v>
      </c>
      <c r="C2046" s="13" t="s">
        <v>26</v>
      </c>
      <c r="D2046" s="2" t="s">
        <v>12</v>
      </c>
      <c r="E2046" s="14" t="str">
        <f t="shared" si="257"/>
        <v>L/W</v>
      </c>
      <c r="F2046" s="22"/>
      <c r="H2046" s="5" t="e">
        <f ca="1">_xlfn.FORMULATEXT(표1[[#This Row],[Q''ty]])</f>
        <v>#N/A</v>
      </c>
    </row>
    <row r="2047" spans="1:8" ht="15" hidden="1" customHeight="1" thickBot="1" x14ac:dyDescent="0.45">
      <c r="A2047" s="15">
        <v>2026</v>
      </c>
      <c r="B2047" s="15">
        <f t="shared" ref="B2047:B2080" si="258">B1948+1</f>
        <v>21</v>
      </c>
      <c r="C2047" s="16" t="s">
        <v>26</v>
      </c>
      <c r="D2047" s="17" t="s">
        <v>12</v>
      </c>
      <c r="E2047" s="18" t="str">
        <f t="shared" si="257"/>
        <v>C/W</v>
      </c>
      <c r="F2047" s="23"/>
      <c r="H2047" s="5" t="e">
        <f ca="1">_xlfn.FORMULATEXT(표1[[#This Row],[Q''ty]])</f>
        <v>#N/A</v>
      </c>
    </row>
    <row r="2048" spans="1:8" ht="15" hidden="1" customHeight="1" thickTop="1" x14ac:dyDescent="0.4">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hidden="1" customHeight="1" x14ac:dyDescent="0.4">
      <c r="A2049" s="6">
        <v>2026</v>
      </c>
      <c r="B2049" s="6">
        <f t="shared" si="258"/>
        <v>21</v>
      </c>
      <c r="C2049" s="13" t="s">
        <v>20</v>
      </c>
      <c r="D2049" s="2" t="s">
        <v>6</v>
      </c>
      <c r="E2049" s="14" t="str">
        <f t="shared" si="257"/>
        <v>Paint Booth</v>
      </c>
      <c r="F2049" s="22">
        <f t="shared" si="259"/>
        <v>16</v>
      </c>
      <c r="H2049" s="5" t="str">
        <f ca="1">_xlfn.FORMULATEXT(표1[[#This Row],[Q''ty]])</f>
        <v>=F1950</v>
      </c>
    </row>
    <row r="2050" spans="1:8" ht="15" hidden="1" customHeight="1" x14ac:dyDescent="0.4">
      <c r="A2050" s="6">
        <v>2026</v>
      </c>
      <c r="B2050" s="6">
        <f t="shared" si="258"/>
        <v>21</v>
      </c>
      <c r="C2050" s="13" t="s">
        <v>20</v>
      </c>
      <c r="D2050" s="2" t="s">
        <v>6</v>
      </c>
      <c r="E2050" s="14" t="str">
        <f t="shared" si="257"/>
        <v>Paint Line</v>
      </c>
      <c r="F2050" s="22">
        <f t="shared" si="259"/>
        <v>8</v>
      </c>
      <c r="H2050" s="5" t="str">
        <f ca="1">_xlfn.FORMULATEXT(표1[[#This Row],[Q''ty]])</f>
        <v>=F1951</v>
      </c>
    </row>
    <row r="2051" spans="1:8" ht="15" hidden="1" customHeight="1" x14ac:dyDescent="0.4">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hidden="1" customHeight="1" x14ac:dyDescent="0.4">
      <c r="A2052" s="6">
        <v>2026</v>
      </c>
      <c r="B2052" s="6">
        <f t="shared" si="258"/>
        <v>21</v>
      </c>
      <c r="C2052" s="13" t="s">
        <v>20</v>
      </c>
      <c r="D2052" s="2" t="s">
        <v>6</v>
      </c>
      <c r="E2052" s="14" t="str">
        <f t="shared" si="257"/>
        <v>L/W Machine</v>
      </c>
      <c r="F2052" s="22">
        <f t="shared" si="259"/>
        <v>11</v>
      </c>
      <c r="H2052" s="5" t="str">
        <f ca="1">_xlfn.FORMULATEXT(표1[[#This Row],[Q''ty]])</f>
        <v>=F1953</v>
      </c>
    </row>
    <row r="2053" spans="1:8" ht="15" hidden="1" customHeight="1" x14ac:dyDescent="0.4">
      <c r="A2053" s="6">
        <v>2026</v>
      </c>
      <c r="B2053" s="6">
        <f t="shared" si="258"/>
        <v>21</v>
      </c>
      <c r="C2053" s="13" t="s">
        <v>20</v>
      </c>
      <c r="D2053" s="2" t="s">
        <v>6</v>
      </c>
      <c r="E2053" s="14" t="str">
        <f t="shared" si="257"/>
        <v>C/W Machine</v>
      </c>
      <c r="F2053" s="22">
        <f t="shared" si="259"/>
        <v>15</v>
      </c>
      <c r="H2053" s="5" t="str">
        <f ca="1">_xlfn.FORMULATEXT(표1[[#This Row],[Q''ty]])</f>
        <v>=F1954</v>
      </c>
    </row>
    <row r="2054" spans="1:8" ht="15" hidden="1" customHeight="1" x14ac:dyDescent="0.4">
      <c r="A2054" s="6">
        <v>2026</v>
      </c>
      <c r="B2054" s="6">
        <f t="shared" si="258"/>
        <v>21</v>
      </c>
      <c r="C2054" s="13" t="s">
        <v>20</v>
      </c>
      <c r="D2054" s="2" t="s">
        <v>12</v>
      </c>
      <c r="E2054" s="14" t="str">
        <f t="shared" si="257"/>
        <v>BT GT</v>
      </c>
      <c r="F2054" s="22"/>
      <c r="H2054" s="5" t="e">
        <f ca="1">_xlfn.FORMULATEXT(표1[[#This Row],[Q''ty]])</f>
        <v>#N/A</v>
      </c>
    </row>
    <row r="2055" spans="1:8" ht="15" hidden="1" customHeight="1" x14ac:dyDescent="0.4">
      <c r="A2055" s="6">
        <v>2026</v>
      </c>
      <c r="B2055" s="6">
        <f t="shared" si="258"/>
        <v>21</v>
      </c>
      <c r="C2055" s="13" t="s">
        <v>20</v>
      </c>
      <c r="D2055" s="2" t="s">
        <v>12</v>
      </c>
      <c r="E2055" s="14" t="str">
        <f t="shared" si="257"/>
        <v>WT GT</v>
      </c>
      <c r="F2055" s="22"/>
      <c r="H2055" s="5" t="e">
        <f ca="1">_xlfn.FORMULATEXT(표1[[#This Row],[Q''ty]])</f>
        <v>#N/A</v>
      </c>
    </row>
    <row r="2056" spans="1:8" ht="15" hidden="1" customHeight="1" x14ac:dyDescent="0.4">
      <c r="A2056" s="6">
        <v>2026</v>
      </c>
      <c r="B2056" s="6">
        <f t="shared" si="258"/>
        <v>21</v>
      </c>
      <c r="C2056" s="13" t="s">
        <v>20</v>
      </c>
      <c r="D2056" s="2" t="s">
        <v>12</v>
      </c>
      <c r="E2056" s="14" t="str">
        <f t="shared" si="257"/>
        <v>Bending</v>
      </c>
      <c r="F2056" s="22"/>
      <c r="H2056" s="5" t="e">
        <f ca="1">_xlfn.FORMULATEXT(표1[[#This Row],[Q''ty]])</f>
        <v>#N/A</v>
      </c>
    </row>
    <row r="2057" spans="1:8" ht="15" hidden="1" customHeight="1" x14ac:dyDescent="0.4">
      <c r="A2057" s="6">
        <v>2026</v>
      </c>
      <c r="B2057" s="6">
        <f t="shared" si="258"/>
        <v>21</v>
      </c>
      <c r="C2057" s="13" t="s">
        <v>20</v>
      </c>
      <c r="D2057" s="2" t="s">
        <v>12</v>
      </c>
      <c r="E2057" s="14" t="str">
        <f t="shared" si="257"/>
        <v>L/W</v>
      </c>
      <c r="F2057" s="22"/>
      <c r="H2057" s="5" t="e">
        <f ca="1">_xlfn.FORMULATEXT(표1[[#This Row],[Q''ty]])</f>
        <v>#N/A</v>
      </c>
    </row>
    <row r="2058" spans="1:8" ht="15" hidden="1" customHeight="1" thickBot="1" x14ac:dyDescent="0.45">
      <c r="A2058" s="15">
        <v>2026</v>
      </c>
      <c r="B2058" s="15">
        <f t="shared" si="258"/>
        <v>21</v>
      </c>
      <c r="C2058" s="16" t="s">
        <v>20</v>
      </c>
      <c r="D2058" s="17" t="s">
        <v>12</v>
      </c>
      <c r="E2058" s="18" t="str">
        <f t="shared" si="257"/>
        <v>C/W</v>
      </c>
      <c r="F2058" s="23"/>
      <c r="H2058" s="5" t="e">
        <f ca="1">_xlfn.FORMULATEXT(표1[[#This Row],[Q''ty]])</f>
        <v>#N/A</v>
      </c>
    </row>
    <row r="2059" spans="1:8" ht="15" hidden="1" customHeight="1" thickTop="1" x14ac:dyDescent="0.4">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hidden="1" customHeight="1" x14ac:dyDescent="0.4">
      <c r="A2060" s="6">
        <v>2026</v>
      </c>
      <c r="B2060" s="6">
        <f t="shared" si="258"/>
        <v>21</v>
      </c>
      <c r="C2060" s="13" t="s">
        <v>21</v>
      </c>
      <c r="D2060" s="2" t="s">
        <v>6</v>
      </c>
      <c r="E2060" s="14" t="str">
        <f t="shared" si="257"/>
        <v>Paint Booth</v>
      </c>
      <c r="F2060" s="22">
        <f t="shared" si="260"/>
        <v>4</v>
      </c>
      <c r="H2060" s="5" t="str">
        <f ca="1">_xlfn.FORMULATEXT(표1[[#This Row],[Q''ty]])</f>
        <v>=F1961</v>
      </c>
    </row>
    <row r="2061" spans="1:8" ht="15" hidden="1" customHeight="1" x14ac:dyDescent="0.4">
      <c r="A2061" s="6">
        <v>2026</v>
      </c>
      <c r="B2061" s="6">
        <f t="shared" si="258"/>
        <v>21</v>
      </c>
      <c r="C2061" s="13" t="s">
        <v>21</v>
      </c>
      <c r="D2061" s="2" t="s">
        <v>6</v>
      </c>
      <c r="E2061" s="14" t="str">
        <f t="shared" si="257"/>
        <v>Paint Line</v>
      </c>
      <c r="F2061" s="22">
        <f t="shared" si="260"/>
        <v>4</v>
      </c>
      <c r="H2061" s="5" t="str">
        <f ca="1">_xlfn.FORMULATEXT(표1[[#This Row],[Q''ty]])</f>
        <v>=F1962</v>
      </c>
    </row>
    <row r="2062" spans="1:8" ht="15" hidden="1" customHeight="1" x14ac:dyDescent="0.4">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hidden="1" customHeight="1" x14ac:dyDescent="0.4">
      <c r="A2063" s="6">
        <v>2026</v>
      </c>
      <c r="B2063" s="6">
        <f t="shared" si="258"/>
        <v>21</v>
      </c>
      <c r="C2063" s="13" t="s">
        <v>21</v>
      </c>
      <c r="D2063" s="2" t="s">
        <v>6</v>
      </c>
      <c r="E2063" s="14" t="str">
        <f t="shared" si="257"/>
        <v>L/W Machine</v>
      </c>
      <c r="F2063" s="22">
        <f t="shared" si="260"/>
        <v>4</v>
      </c>
      <c r="H2063" s="5" t="str">
        <f ca="1">_xlfn.FORMULATEXT(표1[[#This Row],[Q''ty]])</f>
        <v>=F1964</v>
      </c>
    </row>
    <row r="2064" spans="1:8" ht="15" hidden="1" customHeight="1" x14ac:dyDescent="0.4">
      <c r="A2064" s="6">
        <v>2026</v>
      </c>
      <c r="B2064" s="6">
        <f t="shared" si="258"/>
        <v>21</v>
      </c>
      <c r="C2064" s="13" t="s">
        <v>21</v>
      </c>
      <c r="D2064" s="2" t="s">
        <v>6</v>
      </c>
      <c r="E2064" s="14" t="str">
        <f t="shared" si="257"/>
        <v>C/W Machine</v>
      </c>
      <c r="F2064" s="22">
        <f t="shared" si="260"/>
        <v>6.5</v>
      </c>
      <c r="H2064" s="5" t="str">
        <f ca="1">_xlfn.FORMULATEXT(표1[[#This Row],[Q''ty]])</f>
        <v>=F1965</v>
      </c>
    </row>
    <row r="2065" spans="1:8" ht="15" hidden="1" customHeight="1" x14ac:dyDescent="0.4">
      <c r="A2065" s="6">
        <v>2026</v>
      </c>
      <c r="B2065" s="6">
        <f t="shared" si="258"/>
        <v>21</v>
      </c>
      <c r="C2065" s="13" t="s">
        <v>21</v>
      </c>
      <c r="D2065" s="2" t="s">
        <v>12</v>
      </c>
      <c r="E2065" s="14" t="str">
        <f t="shared" si="257"/>
        <v>BT GT</v>
      </c>
      <c r="F2065" s="22"/>
      <c r="H2065" s="5" t="e">
        <f ca="1">_xlfn.FORMULATEXT(표1[[#This Row],[Q''ty]])</f>
        <v>#N/A</v>
      </c>
    </row>
    <row r="2066" spans="1:8" ht="15" hidden="1" customHeight="1" x14ac:dyDescent="0.4">
      <c r="A2066" s="6">
        <v>2026</v>
      </c>
      <c r="B2066" s="6">
        <f t="shared" si="258"/>
        <v>21</v>
      </c>
      <c r="C2066" s="13" t="s">
        <v>21</v>
      </c>
      <c r="D2066" s="2" t="s">
        <v>12</v>
      </c>
      <c r="E2066" s="14" t="str">
        <f t="shared" si="257"/>
        <v>WT GT</v>
      </c>
      <c r="F2066" s="22"/>
      <c r="H2066" s="5" t="e">
        <f ca="1">_xlfn.FORMULATEXT(표1[[#This Row],[Q''ty]])</f>
        <v>#N/A</v>
      </c>
    </row>
    <row r="2067" spans="1:8" ht="15" hidden="1" customHeight="1" x14ac:dyDescent="0.4">
      <c r="A2067" s="6">
        <v>2026</v>
      </c>
      <c r="B2067" s="6">
        <f t="shared" si="258"/>
        <v>21</v>
      </c>
      <c r="C2067" s="13" t="s">
        <v>21</v>
      </c>
      <c r="D2067" s="2" t="s">
        <v>12</v>
      </c>
      <c r="E2067" s="14" t="str">
        <f t="shared" si="257"/>
        <v>Bending</v>
      </c>
      <c r="F2067" s="22"/>
      <c r="H2067" s="5" t="e">
        <f ca="1">_xlfn.FORMULATEXT(표1[[#This Row],[Q''ty]])</f>
        <v>#N/A</v>
      </c>
    </row>
    <row r="2068" spans="1:8" ht="15" hidden="1" customHeight="1" x14ac:dyDescent="0.4">
      <c r="A2068" s="6">
        <v>2026</v>
      </c>
      <c r="B2068" s="6">
        <f t="shared" si="258"/>
        <v>21</v>
      </c>
      <c r="C2068" s="13" t="s">
        <v>21</v>
      </c>
      <c r="D2068" s="2" t="s">
        <v>12</v>
      </c>
      <c r="E2068" s="14" t="str">
        <f t="shared" si="257"/>
        <v>L/W</v>
      </c>
      <c r="F2068" s="22"/>
      <c r="H2068" s="5" t="e">
        <f ca="1">_xlfn.FORMULATEXT(표1[[#This Row],[Q''ty]])</f>
        <v>#N/A</v>
      </c>
    </row>
    <row r="2069" spans="1:8" ht="15" hidden="1" customHeight="1" thickBot="1" x14ac:dyDescent="0.45">
      <c r="A2069" s="15">
        <v>2026</v>
      </c>
      <c r="B2069" s="15">
        <f t="shared" si="258"/>
        <v>21</v>
      </c>
      <c r="C2069" s="16" t="s">
        <v>21</v>
      </c>
      <c r="D2069" s="17" t="s">
        <v>12</v>
      </c>
      <c r="E2069" s="18" t="str">
        <f t="shared" si="257"/>
        <v>C/W</v>
      </c>
      <c r="F2069" s="23"/>
      <c r="H2069" s="5" t="e">
        <f ca="1">_xlfn.FORMULATEXT(표1[[#This Row],[Q''ty]])</f>
        <v>#N/A</v>
      </c>
    </row>
    <row r="2070" spans="1:8" ht="15" hidden="1" customHeight="1" thickTop="1" x14ac:dyDescent="0.4">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hidden="1" customHeight="1" x14ac:dyDescent="0.4">
      <c r="A2071" s="6">
        <v>2026</v>
      </c>
      <c r="B2071" s="6">
        <f t="shared" si="258"/>
        <v>21</v>
      </c>
      <c r="C2071" s="13" t="s">
        <v>22</v>
      </c>
      <c r="D2071" s="2" t="s">
        <v>6</v>
      </c>
      <c r="E2071" s="14" t="str">
        <f t="shared" si="257"/>
        <v>Paint Booth</v>
      </c>
      <c r="F2071" s="22">
        <f t="shared" si="261"/>
        <v>6</v>
      </c>
      <c r="H2071" s="5" t="str">
        <f ca="1">_xlfn.FORMULATEXT(표1[[#This Row],[Q''ty]])</f>
        <v>=F1972</v>
      </c>
    </row>
    <row r="2072" spans="1:8" ht="15" hidden="1" customHeight="1" x14ac:dyDescent="0.4">
      <c r="A2072" s="6">
        <v>2026</v>
      </c>
      <c r="B2072" s="6">
        <f t="shared" si="258"/>
        <v>21</v>
      </c>
      <c r="C2072" s="13" t="s">
        <v>22</v>
      </c>
      <c r="D2072" s="2" t="s">
        <v>6</v>
      </c>
      <c r="E2072" s="14" t="str">
        <f t="shared" si="257"/>
        <v>Paint Line</v>
      </c>
      <c r="F2072" s="22">
        <f t="shared" si="261"/>
        <v>4</v>
      </c>
      <c r="H2072" s="5" t="str">
        <f ca="1">_xlfn.FORMULATEXT(표1[[#This Row],[Q''ty]])</f>
        <v>=F1973</v>
      </c>
    </row>
    <row r="2073" spans="1:8" ht="15" hidden="1" customHeight="1" x14ac:dyDescent="0.4">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hidden="1" customHeight="1" x14ac:dyDescent="0.4">
      <c r="A2074" s="6">
        <v>2026</v>
      </c>
      <c r="B2074" s="6">
        <f t="shared" si="258"/>
        <v>21</v>
      </c>
      <c r="C2074" s="13" t="s">
        <v>22</v>
      </c>
      <c r="D2074" s="2" t="s">
        <v>6</v>
      </c>
      <c r="E2074" s="14" t="str">
        <f t="shared" si="257"/>
        <v>L/W Machine</v>
      </c>
      <c r="F2074" s="22">
        <f t="shared" si="261"/>
        <v>7</v>
      </c>
      <c r="H2074" s="5" t="str">
        <f ca="1">_xlfn.FORMULATEXT(표1[[#This Row],[Q''ty]])</f>
        <v>=F1975</v>
      </c>
    </row>
    <row r="2075" spans="1:8" ht="15" hidden="1" customHeight="1" x14ac:dyDescent="0.4">
      <c r="A2075" s="6">
        <v>2026</v>
      </c>
      <c r="B2075" s="6">
        <f t="shared" si="258"/>
        <v>21</v>
      </c>
      <c r="C2075" s="13" t="s">
        <v>22</v>
      </c>
      <c r="D2075" s="2" t="s">
        <v>6</v>
      </c>
      <c r="E2075" s="14" t="str">
        <f t="shared" si="257"/>
        <v>C/W Machine</v>
      </c>
      <c r="F2075" s="22">
        <f t="shared" si="261"/>
        <v>12.5</v>
      </c>
      <c r="H2075" s="5" t="str">
        <f ca="1">_xlfn.FORMULATEXT(표1[[#This Row],[Q''ty]])</f>
        <v>=F1976</v>
      </c>
    </row>
    <row r="2076" spans="1:8" ht="15" hidden="1" customHeight="1" x14ac:dyDescent="0.4">
      <c r="A2076" s="6">
        <v>2026</v>
      </c>
      <c r="B2076" s="6">
        <f t="shared" si="258"/>
        <v>21</v>
      </c>
      <c r="C2076" s="13" t="s">
        <v>22</v>
      </c>
      <c r="D2076" s="2" t="s">
        <v>12</v>
      </c>
      <c r="E2076" s="14" t="str">
        <f t="shared" si="257"/>
        <v>BT GT</v>
      </c>
      <c r="F2076" s="22"/>
      <c r="H2076" s="5" t="e">
        <f ca="1">_xlfn.FORMULATEXT(표1[[#This Row],[Q''ty]])</f>
        <v>#N/A</v>
      </c>
    </row>
    <row r="2077" spans="1:8" ht="15" hidden="1" customHeight="1" x14ac:dyDescent="0.4">
      <c r="A2077" s="6">
        <v>2026</v>
      </c>
      <c r="B2077" s="6">
        <f t="shared" si="258"/>
        <v>21</v>
      </c>
      <c r="C2077" s="13" t="s">
        <v>22</v>
      </c>
      <c r="D2077" s="2" t="s">
        <v>12</v>
      </c>
      <c r="E2077" s="14" t="str">
        <f t="shared" si="257"/>
        <v>WT GT</v>
      </c>
      <c r="F2077" s="22"/>
      <c r="H2077" s="5" t="e">
        <f ca="1">_xlfn.FORMULATEXT(표1[[#This Row],[Q''ty]])</f>
        <v>#N/A</v>
      </c>
    </row>
    <row r="2078" spans="1:8" ht="15" hidden="1" customHeight="1" x14ac:dyDescent="0.4">
      <c r="A2078" s="6">
        <v>2026</v>
      </c>
      <c r="B2078" s="6">
        <f t="shared" si="258"/>
        <v>21</v>
      </c>
      <c r="C2078" s="13" t="s">
        <v>22</v>
      </c>
      <c r="D2078" s="2" t="s">
        <v>12</v>
      </c>
      <c r="E2078" s="14" t="str">
        <f t="shared" si="257"/>
        <v>Bending</v>
      </c>
      <c r="F2078" s="22"/>
      <c r="H2078" s="5" t="e">
        <f ca="1">_xlfn.FORMULATEXT(표1[[#This Row],[Q''ty]])</f>
        <v>#N/A</v>
      </c>
    </row>
    <row r="2079" spans="1:8" ht="15" hidden="1" customHeight="1" x14ac:dyDescent="0.4">
      <c r="A2079" s="6">
        <v>2026</v>
      </c>
      <c r="B2079" s="6">
        <f t="shared" si="258"/>
        <v>21</v>
      </c>
      <c r="C2079" s="13" t="s">
        <v>22</v>
      </c>
      <c r="D2079" s="2" t="s">
        <v>12</v>
      </c>
      <c r="E2079" s="14" t="str">
        <f t="shared" si="257"/>
        <v>L/W</v>
      </c>
      <c r="F2079" s="22"/>
      <c r="H2079" s="5" t="e">
        <f ca="1">_xlfn.FORMULATEXT(표1[[#This Row],[Q''ty]])</f>
        <v>#N/A</v>
      </c>
    </row>
    <row r="2080" spans="1:8" ht="15" hidden="1" customHeight="1" thickBot="1" x14ac:dyDescent="0.45">
      <c r="A2080" s="6">
        <v>2026</v>
      </c>
      <c r="B2080" s="6">
        <f t="shared" si="258"/>
        <v>21</v>
      </c>
      <c r="C2080" s="13" t="s">
        <v>22</v>
      </c>
      <c r="D2080" s="2" t="s">
        <v>12</v>
      </c>
      <c r="E2080" s="14" t="str">
        <f t="shared" si="257"/>
        <v>C/W</v>
      </c>
      <c r="F2080" s="22"/>
      <c r="H2080" s="5" t="e">
        <f ca="1">_xlfn.FORMULATEXT(표1[[#This Row],[Q''ty]])</f>
        <v>#N/A</v>
      </c>
    </row>
    <row r="2081" spans="1:10" ht="15" hidden="1" customHeight="1" thickTop="1" x14ac:dyDescent="0.4">
      <c r="A2081" s="9">
        <v>2026</v>
      </c>
      <c r="B2081" s="9">
        <f>B1982+1</f>
        <v>22</v>
      </c>
      <c r="C2081" s="10" t="s">
        <v>28</v>
      </c>
      <c r="D2081" s="11" t="s">
        <v>6</v>
      </c>
      <c r="E2081" s="12" t="s">
        <v>7</v>
      </c>
      <c r="F2081" s="21">
        <f t="shared" ref="F2081:F2086" si="262">F1982</f>
        <v>15</v>
      </c>
      <c r="H2081" s="5" t="str">
        <f ca="1">_xlfn.FORMULATEXT(표1[[#This Row],[Q''ty]])</f>
        <v>=F1982</v>
      </c>
    </row>
    <row r="2082" spans="1:10" s="2" customFormat="1" ht="15" hidden="1" customHeight="1" x14ac:dyDescent="0.4">
      <c r="A2082" s="6">
        <v>2026</v>
      </c>
      <c r="B2082" s="6">
        <f t="shared" ref="B2082:B2145" si="263">B1983+1</f>
        <v>22</v>
      </c>
      <c r="C2082" s="13" t="s">
        <v>23</v>
      </c>
      <c r="D2082" s="2" t="s">
        <v>6</v>
      </c>
      <c r="E2082" s="14" t="s">
        <v>8</v>
      </c>
      <c r="F2082" s="22">
        <f t="shared" si="262"/>
        <v>10</v>
      </c>
      <c r="H2082" s="5" t="str">
        <f ca="1">_xlfn.FORMULATEXT(표1[[#This Row],[Q''ty]])</f>
        <v>=F1983</v>
      </c>
      <c r="I2082" s="26"/>
      <c r="J2082" s="26"/>
    </row>
    <row r="2083" spans="1:10" s="2" customFormat="1" ht="15" hidden="1" customHeight="1" x14ac:dyDescent="0.4">
      <c r="A2083" s="6">
        <v>2026</v>
      </c>
      <c r="B2083" s="6">
        <f t="shared" si="263"/>
        <v>22</v>
      </c>
      <c r="C2083" s="13" t="s">
        <v>23</v>
      </c>
      <c r="D2083" s="2" t="s">
        <v>6</v>
      </c>
      <c r="E2083" s="14" t="s">
        <v>9</v>
      </c>
      <c r="F2083" s="22">
        <f t="shared" si="262"/>
        <v>5</v>
      </c>
      <c r="H2083" s="5" t="str">
        <f ca="1">_xlfn.FORMULATEXT(표1[[#This Row],[Q''ty]])</f>
        <v>=F1984</v>
      </c>
      <c r="I2083" s="26"/>
      <c r="J2083" s="26"/>
    </row>
    <row r="2084" spans="1:10" ht="15" hidden="1" customHeight="1" x14ac:dyDescent="0.4">
      <c r="A2084" s="6">
        <v>2026</v>
      </c>
      <c r="B2084" s="6">
        <f t="shared" si="263"/>
        <v>22</v>
      </c>
      <c r="C2084" s="13" t="s">
        <v>23</v>
      </c>
      <c r="D2084" s="2" t="s">
        <v>6</v>
      </c>
      <c r="E2084" s="14" t="s">
        <v>27</v>
      </c>
      <c r="F2084" s="22">
        <f t="shared" si="262"/>
        <v>6</v>
      </c>
      <c r="H2084" s="5" t="str">
        <f ca="1">_xlfn.FORMULATEXT(표1[[#This Row],[Q''ty]])</f>
        <v>=F1985</v>
      </c>
    </row>
    <row r="2085" spans="1:10" ht="15" hidden="1" customHeight="1" x14ac:dyDescent="0.4">
      <c r="A2085" s="6">
        <v>2026</v>
      </c>
      <c r="B2085" s="6">
        <f t="shared" si="263"/>
        <v>22</v>
      </c>
      <c r="C2085" s="13" t="s">
        <v>23</v>
      </c>
      <c r="D2085" s="2" t="s">
        <v>6</v>
      </c>
      <c r="E2085" s="14" t="s">
        <v>10</v>
      </c>
      <c r="F2085" s="22">
        <f t="shared" si="262"/>
        <v>10</v>
      </c>
      <c r="H2085" s="5" t="str">
        <f ca="1">_xlfn.FORMULATEXT(표1[[#This Row],[Q''ty]])</f>
        <v>=F1986</v>
      </c>
    </row>
    <row r="2086" spans="1:10" ht="15" hidden="1" customHeight="1" x14ac:dyDescent="0.4">
      <c r="A2086" s="6">
        <v>2026</v>
      </c>
      <c r="B2086" s="6">
        <f t="shared" si="263"/>
        <v>22</v>
      </c>
      <c r="C2086" s="13" t="s">
        <v>23</v>
      </c>
      <c r="D2086" s="2" t="s">
        <v>6</v>
      </c>
      <c r="E2086" s="14" t="s">
        <v>11</v>
      </c>
      <c r="F2086" s="22">
        <f t="shared" si="262"/>
        <v>10</v>
      </c>
      <c r="H2086" s="5" t="str">
        <f ca="1">_xlfn.FORMULATEXT(표1[[#This Row],[Q''ty]])</f>
        <v>=F1987</v>
      </c>
    </row>
    <row r="2087" spans="1:10" ht="15" hidden="1" customHeight="1" x14ac:dyDescent="0.4">
      <c r="A2087" s="6">
        <v>2026</v>
      </c>
      <c r="B2087" s="6">
        <f t="shared" si="263"/>
        <v>22</v>
      </c>
      <c r="C2087" s="13" t="s">
        <v>23</v>
      </c>
      <c r="D2087" s="2" t="s">
        <v>12</v>
      </c>
      <c r="E2087" s="14" t="s">
        <v>13</v>
      </c>
      <c r="F2087" s="22"/>
      <c r="H2087" s="5" t="e">
        <f ca="1">_xlfn.FORMULATEXT(표1[[#This Row],[Q''ty]])</f>
        <v>#N/A</v>
      </c>
    </row>
    <row r="2088" spans="1:10" s="2" customFormat="1" ht="15" hidden="1" customHeight="1" x14ac:dyDescent="0.4">
      <c r="A2088" s="6">
        <v>2026</v>
      </c>
      <c r="B2088" s="6">
        <f t="shared" si="263"/>
        <v>22</v>
      </c>
      <c r="C2088" s="13" t="s">
        <v>23</v>
      </c>
      <c r="D2088" s="2" t="s">
        <v>12</v>
      </c>
      <c r="E2088" s="14" t="s">
        <v>14</v>
      </c>
      <c r="F2088" s="22"/>
      <c r="H2088" s="5" t="e">
        <f ca="1">_xlfn.FORMULATEXT(표1[[#This Row],[Q''ty]])</f>
        <v>#N/A</v>
      </c>
      <c r="I2088" s="26"/>
      <c r="J2088" s="26"/>
    </row>
    <row r="2089" spans="1:10" ht="15" hidden="1" customHeight="1" x14ac:dyDescent="0.4">
      <c r="A2089" s="6">
        <v>2026</v>
      </c>
      <c r="B2089" s="6">
        <f t="shared" si="263"/>
        <v>22</v>
      </c>
      <c r="C2089" s="13" t="s">
        <v>23</v>
      </c>
      <c r="D2089" s="2" t="s">
        <v>12</v>
      </c>
      <c r="E2089" s="14" t="s">
        <v>15</v>
      </c>
      <c r="F2089" s="22"/>
      <c r="H2089" s="5" t="e">
        <f ca="1">_xlfn.FORMULATEXT(표1[[#This Row],[Q''ty]])</f>
        <v>#N/A</v>
      </c>
    </row>
    <row r="2090" spans="1:10" ht="15" hidden="1" customHeight="1" x14ac:dyDescent="0.4">
      <c r="A2090" s="6">
        <v>2026</v>
      </c>
      <c r="B2090" s="6">
        <f t="shared" si="263"/>
        <v>22</v>
      </c>
      <c r="C2090" s="13" t="s">
        <v>23</v>
      </c>
      <c r="D2090" s="2" t="s">
        <v>12</v>
      </c>
      <c r="E2090" s="14" t="s">
        <v>16</v>
      </c>
      <c r="F2090" s="22"/>
      <c r="H2090" s="5" t="e">
        <f ca="1">_xlfn.FORMULATEXT(표1[[#This Row],[Q''ty]])</f>
        <v>#N/A</v>
      </c>
    </row>
    <row r="2091" spans="1:10" ht="15" hidden="1" customHeight="1" thickBot="1" x14ac:dyDescent="0.45">
      <c r="A2091" s="15">
        <v>2026</v>
      </c>
      <c r="B2091" s="15">
        <f t="shared" si="263"/>
        <v>22</v>
      </c>
      <c r="C2091" s="16" t="s">
        <v>23</v>
      </c>
      <c r="D2091" s="17" t="s">
        <v>12</v>
      </c>
      <c r="E2091" s="18" t="s">
        <v>17</v>
      </c>
      <c r="F2091" s="23"/>
      <c r="H2091" s="5" t="e">
        <f ca="1">_xlfn.FORMULATEXT(표1[[#This Row],[Q''ty]])</f>
        <v>#N/A</v>
      </c>
    </row>
    <row r="2092" spans="1:10" ht="15" hidden="1" customHeight="1" thickTop="1" x14ac:dyDescent="0.4">
      <c r="A2092" s="9">
        <v>2026</v>
      </c>
      <c r="B2092" s="9">
        <f t="shared" si="263"/>
        <v>22</v>
      </c>
      <c r="C2092" s="10" t="s">
        <v>29</v>
      </c>
      <c r="D2092" s="11" t="s">
        <v>6</v>
      </c>
      <c r="E2092" s="12" t="s">
        <v>7</v>
      </c>
      <c r="F2092" s="21">
        <f t="shared" ref="F2092:F2097" si="264">F1993</f>
        <v>14</v>
      </c>
      <c r="H2092" s="5" t="str">
        <f ca="1">_xlfn.FORMULATEXT(표1[[#This Row],[Q''ty]])</f>
        <v>=F1993</v>
      </c>
    </row>
    <row r="2093" spans="1:10" s="2" customFormat="1" ht="15" hidden="1" customHeight="1" x14ac:dyDescent="0.4">
      <c r="A2093" s="6">
        <v>2026</v>
      </c>
      <c r="B2093" s="6">
        <f t="shared" si="263"/>
        <v>22</v>
      </c>
      <c r="C2093" s="13" t="s">
        <v>24</v>
      </c>
      <c r="D2093" s="2" t="s">
        <v>6</v>
      </c>
      <c r="E2093" s="14" t="s">
        <v>8</v>
      </c>
      <c r="F2093" s="22">
        <f t="shared" si="264"/>
        <v>8</v>
      </c>
      <c r="H2093" s="5" t="str">
        <f ca="1">_xlfn.FORMULATEXT(표1[[#This Row],[Q''ty]])</f>
        <v>=F1994</v>
      </c>
      <c r="I2093" s="26"/>
      <c r="J2093" s="26"/>
    </row>
    <row r="2094" spans="1:10" s="2" customFormat="1" ht="15" hidden="1" customHeight="1" x14ac:dyDescent="0.4">
      <c r="A2094" s="6">
        <v>2026</v>
      </c>
      <c r="B2094" s="6">
        <f t="shared" si="263"/>
        <v>22</v>
      </c>
      <c r="C2094" s="13" t="s">
        <v>24</v>
      </c>
      <c r="D2094" s="2" t="s">
        <v>6</v>
      </c>
      <c r="E2094" s="14" t="s">
        <v>9</v>
      </c>
      <c r="F2094" s="22">
        <f t="shared" si="264"/>
        <v>4</v>
      </c>
      <c r="H2094" s="5" t="str">
        <f ca="1">_xlfn.FORMULATEXT(표1[[#This Row],[Q''ty]])</f>
        <v>=F1995</v>
      </c>
      <c r="I2094" s="26"/>
      <c r="J2094" s="26"/>
    </row>
    <row r="2095" spans="1:10" ht="15" hidden="1" customHeight="1" x14ac:dyDescent="0.4">
      <c r="A2095" s="6">
        <v>2026</v>
      </c>
      <c r="B2095" s="6">
        <f t="shared" si="263"/>
        <v>22</v>
      </c>
      <c r="C2095" s="13" t="s">
        <v>24</v>
      </c>
      <c r="D2095" s="2" t="s">
        <v>6</v>
      </c>
      <c r="E2095" s="14" t="s">
        <v>27</v>
      </c>
      <c r="F2095" s="22">
        <f t="shared" si="264"/>
        <v>3</v>
      </c>
      <c r="H2095" s="5" t="str">
        <f ca="1">_xlfn.FORMULATEXT(표1[[#This Row],[Q''ty]])</f>
        <v>=F1996</v>
      </c>
    </row>
    <row r="2096" spans="1:10" ht="15" hidden="1" customHeight="1" x14ac:dyDescent="0.4">
      <c r="A2096" s="6">
        <v>2026</v>
      </c>
      <c r="B2096" s="6">
        <f t="shared" si="263"/>
        <v>22</v>
      </c>
      <c r="C2096" s="13" t="s">
        <v>24</v>
      </c>
      <c r="D2096" s="2" t="s">
        <v>6</v>
      </c>
      <c r="E2096" s="14" t="s">
        <v>10</v>
      </c>
      <c r="F2096" s="22">
        <f t="shared" si="264"/>
        <v>6</v>
      </c>
      <c r="H2096" s="5" t="str">
        <f ca="1">_xlfn.FORMULATEXT(표1[[#This Row],[Q''ty]])</f>
        <v>=F1997</v>
      </c>
    </row>
    <row r="2097" spans="1:10" ht="15" hidden="1" customHeight="1" x14ac:dyDescent="0.4">
      <c r="A2097" s="6">
        <v>2026</v>
      </c>
      <c r="B2097" s="6">
        <f t="shared" si="263"/>
        <v>22</v>
      </c>
      <c r="C2097" s="13" t="s">
        <v>24</v>
      </c>
      <c r="D2097" s="2" t="s">
        <v>6</v>
      </c>
      <c r="E2097" s="14" t="s">
        <v>11</v>
      </c>
      <c r="F2097" s="22">
        <f t="shared" si="264"/>
        <v>8.8000000000000007</v>
      </c>
      <c r="H2097" s="5" t="str">
        <f ca="1">_xlfn.FORMULATEXT(표1[[#This Row],[Q''ty]])</f>
        <v>=F1998</v>
      </c>
    </row>
    <row r="2098" spans="1:10" ht="15" hidden="1" customHeight="1" x14ac:dyDescent="0.4">
      <c r="A2098" s="6">
        <v>2026</v>
      </c>
      <c r="B2098" s="6">
        <f t="shared" si="263"/>
        <v>22</v>
      </c>
      <c r="C2098" s="13" t="s">
        <v>24</v>
      </c>
      <c r="D2098" s="2" t="s">
        <v>12</v>
      </c>
      <c r="E2098" s="14" t="s">
        <v>13</v>
      </c>
      <c r="F2098" s="22"/>
      <c r="H2098" s="5" t="e">
        <f ca="1">_xlfn.FORMULATEXT(표1[[#This Row],[Q''ty]])</f>
        <v>#N/A</v>
      </c>
    </row>
    <row r="2099" spans="1:10" s="2" customFormat="1" ht="15" hidden="1" customHeight="1" x14ac:dyDescent="0.4">
      <c r="A2099" s="6">
        <v>2026</v>
      </c>
      <c r="B2099" s="6">
        <f t="shared" si="263"/>
        <v>22</v>
      </c>
      <c r="C2099" s="13" t="s">
        <v>24</v>
      </c>
      <c r="D2099" s="2" t="s">
        <v>12</v>
      </c>
      <c r="E2099" s="14" t="s">
        <v>14</v>
      </c>
      <c r="F2099" s="22"/>
      <c r="H2099" s="5" t="e">
        <f ca="1">_xlfn.FORMULATEXT(표1[[#This Row],[Q''ty]])</f>
        <v>#N/A</v>
      </c>
      <c r="I2099" s="26"/>
      <c r="J2099" s="26"/>
    </row>
    <row r="2100" spans="1:10" ht="15" hidden="1" customHeight="1" x14ac:dyDescent="0.4">
      <c r="A2100" s="6">
        <v>2026</v>
      </c>
      <c r="B2100" s="6">
        <f t="shared" si="263"/>
        <v>22</v>
      </c>
      <c r="C2100" s="13" t="s">
        <v>24</v>
      </c>
      <c r="D2100" s="2" t="s">
        <v>12</v>
      </c>
      <c r="E2100" s="14" t="s">
        <v>15</v>
      </c>
      <c r="F2100" s="22"/>
      <c r="H2100" s="5" t="e">
        <f ca="1">_xlfn.FORMULATEXT(표1[[#This Row],[Q''ty]])</f>
        <v>#N/A</v>
      </c>
    </row>
    <row r="2101" spans="1:10" ht="15" hidden="1" customHeight="1" x14ac:dyDescent="0.4">
      <c r="A2101" s="6">
        <v>2026</v>
      </c>
      <c r="B2101" s="6">
        <f t="shared" si="263"/>
        <v>22</v>
      </c>
      <c r="C2101" s="13" t="s">
        <v>24</v>
      </c>
      <c r="D2101" s="2" t="s">
        <v>12</v>
      </c>
      <c r="E2101" s="14" t="s">
        <v>16</v>
      </c>
      <c r="F2101" s="22"/>
      <c r="H2101" s="5" t="e">
        <f ca="1">_xlfn.FORMULATEXT(표1[[#This Row],[Q''ty]])</f>
        <v>#N/A</v>
      </c>
    </row>
    <row r="2102" spans="1:10" ht="15" hidden="1" customHeight="1" thickBot="1" x14ac:dyDescent="0.45">
      <c r="A2102" s="15">
        <v>2026</v>
      </c>
      <c r="B2102" s="15">
        <f t="shared" si="263"/>
        <v>22</v>
      </c>
      <c r="C2102" s="16" t="s">
        <v>24</v>
      </c>
      <c r="D2102" s="17" t="s">
        <v>12</v>
      </c>
      <c r="E2102" s="18" t="s">
        <v>17</v>
      </c>
      <c r="F2102" s="23"/>
      <c r="H2102" s="5" t="e">
        <f ca="1">_xlfn.FORMULATEXT(표1[[#This Row],[Q''ty]])</f>
        <v>#N/A</v>
      </c>
    </row>
    <row r="2103" spans="1:10" ht="15" hidden="1" customHeight="1" thickTop="1" x14ac:dyDescent="0.4">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10" ht="15" hidden="1" customHeight="1" x14ac:dyDescent="0.4">
      <c r="A2104" s="6">
        <v>2026</v>
      </c>
      <c r="B2104" s="6">
        <f t="shared" si="263"/>
        <v>22</v>
      </c>
      <c r="C2104" s="13" t="s">
        <v>18</v>
      </c>
      <c r="D2104" s="2" t="s">
        <v>6</v>
      </c>
      <c r="E2104" s="14" t="str">
        <f t="shared" si="265"/>
        <v>Paint Booth</v>
      </c>
      <c r="F2104" s="22">
        <f t="shared" si="265"/>
        <v>3</v>
      </c>
      <c r="H2104" s="5" t="str">
        <f ca="1">_xlfn.FORMULATEXT(표1[[#This Row],[Q''ty]])</f>
        <v>=F2005</v>
      </c>
    </row>
    <row r="2105" spans="1:10" ht="15" hidden="1" customHeight="1" x14ac:dyDescent="0.4">
      <c r="A2105" s="6">
        <v>2026</v>
      </c>
      <c r="B2105" s="6">
        <f t="shared" si="263"/>
        <v>22</v>
      </c>
      <c r="C2105" s="13" t="s">
        <v>18</v>
      </c>
      <c r="D2105" s="2" t="s">
        <v>6</v>
      </c>
      <c r="E2105" s="14" t="str">
        <f t="shared" si="265"/>
        <v>Paint Line</v>
      </c>
      <c r="F2105" s="22">
        <f t="shared" si="265"/>
        <v>2</v>
      </c>
      <c r="H2105" s="5" t="str">
        <f ca="1">_xlfn.FORMULATEXT(표1[[#This Row],[Q''ty]])</f>
        <v>=F2006</v>
      </c>
    </row>
    <row r="2106" spans="1:10" ht="15" hidden="1" customHeight="1" x14ac:dyDescent="0.4">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10" ht="15" hidden="1" customHeight="1" x14ac:dyDescent="0.4">
      <c r="A2107" s="6">
        <v>2026</v>
      </c>
      <c r="B2107" s="6">
        <f t="shared" si="263"/>
        <v>22</v>
      </c>
      <c r="C2107" s="13" t="s">
        <v>18</v>
      </c>
      <c r="D2107" s="2" t="s">
        <v>6</v>
      </c>
      <c r="E2107" s="14" t="str">
        <f t="shared" si="265"/>
        <v>L/W Machine</v>
      </c>
      <c r="F2107" s="22">
        <f t="shared" si="265"/>
        <v>2</v>
      </c>
      <c r="H2107" s="5" t="str">
        <f ca="1">_xlfn.FORMULATEXT(표1[[#This Row],[Q''ty]])</f>
        <v>=F2008</v>
      </c>
    </row>
    <row r="2108" spans="1:10" ht="15" hidden="1" customHeight="1" x14ac:dyDescent="0.4">
      <c r="A2108" s="6">
        <v>2026</v>
      </c>
      <c r="B2108" s="6">
        <f t="shared" si="263"/>
        <v>22</v>
      </c>
      <c r="C2108" s="13" t="s">
        <v>18</v>
      </c>
      <c r="D2108" s="2" t="s">
        <v>6</v>
      </c>
      <c r="E2108" s="14" t="str">
        <f t="shared" si="265"/>
        <v>C/W Machine</v>
      </c>
      <c r="F2108" s="22">
        <f t="shared" si="265"/>
        <v>3</v>
      </c>
      <c r="H2108" s="5" t="str">
        <f ca="1">_xlfn.FORMULATEXT(표1[[#This Row],[Q''ty]])</f>
        <v>=F2009</v>
      </c>
    </row>
    <row r="2109" spans="1:10" ht="15" hidden="1" customHeight="1" x14ac:dyDescent="0.4">
      <c r="A2109" s="6">
        <v>2026</v>
      </c>
      <c r="B2109" s="6">
        <f t="shared" si="263"/>
        <v>22</v>
      </c>
      <c r="C2109" s="13" t="s">
        <v>18</v>
      </c>
      <c r="D2109" s="2" t="s">
        <v>12</v>
      </c>
      <c r="E2109" s="14" t="str">
        <f t="shared" ref="E2109:E2124" si="266">E2010</f>
        <v>BT GT</v>
      </c>
      <c r="F2109" s="22"/>
      <c r="H2109" s="5" t="e">
        <f ca="1">_xlfn.FORMULATEXT(표1[[#This Row],[Q''ty]])</f>
        <v>#N/A</v>
      </c>
    </row>
    <row r="2110" spans="1:10" ht="15" hidden="1" customHeight="1" x14ac:dyDescent="0.4">
      <c r="A2110" s="6">
        <v>2026</v>
      </c>
      <c r="B2110" s="6">
        <f t="shared" si="263"/>
        <v>22</v>
      </c>
      <c r="C2110" s="13" t="s">
        <v>18</v>
      </c>
      <c r="D2110" s="2" t="s">
        <v>12</v>
      </c>
      <c r="E2110" s="14" t="str">
        <f t="shared" si="266"/>
        <v>WT GT</v>
      </c>
      <c r="F2110" s="22"/>
      <c r="H2110" s="5" t="e">
        <f ca="1">_xlfn.FORMULATEXT(표1[[#This Row],[Q''ty]])</f>
        <v>#N/A</v>
      </c>
    </row>
    <row r="2111" spans="1:10" ht="15" hidden="1" customHeight="1" x14ac:dyDescent="0.4">
      <c r="A2111" s="6">
        <v>2026</v>
      </c>
      <c r="B2111" s="6">
        <f t="shared" si="263"/>
        <v>22</v>
      </c>
      <c r="C2111" s="13" t="s">
        <v>18</v>
      </c>
      <c r="D2111" s="2" t="s">
        <v>12</v>
      </c>
      <c r="E2111" s="14" t="str">
        <f t="shared" si="266"/>
        <v>Bending</v>
      </c>
      <c r="F2111" s="22"/>
      <c r="H2111" s="5" t="e">
        <f ca="1">_xlfn.FORMULATEXT(표1[[#This Row],[Q''ty]])</f>
        <v>#N/A</v>
      </c>
    </row>
    <row r="2112" spans="1:10" ht="15" hidden="1" customHeight="1" x14ac:dyDescent="0.4">
      <c r="A2112" s="6">
        <v>2026</v>
      </c>
      <c r="B2112" s="6">
        <f t="shared" si="263"/>
        <v>22</v>
      </c>
      <c r="C2112" s="13" t="s">
        <v>18</v>
      </c>
      <c r="D2112" s="2" t="s">
        <v>12</v>
      </c>
      <c r="E2112" s="14" t="str">
        <f t="shared" si="266"/>
        <v>L/W</v>
      </c>
      <c r="F2112" s="22"/>
      <c r="H2112" s="5" t="e">
        <f ca="1">_xlfn.FORMULATEXT(표1[[#This Row],[Q''ty]])</f>
        <v>#N/A</v>
      </c>
    </row>
    <row r="2113" spans="1:8" ht="15" hidden="1" customHeight="1" thickBot="1" x14ac:dyDescent="0.45">
      <c r="A2113" s="15">
        <v>2026</v>
      </c>
      <c r="B2113" s="15">
        <f t="shared" si="263"/>
        <v>22</v>
      </c>
      <c r="C2113" s="16" t="s">
        <v>18</v>
      </c>
      <c r="D2113" s="17" t="s">
        <v>12</v>
      </c>
      <c r="E2113" s="18" t="str">
        <f t="shared" si="266"/>
        <v>C/W</v>
      </c>
      <c r="F2113" s="23"/>
      <c r="H2113" s="5" t="e">
        <f ca="1">_xlfn.FORMULATEXT(표1[[#This Row],[Q''ty]])</f>
        <v>#N/A</v>
      </c>
    </row>
    <row r="2114" spans="1:8" ht="15" hidden="1" customHeight="1" thickTop="1" x14ac:dyDescent="0.4">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hidden="1" customHeight="1" x14ac:dyDescent="0.4">
      <c r="A2115" s="6">
        <v>2026</v>
      </c>
      <c r="B2115" s="6">
        <f t="shared" si="263"/>
        <v>22</v>
      </c>
      <c r="C2115" s="13" t="s">
        <v>19</v>
      </c>
      <c r="D2115" s="2" t="s">
        <v>6</v>
      </c>
      <c r="E2115" s="14" t="str">
        <f t="shared" si="266"/>
        <v>Paint Booth</v>
      </c>
      <c r="F2115" s="22">
        <f t="shared" si="267"/>
        <v>22</v>
      </c>
      <c r="H2115" s="5" t="str">
        <f ca="1">_xlfn.FORMULATEXT(표1[[#This Row],[Q''ty]])</f>
        <v>=F2016</v>
      </c>
    </row>
    <row r="2116" spans="1:8" ht="15" hidden="1" customHeight="1" x14ac:dyDescent="0.4">
      <c r="A2116" s="6">
        <v>2026</v>
      </c>
      <c r="B2116" s="6">
        <f t="shared" si="263"/>
        <v>22</v>
      </c>
      <c r="C2116" s="13" t="s">
        <v>19</v>
      </c>
      <c r="D2116" s="2" t="s">
        <v>6</v>
      </c>
      <c r="E2116" s="14" t="str">
        <f t="shared" si="266"/>
        <v>Paint Line</v>
      </c>
      <c r="F2116" s="22">
        <f t="shared" si="267"/>
        <v>6</v>
      </c>
      <c r="H2116" s="5" t="str">
        <f ca="1">_xlfn.FORMULATEXT(표1[[#This Row],[Q''ty]])</f>
        <v>=F2017</v>
      </c>
    </row>
    <row r="2117" spans="1:8" ht="15" hidden="1" customHeight="1" x14ac:dyDescent="0.4">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hidden="1" customHeight="1" x14ac:dyDescent="0.4">
      <c r="A2118" s="6">
        <v>2026</v>
      </c>
      <c r="B2118" s="6">
        <f t="shared" si="263"/>
        <v>22</v>
      </c>
      <c r="C2118" s="13" t="s">
        <v>19</v>
      </c>
      <c r="D2118" s="2" t="s">
        <v>6</v>
      </c>
      <c r="E2118" s="14" t="str">
        <f t="shared" si="266"/>
        <v>L/W Machine</v>
      </c>
      <c r="F2118" s="22">
        <f t="shared" si="267"/>
        <v>10</v>
      </c>
      <c r="H2118" s="5" t="str">
        <f ca="1">_xlfn.FORMULATEXT(표1[[#This Row],[Q''ty]])</f>
        <v>=F2019</v>
      </c>
    </row>
    <row r="2119" spans="1:8" ht="15" hidden="1" customHeight="1" x14ac:dyDescent="0.4">
      <c r="A2119" s="6">
        <v>2026</v>
      </c>
      <c r="B2119" s="6">
        <f t="shared" si="263"/>
        <v>22</v>
      </c>
      <c r="C2119" s="13" t="s">
        <v>19</v>
      </c>
      <c r="D2119" s="2" t="s">
        <v>6</v>
      </c>
      <c r="E2119" s="14" t="str">
        <f t="shared" si="266"/>
        <v>C/W Machine</v>
      </c>
      <c r="F2119" s="22">
        <f t="shared" si="267"/>
        <v>12</v>
      </c>
      <c r="H2119" s="5" t="str">
        <f ca="1">_xlfn.FORMULATEXT(표1[[#This Row],[Q''ty]])</f>
        <v>=F2020</v>
      </c>
    </row>
    <row r="2120" spans="1:8" ht="15" hidden="1" customHeight="1" x14ac:dyDescent="0.4">
      <c r="A2120" s="6">
        <v>2026</v>
      </c>
      <c r="B2120" s="6">
        <f t="shared" si="263"/>
        <v>22</v>
      </c>
      <c r="C2120" s="13" t="s">
        <v>19</v>
      </c>
      <c r="D2120" s="2" t="s">
        <v>12</v>
      </c>
      <c r="E2120" s="14" t="str">
        <f t="shared" si="266"/>
        <v>BT GT</v>
      </c>
      <c r="F2120" s="22"/>
      <c r="H2120" s="5" t="e">
        <f ca="1">_xlfn.FORMULATEXT(표1[[#This Row],[Q''ty]])</f>
        <v>#N/A</v>
      </c>
    </row>
    <row r="2121" spans="1:8" ht="15" hidden="1" customHeight="1" x14ac:dyDescent="0.4">
      <c r="A2121" s="6">
        <v>2026</v>
      </c>
      <c r="B2121" s="6">
        <f t="shared" si="263"/>
        <v>22</v>
      </c>
      <c r="C2121" s="13" t="s">
        <v>19</v>
      </c>
      <c r="D2121" s="2" t="s">
        <v>12</v>
      </c>
      <c r="E2121" s="14" t="str">
        <f t="shared" si="266"/>
        <v>WT GT</v>
      </c>
      <c r="F2121" s="22"/>
      <c r="H2121" s="5" t="e">
        <f ca="1">_xlfn.FORMULATEXT(표1[[#This Row],[Q''ty]])</f>
        <v>#N/A</v>
      </c>
    </row>
    <row r="2122" spans="1:8" ht="15" hidden="1" customHeight="1" x14ac:dyDescent="0.4">
      <c r="A2122" s="6">
        <v>2026</v>
      </c>
      <c r="B2122" s="6">
        <f t="shared" si="263"/>
        <v>22</v>
      </c>
      <c r="C2122" s="13" t="s">
        <v>19</v>
      </c>
      <c r="D2122" s="2" t="s">
        <v>12</v>
      </c>
      <c r="E2122" s="14" t="str">
        <f t="shared" si="266"/>
        <v>Bending</v>
      </c>
      <c r="F2122" s="22"/>
      <c r="H2122" s="5" t="e">
        <f ca="1">_xlfn.FORMULATEXT(표1[[#This Row],[Q''ty]])</f>
        <v>#N/A</v>
      </c>
    </row>
    <row r="2123" spans="1:8" ht="15" hidden="1" customHeight="1" x14ac:dyDescent="0.4">
      <c r="A2123" s="6">
        <v>2026</v>
      </c>
      <c r="B2123" s="6">
        <f t="shared" si="263"/>
        <v>22</v>
      </c>
      <c r="C2123" s="13" t="s">
        <v>19</v>
      </c>
      <c r="D2123" s="2" t="s">
        <v>12</v>
      </c>
      <c r="E2123" s="14" t="str">
        <f t="shared" si="266"/>
        <v>L/W</v>
      </c>
      <c r="F2123" s="22"/>
      <c r="H2123" s="5" t="e">
        <f ca="1">_xlfn.FORMULATEXT(표1[[#This Row],[Q''ty]])</f>
        <v>#N/A</v>
      </c>
    </row>
    <row r="2124" spans="1:8" ht="15" hidden="1" customHeight="1" thickBot="1" x14ac:dyDescent="0.45">
      <c r="A2124" s="15">
        <v>2026</v>
      </c>
      <c r="B2124" s="15">
        <f t="shared" si="263"/>
        <v>22</v>
      </c>
      <c r="C2124" s="16" t="s">
        <v>19</v>
      </c>
      <c r="D2124" s="17" t="s">
        <v>12</v>
      </c>
      <c r="E2124" s="18" t="str">
        <f t="shared" si="266"/>
        <v>C/W</v>
      </c>
      <c r="F2124" s="23"/>
      <c r="H2124" s="5" t="e">
        <f ca="1">_xlfn.FORMULATEXT(표1[[#This Row],[Q''ty]])</f>
        <v>#N/A</v>
      </c>
    </row>
    <row r="2125" spans="1:8" ht="15" hidden="1" customHeight="1" thickTop="1" x14ac:dyDescent="0.4">
      <c r="A2125" s="6">
        <v>2026</v>
      </c>
      <c r="B2125" s="6">
        <f t="shared" si="263"/>
        <v>22</v>
      </c>
      <c r="C2125" s="13" t="s">
        <v>25</v>
      </c>
      <c r="D2125" s="2" t="s">
        <v>6</v>
      </c>
      <c r="E2125" s="14" t="s">
        <v>7</v>
      </c>
      <c r="F2125" s="22">
        <f t="shared" ref="F2125:F2130" si="268">F2026</f>
        <v>3</v>
      </c>
      <c r="H2125" s="5" t="str">
        <f ca="1">_xlfn.FORMULATEXT(표1[[#This Row],[Q''ty]])</f>
        <v>=F2026</v>
      </c>
    </row>
    <row r="2126" spans="1:8" ht="15" hidden="1" customHeight="1" x14ac:dyDescent="0.4">
      <c r="A2126" s="6">
        <v>2026</v>
      </c>
      <c r="B2126" s="6">
        <f t="shared" si="263"/>
        <v>22</v>
      </c>
      <c r="C2126" s="13" t="s">
        <v>25</v>
      </c>
      <c r="D2126" s="2" t="s">
        <v>6</v>
      </c>
      <c r="E2126" s="14" t="s">
        <v>8</v>
      </c>
      <c r="F2126" s="22">
        <f t="shared" si="268"/>
        <v>3</v>
      </c>
      <c r="H2126" s="5" t="str">
        <f ca="1">_xlfn.FORMULATEXT(표1[[#This Row],[Q''ty]])</f>
        <v>=F2027</v>
      </c>
    </row>
    <row r="2127" spans="1:8" ht="15" hidden="1" customHeight="1" x14ac:dyDescent="0.4">
      <c r="A2127" s="6">
        <v>2026</v>
      </c>
      <c r="B2127" s="6">
        <f t="shared" si="263"/>
        <v>22</v>
      </c>
      <c r="C2127" s="13" t="s">
        <v>25</v>
      </c>
      <c r="D2127" s="2" t="s">
        <v>6</v>
      </c>
      <c r="E2127" s="14" t="s">
        <v>9</v>
      </c>
      <c r="F2127" s="22">
        <f t="shared" si="268"/>
        <v>2</v>
      </c>
      <c r="H2127" s="5" t="str">
        <f ca="1">_xlfn.FORMULATEXT(표1[[#This Row],[Q''ty]])</f>
        <v>=F2028</v>
      </c>
    </row>
    <row r="2128" spans="1:8" ht="15" hidden="1" customHeight="1" x14ac:dyDescent="0.4">
      <c r="A2128" s="6">
        <v>2026</v>
      </c>
      <c r="B2128" s="6">
        <f t="shared" si="263"/>
        <v>22</v>
      </c>
      <c r="C2128" s="13" t="s">
        <v>25</v>
      </c>
      <c r="D2128" s="2" t="s">
        <v>6</v>
      </c>
      <c r="E2128" s="14" t="s">
        <v>27</v>
      </c>
      <c r="F2128" s="22">
        <f t="shared" si="268"/>
        <v>2</v>
      </c>
      <c r="H2128" s="5" t="str">
        <f ca="1">_xlfn.FORMULATEXT(표1[[#This Row],[Q''ty]])</f>
        <v>=F2029</v>
      </c>
    </row>
    <row r="2129" spans="1:8" ht="15" hidden="1" customHeight="1" x14ac:dyDescent="0.4">
      <c r="A2129" s="6">
        <v>2026</v>
      </c>
      <c r="B2129" s="6">
        <f t="shared" si="263"/>
        <v>22</v>
      </c>
      <c r="C2129" s="13" t="s">
        <v>25</v>
      </c>
      <c r="D2129" s="2" t="s">
        <v>6</v>
      </c>
      <c r="E2129" s="14" t="s">
        <v>10</v>
      </c>
      <c r="F2129" s="22">
        <f t="shared" si="268"/>
        <v>3</v>
      </c>
      <c r="H2129" s="5" t="str">
        <f ca="1">_xlfn.FORMULATEXT(표1[[#This Row],[Q''ty]])</f>
        <v>=F2030</v>
      </c>
    </row>
    <row r="2130" spans="1:8" ht="15" hidden="1" customHeight="1" x14ac:dyDescent="0.4">
      <c r="A2130" s="6">
        <v>2026</v>
      </c>
      <c r="B2130" s="6">
        <f t="shared" si="263"/>
        <v>22</v>
      </c>
      <c r="C2130" s="13" t="s">
        <v>25</v>
      </c>
      <c r="D2130" s="2" t="s">
        <v>6</v>
      </c>
      <c r="E2130" s="14" t="s">
        <v>11</v>
      </c>
      <c r="F2130" s="22">
        <f t="shared" si="268"/>
        <v>4</v>
      </c>
      <c r="H2130" s="5" t="str">
        <f ca="1">_xlfn.FORMULATEXT(표1[[#This Row],[Q''ty]])</f>
        <v>=F2031</v>
      </c>
    </row>
    <row r="2131" spans="1:8" ht="15" hidden="1" customHeight="1" x14ac:dyDescent="0.4">
      <c r="A2131" s="6">
        <v>2026</v>
      </c>
      <c r="B2131" s="6">
        <f t="shared" si="263"/>
        <v>22</v>
      </c>
      <c r="C2131" s="13" t="s">
        <v>25</v>
      </c>
      <c r="D2131" s="2" t="s">
        <v>12</v>
      </c>
      <c r="E2131" s="14" t="s">
        <v>13</v>
      </c>
      <c r="F2131" s="22"/>
      <c r="H2131" s="5" t="e">
        <f ca="1">_xlfn.FORMULATEXT(표1[[#This Row],[Q''ty]])</f>
        <v>#N/A</v>
      </c>
    </row>
    <row r="2132" spans="1:8" ht="15" hidden="1" customHeight="1" x14ac:dyDescent="0.4">
      <c r="A2132" s="6">
        <v>2026</v>
      </c>
      <c r="B2132" s="6">
        <f t="shared" si="263"/>
        <v>22</v>
      </c>
      <c r="C2132" s="13" t="s">
        <v>25</v>
      </c>
      <c r="D2132" s="2" t="s">
        <v>12</v>
      </c>
      <c r="E2132" s="14" t="s">
        <v>14</v>
      </c>
      <c r="F2132" s="22"/>
      <c r="H2132" s="5" t="e">
        <f ca="1">_xlfn.FORMULATEXT(표1[[#This Row],[Q''ty]])</f>
        <v>#N/A</v>
      </c>
    </row>
    <row r="2133" spans="1:8" ht="15" hidden="1" customHeight="1" x14ac:dyDescent="0.4">
      <c r="A2133" s="6">
        <v>2026</v>
      </c>
      <c r="B2133" s="6">
        <f t="shared" si="263"/>
        <v>22</v>
      </c>
      <c r="C2133" s="13" t="s">
        <v>25</v>
      </c>
      <c r="D2133" s="2" t="s">
        <v>12</v>
      </c>
      <c r="E2133" s="14" t="s">
        <v>15</v>
      </c>
      <c r="F2133" s="22"/>
      <c r="H2133" s="5" t="e">
        <f ca="1">_xlfn.FORMULATEXT(표1[[#This Row],[Q''ty]])</f>
        <v>#N/A</v>
      </c>
    </row>
    <row r="2134" spans="1:8" ht="15" hidden="1" customHeight="1" x14ac:dyDescent="0.4">
      <c r="A2134" s="6">
        <v>2026</v>
      </c>
      <c r="B2134" s="6">
        <f t="shared" si="263"/>
        <v>22</v>
      </c>
      <c r="C2134" s="13" t="s">
        <v>25</v>
      </c>
      <c r="D2134" s="2" t="s">
        <v>12</v>
      </c>
      <c r="E2134" s="14" t="s">
        <v>16</v>
      </c>
      <c r="F2134" s="22"/>
      <c r="H2134" s="5" t="e">
        <f ca="1">_xlfn.FORMULATEXT(표1[[#This Row],[Q''ty]])</f>
        <v>#N/A</v>
      </c>
    </row>
    <row r="2135" spans="1:8" ht="15" hidden="1" customHeight="1" thickBot="1" x14ac:dyDescent="0.45">
      <c r="A2135" s="15">
        <v>2026</v>
      </c>
      <c r="B2135" s="15">
        <f t="shared" si="263"/>
        <v>22</v>
      </c>
      <c r="C2135" s="16" t="s">
        <v>25</v>
      </c>
      <c r="D2135" s="17" t="s">
        <v>12</v>
      </c>
      <c r="E2135" s="18" t="s">
        <v>17</v>
      </c>
      <c r="F2135" s="23"/>
      <c r="H2135" s="5" t="e">
        <f ca="1">_xlfn.FORMULATEXT(표1[[#This Row],[Q''ty]])</f>
        <v>#N/A</v>
      </c>
    </row>
    <row r="2136" spans="1:8" ht="15" hidden="1" customHeight="1" thickTop="1" x14ac:dyDescent="0.4">
      <c r="A2136" s="6">
        <v>2026</v>
      </c>
      <c r="B2136" s="6">
        <f t="shared" si="263"/>
        <v>22</v>
      </c>
      <c r="C2136" s="13" t="s">
        <v>26</v>
      </c>
      <c r="D2136" s="2" t="s">
        <v>6</v>
      </c>
      <c r="E2136" s="14" t="s">
        <v>7</v>
      </c>
      <c r="F2136" s="22">
        <f t="shared" ref="F2136:F2141" si="269">F2037</f>
        <v>6</v>
      </c>
      <c r="H2136" s="5" t="str">
        <f ca="1">_xlfn.FORMULATEXT(표1[[#This Row],[Q''ty]])</f>
        <v>=F2037</v>
      </c>
    </row>
    <row r="2137" spans="1:8" ht="15" hidden="1" customHeight="1" x14ac:dyDescent="0.4">
      <c r="A2137" s="6">
        <v>2026</v>
      </c>
      <c r="B2137" s="6">
        <f t="shared" si="263"/>
        <v>22</v>
      </c>
      <c r="C2137" s="13" t="s">
        <v>26</v>
      </c>
      <c r="D2137" s="2" t="s">
        <v>6</v>
      </c>
      <c r="E2137" s="14" t="s">
        <v>8</v>
      </c>
      <c r="F2137" s="22">
        <f t="shared" si="269"/>
        <v>4</v>
      </c>
      <c r="H2137" s="5" t="str">
        <f ca="1">_xlfn.FORMULATEXT(표1[[#This Row],[Q''ty]])</f>
        <v>=F2038</v>
      </c>
    </row>
    <row r="2138" spans="1:8" ht="15" hidden="1" customHeight="1" x14ac:dyDescent="0.4">
      <c r="A2138" s="6">
        <v>2026</v>
      </c>
      <c r="B2138" s="6">
        <f t="shared" si="263"/>
        <v>22</v>
      </c>
      <c r="C2138" s="13" t="s">
        <v>26</v>
      </c>
      <c r="D2138" s="2" t="s">
        <v>6</v>
      </c>
      <c r="E2138" s="14" t="s">
        <v>9</v>
      </c>
      <c r="F2138" s="22">
        <f t="shared" si="269"/>
        <v>2</v>
      </c>
      <c r="H2138" s="5" t="str">
        <f ca="1">_xlfn.FORMULATEXT(표1[[#This Row],[Q''ty]])</f>
        <v>=F2039</v>
      </c>
    </row>
    <row r="2139" spans="1:8" ht="15" hidden="1" customHeight="1" x14ac:dyDescent="0.4">
      <c r="A2139" s="6">
        <v>2026</v>
      </c>
      <c r="B2139" s="6">
        <f t="shared" si="263"/>
        <v>22</v>
      </c>
      <c r="C2139" s="13" t="s">
        <v>26</v>
      </c>
      <c r="D2139" s="2" t="s">
        <v>6</v>
      </c>
      <c r="E2139" s="14" t="s">
        <v>27</v>
      </c>
      <c r="F2139" s="22">
        <f t="shared" si="269"/>
        <v>3</v>
      </c>
      <c r="H2139" s="5" t="str">
        <f ca="1">_xlfn.FORMULATEXT(표1[[#This Row],[Q''ty]])</f>
        <v>=F2040</v>
      </c>
    </row>
    <row r="2140" spans="1:8" ht="15" hidden="1" customHeight="1" x14ac:dyDescent="0.4">
      <c r="A2140" s="6">
        <v>2026</v>
      </c>
      <c r="B2140" s="6">
        <f t="shared" si="263"/>
        <v>22</v>
      </c>
      <c r="C2140" s="13" t="s">
        <v>26</v>
      </c>
      <c r="D2140" s="2" t="s">
        <v>6</v>
      </c>
      <c r="E2140" s="14" t="s">
        <v>10</v>
      </c>
      <c r="F2140" s="22">
        <f t="shared" si="269"/>
        <v>4</v>
      </c>
      <c r="H2140" s="5" t="str">
        <f ca="1">_xlfn.FORMULATEXT(표1[[#This Row],[Q''ty]])</f>
        <v>=F2041</v>
      </c>
    </row>
    <row r="2141" spans="1:8" ht="15" hidden="1" customHeight="1" x14ac:dyDescent="0.4">
      <c r="A2141" s="6">
        <v>2026</v>
      </c>
      <c r="B2141" s="6">
        <f t="shared" si="263"/>
        <v>22</v>
      </c>
      <c r="C2141" s="13" t="s">
        <v>26</v>
      </c>
      <c r="D2141" s="2" t="s">
        <v>6</v>
      </c>
      <c r="E2141" s="14" t="s">
        <v>11</v>
      </c>
      <c r="F2141" s="22">
        <f t="shared" si="269"/>
        <v>6</v>
      </c>
      <c r="H2141" s="5" t="str">
        <f ca="1">_xlfn.FORMULATEXT(표1[[#This Row],[Q''ty]])</f>
        <v>=F2042</v>
      </c>
    </row>
    <row r="2142" spans="1:8" ht="15" hidden="1" customHeight="1" x14ac:dyDescent="0.4">
      <c r="A2142" s="6">
        <v>2026</v>
      </c>
      <c r="B2142" s="6">
        <f t="shared" si="263"/>
        <v>22</v>
      </c>
      <c r="C2142" s="13" t="s">
        <v>26</v>
      </c>
      <c r="D2142" s="2" t="s">
        <v>12</v>
      </c>
      <c r="E2142" s="14" t="str">
        <f t="shared" ref="E2142:E2179" si="270">E2043</f>
        <v>BT GT</v>
      </c>
      <c r="F2142" s="22"/>
      <c r="H2142" s="5" t="e">
        <f ca="1">_xlfn.FORMULATEXT(표1[[#This Row],[Q''ty]])</f>
        <v>#N/A</v>
      </c>
    </row>
    <row r="2143" spans="1:8" ht="15" hidden="1" customHeight="1" x14ac:dyDescent="0.4">
      <c r="A2143" s="6">
        <v>2026</v>
      </c>
      <c r="B2143" s="6">
        <f t="shared" si="263"/>
        <v>22</v>
      </c>
      <c r="C2143" s="13" t="s">
        <v>26</v>
      </c>
      <c r="D2143" s="2" t="s">
        <v>12</v>
      </c>
      <c r="E2143" s="14" t="str">
        <f t="shared" si="270"/>
        <v>WT GT</v>
      </c>
      <c r="F2143" s="22"/>
      <c r="H2143" s="5" t="e">
        <f ca="1">_xlfn.FORMULATEXT(표1[[#This Row],[Q''ty]])</f>
        <v>#N/A</v>
      </c>
    </row>
    <row r="2144" spans="1:8" ht="15" hidden="1" customHeight="1" x14ac:dyDescent="0.4">
      <c r="A2144" s="6">
        <v>2026</v>
      </c>
      <c r="B2144" s="6">
        <f t="shared" si="263"/>
        <v>22</v>
      </c>
      <c r="C2144" s="13" t="s">
        <v>26</v>
      </c>
      <c r="D2144" s="2" t="s">
        <v>12</v>
      </c>
      <c r="E2144" s="14" t="str">
        <f t="shared" si="270"/>
        <v>Bending</v>
      </c>
      <c r="F2144" s="22"/>
      <c r="H2144" s="5" t="e">
        <f ca="1">_xlfn.FORMULATEXT(표1[[#This Row],[Q''ty]])</f>
        <v>#N/A</v>
      </c>
    </row>
    <row r="2145" spans="1:8" ht="15" hidden="1" customHeight="1" x14ac:dyDescent="0.4">
      <c r="A2145" s="6">
        <v>2026</v>
      </c>
      <c r="B2145" s="6">
        <f t="shared" si="263"/>
        <v>22</v>
      </c>
      <c r="C2145" s="13" t="s">
        <v>26</v>
      </c>
      <c r="D2145" s="2" t="s">
        <v>12</v>
      </c>
      <c r="E2145" s="14" t="str">
        <f t="shared" si="270"/>
        <v>L/W</v>
      </c>
      <c r="F2145" s="22"/>
      <c r="H2145" s="5" t="e">
        <f ca="1">_xlfn.FORMULATEXT(표1[[#This Row],[Q''ty]])</f>
        <v>#N/A</v>
      </c>
    </row>
    <row r="2146" spans="1:8" ht="15" hidden="1" customHeight="1" thickBot="1" x14ac:dyDescent="0.45">
      <c r="A2146" s="15">
        <v>2026</v>
      </c>
      <c r="B2146" s="15">
        <f t="shared" ref="B2146:B2179" si="271">B2047+1</f>
        <v>22</v>
      </c>
      <c r="C2146" s="16" t="s">
        <v>26</v>
      </c>
      <c r="D2146" s="17" t="s">
        <v>12</v>
      </c>
      <c r="E2146" s="18" t="str">
        <f t="shared" si="270"/>
        <v>C/W</v>
      </c>
      <c r="F2146" s="23"/>
      <c r="H2146" s="5" t="e">
        <f ca="1">_xlfn.FORMULATEXT(표1[[#This Row],[Q''ty]])</f>
        <v>#N/A</v>
      </c>
    </row>
    <row r="2147" spans="1:8" ht="15" hidden="1" customHeight="1" thickTop="1" x14ac:dyDescent="0.4">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hidden="1" customHeight="1" x14ac:dyDescent="0.4">
      <c r="A2148" s="6">
        <v>2026</v>
      </c>
      <c r="B2148" s="6">
        <f t="shared" si="271"/>
        <v>22</v>
      </c>
      <c r="C2148" s="13" t="s">
        <v>20</v>
      </c>
      <c r="D2148" s="2" t="s">
        <v>6</v>
      </c>
      <c r="E2148" s="14" t="str">
        <f t="shared" si="270"/>
        <v>Paint Booth</v>
      </c>
      <c r="F2148" s="22">
        <f t="shared" si="272"/>
        <v>16</v>
      </c>
      <c r="H2148" s="5" t="str">
        <f ca="1">_xlfn.FORMULATEXT(표1[[#This Row],[Q''ty]])</f>
        <v>=F2049</v>
      </c>
    </row>
    <row r="2149" spans="1:8" ht="15" hidden="1" customHeight="1" x14ac:dyDescent="0.4">
      <c r="A2149" s="6">
        <v>2026</v>
      </c>
      <c r="B2149" s="6">
        <f t="shared" si="271"/>
        <v>22</v>
      </c>
      <c r="C2149" s="13" t="s">
        <v>20</v>
      </c>
      <c r="D2149" s="2" t="s">
        <v>6</v>
      </c>
      <c r="E2149" s="14" t="str">
        <f t="shared" si="270"/>
        <v>Paint Line</v>
      </c>
      <c r="F2149" s="22">
        <f t="shared" si="272"/>
        <v>8</v>
      </c>
      <c r="H2149" s="5" t="str">
        <f ca="1">_xlfn.FORMULATEXT(표1[[#This Row],[Q''ty]])</f>
        <v>=F2050</v>
      </c>
    </row>
    <row r="2150" spans="1:8" ht="15" hidden="1" customHeight="1" x14ac:dyDescent="0.4">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hidden="1" customHeight="1" x14ac:dyDescent="0.4">
      <c r="A2151" s="6">
        <v>2026</v>
      </c>
      <c r="B2151" s="6">
        <f t="shared" si="271"/>
        <v>22</v>
      </c>
      <c r="C2151" s="13" t="s">
        <v>20</v>
      </c>
      <c r="D2151" s="2" t="s">
        <v>6</v>
      </c>
      <c r="E2151" s="14" t="str">
        <f t="shared" si="270"/>
        <v>L/W Machine</v>
      </c>
      <c r="F2151" s="22">
        <f t="shared" si="272"/>
        <v>11</v>
      </c>
      <c r="H2151" s="5" t="str">
        <f ca="1">_xlfn.FORMULATEXT(표1[[#This Row],[Q''ty]])</f>
        <v>=F2052</v>
      </c>
    </row>
    <row r="2152" spans="1:8" ht="15" hidden="1" customHeight="1" x14ac:dyDescent="0.4">
      <c r="A2152" s="6">
        <v>2026</v>
      </c>
      <c r="B2152" s="6">
        <f t="shared" si="271"/>
        <v>22</v>
      </c>
      <c r="C2152" s="13" t="s">
        <v>20</v>
      </c>
      <c r="D2152" s="2" t="s">
        <v>6</v>
      </c>
      <c r="E2152" s="14" t="str">
        <f t="shared" si="270"/>
        <v>C/W Machine</v>
      </c>
      <c r="F2152" s="22">
        <f t="shared" si="272"/>
        <v>15</v>
      </c>
      <c r="H2152" s="5" t="str">
        <f ca="1">_xlfn.FORMULATEXT(표1[[#This Row],[Q''ty]])</f>
        <v>=F2053</v>
      </c>
    </row>
    <row r="2153" spans="1:8" ht="15" hidden="1" customHeight="1" x14ac:dyDescent="0.4">
      <c r="A2153" s="6">
        <v>2026</v>
      </c>
      <c r="B2153" s="6">
        <f t="shared" si="271"/>
        <v>22</v>
      </c>
      <c r="C2153" s="13" t="s">
        <v>20</v>
      </c>
      <c r="D2153" s="2" t="s">
        <v>12</v>
      </c>
      <c r="E2153" s="14" t="str">
        <f t="shared" si="270"/>
        <v>BT GT</v>
      </c>
      <c r="F2153" s="22"/>
      <c r="H2153" s="5" t="e">
        <f ca="1">_xlfn.FORMULATEXT(표1[[#This Row],[Q''ty]])</f>
        <v>#N/A</v>
      </c>
    </row>
    <row r="2154" spans="1:8" ht="15" hidden="1" customHeight="1" x14ac:dyDescent="0.4">
      <c r="A2154" s="6">
        <v>2026</v>
      </c>
      <c r="B2154" s="6">
        <f t="shared" si="271"/>
        <v>22</v>
      </c>
      <c r="C2154" s="13" t="s">
        <v>20</v>
      </c>
      <c r="D2154" s="2" t="s">
        <v>12</v>
      </c>
      <c r="E2154" s="14" t="str">
        <f t="shared" si="270"/>
        <v>WT GT</v>
      </c>
      <c r="F2154" s="22"/>
      <c r="H2154" s="5" t="e">
        <f ca="1">_xlfn.FORMULATEXT(표1[[#This Row],[Q''ty]])</f>
        <v>#N/A</v>
      </c>
    </row>
    <row r="2155" spans="1:8" ht="15" hidden="1" customHeight="1" x14ac:dyDescent="0.4">
      <c r="A2155" s="6">
        <v>2026</v>
      </c>
      <c r="B2155" s="6">
        <f t="shared" si="271"/>
        <v>22</v>
      </c>
      <c r="C2155" s="13" t="s">
        <v>20</v>
      </c>
      <c r="D2155" s="2" t="s">
        <v>12</v>
      </c>
      <c r="E2155" s="14" t="str">
        <f t="shared" si="270"/>
        <v>Bending</v>
      </c>
      <c r="F2155" s="22"/>
      <c r="H2155" s="5" t="e">
        <f ca="1">_xlfn.FORMULATEXT(표1[[#This Row],[Q''ty]])</f>
        <v>#N/A</v>
      </c>
    </row>
    <row r="2156" spans="1:8" ht="15" hidden="1" customHeight="1" x14ac:dyDescent="0.4">
      <c r="A2156" s="6">
        <v>2026</v>
      </c>
      <c r="B2156" s="6">
        <f t="shared" si="271"/>
        <v>22</v>
      </c>
      <c r="C2156" s="13" t="s">
        <v>20</v>
      </c>
      <c r="D2156" s="2" t="s">
        <v>12</v>
      </c>
      <c r="E2156" s="14" t="str">
        <f t="shared" si="270"/>
        <v>L/W</v>
      </c>
      <c r="F2156" s="22"/>
      <c r="H2156" s="5" t="e">
        <f ca="1">_xlfn.FORMULATEXT(표1[[#This Row],[Q''ty]])</f>
        <v>#N/A</v>
      </c>
    </row>
    <row r="2157" spans="1:8" ht="15" hidden="1" customHeight="1" thickBot="1" x14ac:dyDescent="0.45">
      <c r="A2157" s="15">
        <v>2026</v>
      </c>
      <c r="B2157" s="15">
        <f t="shared" si="271"/>
        <v>22</v>
      </c>
      <c r="C2157" s="16" t="s">
        <v>20</v>
      </c>
      <c r="D2157" s="17" t="s">
        <v>12</v>
      </c>
      <c r="E2157" s="18" t="str">
        <f t="shared" si="270"/>
        <v>C/W</v>
      </c>
      <c r="F2157" s="23"/>
      <c r="H2157" s="5" t="e">
        <f ca="1">_xlfn.FORMULATEXT(표1[[#This Row],[Q''ty]])</f>
        <v>#N/A</v>
      </c>
    </row>
    <row r="2158" spans="1:8" ht="15" hidden="1" customHeight="1" thickTop="1" x14ac:dyDescent="0.4">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hidden="1" customHeight="1" x14ac:dyDescent="0.4">
      <c r="A2159" s="6">
        <v>2026</v>
      </c>
      <c r="B2159" s="6">
        <f t="shared" si="271"/>
        <v>22</v>
      </c>
      <c r="C2159" s="13" t="s">
        <v>21</v>
      </c>
      <c r="D2159" s="2" t="s">
        <v>6</v>
      </c>
      <c r="E2159" s="14" t="str">
        <f t="shared" si="270"/>
        <v>Paint Booth</v>
      </c>
      <c r="F2159" s="22">
        <f t="shared" si="273"/>
        <v>4</v>
      </c>
      <c r="H2159" s="5" t="str">
        <f ca="1">_xlfn.FORMULATEXT(표1[[#This Row],[Q''ty]])</f>
        <v>=F2060</v>
      </c>
    </row>
    <row r="2160" spans="1:8" ht="15" hidden="1" customHeight="1" x14ac:dyDescent="0.4">
      <c r="A2160" s="6">
        <v>2026</v>
      </c>
      <c r="B2160" s="6">
        <f t="shared" si="271"/>
        <v>22</v>
      </c>
      <c r="C2160" s="13" t="s">
        <v>21</v>
      </c>
      <c r="D2160" s="2" t="s">
        <v>6</v>
      </c>
      <c r="E2160" s="14" t="str">
        <f t="shared" si="270"/>
        <v>Paint Line</v>
      </c>
      <c r="F2160" s="22">
        <f t="shared" si="273"/>
        <v>4</v>
      </c>
      <c r="H2160" s="5" t="str">
        <f ca="1">_xlfn.FORMULATEXT(표1[[#This Row],[Q''ty]])</f>
        <v>=F2061</v>
      </c>
    </row>
    <row r="2161" spans="1:8" ht="15" hidden="1" customHeight="1" x14ac:dyDescent="0.4">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hidden="1" customHeight="1" x14ac:dyDescent="0.4">
      <c r="A2162" s="6">
        <v>2026</v>
      </c>
      <c r="B2162" s="6">
        <f t="shared" si="271"/>
        <v>22</v>
      </c>
      <c r="C2162" s="13" t="s">
        <v>21</v>
      </c>
      <c r="D2162" s="2" t="s">
        <v>6</v>
      </c>
      <c r="E2162" s="14" t="str">
        <f t="shared" si="270"/>
        <v>L/W Machine</v>
      </c>
      <c r="F2162" s="22">
        <f t="shared" si="273"/>
        <v>4</v>
      </c>
      <c r="H2162" s="5" t="str">
        <f ca="1">_xlfn.FORMULATEXT(표1[[#This Row],[Q''ty]])</f>
        <v>=F2063</v>
      </c>
    </row>
    <row r="2163" spans="1:8" ht="15" hidden="1" customHeight="1" x14ac:dyDescent="0.4">
      <c r="A2163" s="6">
        <v>2026</v>
      </c>
      <c r="B2163" s="6">
        <f t="shared" si="271"/>
        <v>22</v>
      </c>
      <c r="C2163" s="13" t="s">
        <v>21</v>
      </c>
      <c r="D2163" s="2" t="s">
        <v>6</v>
      </c>
      <c r="E2163" s="14" t="str">
        <f t="shared" si="270"/>
        <v>C/W Machine</v>
      </c>
      <c r="F2163" s="22">
        <f t="shared" si="273"/>
        <v>6.5</v>
      </c>
      <c r="H2163" s="5" t="str">
        <f ca="1">_xlfn.FORMULATEXT(표1[[#This Row],[Q''ty]])</f>
        <v>=F2064</v>
      </c>
    </row>
    <row r="2164" spans="1:8" ht="15" hidden="1" customHeight="1" x14ac:dyDescent="0.4">
      <c r="A2164" s="6">
        <v>2026</v>
      </c>
      <c r="B2164" s="6">
        <f t="shared" si="271"/>
        <v>22</v>
      </c>
      <c r="C2164" s="13" t="s">
        <v>21</v>
      </c>
      <c r="D2164" s="2" t="s">
        <v>12</v>
      </c>
      <c r="E2164" s="14" t="str">
        <f t="shared" si="270"/>
        <v>BT GT</v>
      </c>
      <c r="F2164" s="22"/>
      <c r="H2164" s="5" t="e">
        <f ca="1">_xlfn.FORMULATEXT(표1[[#This Row],[Q''ty]])</f>
        <v>#N/A</v>
      </c>
    </row>
    <row r="2165" spans="1:8" ht="15" hidden="1" customHeight="1" x14ac:dyDescent="0.4">
      <c r="A2165" s="6">
        <v>2026</v>
      </c>
      <c r="B2165" s="6">
        <f t="shared" si="271"/>
        <v>22</v>
      </c>
      <c r="C2165" s="13" t="s">
        <v>21</v>
      </c>
      <c r="D2165" s="2" t="s">
        <v>12</v>
      </c>
      <c r="E2165" s="14" t="str">
        <f t="shared" si="270"/>
        <v>WT GT</v>
      </c>
      <c r="F2165" s="22"/>
      <c r="H2165" s="5" t="e">
        <f ca="1">_xlfn.FORMULATEXT(표1[[#This Row],[Q''ty]])</f>
        <v>#N/A</v>
      </c>
    </row>
    <row r="2166" spans="1:8" ht="15" hidden="1" customHeight="1" x14ac:dyDescent="0.4">
      <c r="A2166" s="6">
        <v>2026</v>
      </c>
      <c r="B2166" s="6">
        <f t="shared" si="271"/>
        <v>22</v>
      </c>
      <c r="C2166" s="13" t="s">
        <v>21</v>
      </c>
      <c r="D2166" s="2" t="s">
        <v>12</v>
      </c>
      <c r="E2166" s="14" t="str">
        <f t="shared" si="270"/>
        <v>Bending</v>
      </c>
      <c r="F2166" s="22"/>
      <c r="H2166" s="5" t="e">
        <f ca="1">_xlfn.FORMULATEXT(표1[[#This Row],[Q''ty]])</f>
        <v>#N/A</v>
      </c>
    </row>
    <row r="2167" spans="1:8" ht="15" hidden="1" customHeight="1" x14ac:dyDescent="0.4">
      <c r="A2167" s="6">
        <v>2026</v>
      </c>
      <c r="B2167" s="6">
        <f t="shared" si="271"/>
        <v>22</v>
      </c>
      <c r="C2167" s="13" t="s">
        <v>21</v>
      </c>
      <c r="D2167" s="2" t="s">
        <v>12</v>
      </c>
      <c r="E2167" s="14" t="str">
        <f t="shared" si="270"/>
        <v>L/W</v>
      </c>
      <c r="F2167" s="22"/>
      <c r="H2167" s="5" t="e">
        <f ca="1">_xlfn.FORMULATEXT(표1[[#This Row],[Q''ty]])</f>
        <v>#N/A</v>
      </c>
    </row>
    <row r="2168" spans="1:8" ht="15" hidden="1" customHeight="1" thickBot="1" x14ac:dyDescent="0.45">
      <c r="A2168" s="15">
        <v>2026</v>
      </c>
      <c r="B2168" s="15">
        <f t="shared" si="271"/>
        <v>22</v>
      </c>
      <c r="C2168" s="16" t="s">
        <v>21</v>
      </c>
      <c r="D2168" s="17" t="s">
        <v>12</v>
      </c>
      <c r="E2168" s="18" t="str">
        <f t="shared" si="270"/>
        <v>C/W</v>
      </c>
      <c r="F2168" s="23"/>
      <c r="H2168" s="5" t="e">
        <f ca="1">_xlfn.FORMULATEXT(표1[[#This Row],[Q''ty]])</f>
        <v>#N/A</v>
      </c>
    </row>
    <row r="2169" spans="1:8" ht="15" hidden="1" customHeight="1" thickTop="1" x14ac:dyDescent="0.4">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hidden="1" customHeight="1" x14ac:dyDescent="0.4">
      <c r="A2170" s="6">
        <v>2026</v>
      </c>
      <c r="B2170" s="6">
        <f t="shared" si="271"/>
        <v>22</v>
      </c>
      <c r="C2170" s="13" t="s">
        <v>22</v>
      </c>
      <c r="D2170" s="2" t="s">
        <v>6</v>
      </c>
      <c r="E2170" s="14" t="str">
        <f t="shared" si="270"/>
        <v>Paint Booth</v>
      </c>
      <c r="F2170" s="22">
        <f t="shared" si="274"/>
        <v>6</v>
      </c>
      <c r="H2170" s="5" t="str">
        <f ca="1">_xlfn.FORMULATEXT(표1[[#This Row],[Q''ty]])</f>
        <v>=F2071</v>
      </c>
    </row>
    <row r="2171" spans="1:8" ht="15" hidden="1" customHeight="1" x14ac:dyDescent="0.4">
      <c r="A2171" s="6">
        <v>2026</v>
      </c>
      <c r="B2171" s="6">
        <f t="shared" si="271"/>
        <v>22</v>
      </c>
      <c r="C2171" s="13" t="s">
        <v>22</v>
      </c>
      <c r="D2171" s="2" t="s">
        <v>6</v>
      </c>
      <c r="E2171" s="14" t="str">
        <f t="shared" si="270"/>
        <v>Paint Line</v>
      </c>
      <c r="F2171" s="22">
        <f t="shared" si="274"/>
        <v>4</v>
      </c>
      <c r="H2171" s="5" t="str">
        <f ca="1">_xlfn.FORMULATEXT(표1[[#This Row],[Q''ty]])</f>
        <v>=F2072</v>
      </c>
    </row>
    <row r="2172" spans="1:8" ht="15" hidden="1" customHeight="1" x14ac:dyDescent="0.4">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hidden="1" customHeight="1" x14ac:dyDescent="0.4">
      <c r="A2173" s="6">
        <v>2026</v>
      </c>
      <c r="B2173" s="6">
        <f t="shared" si="271"/>
        <v>22</v>
      </c>
      <c r="C2173" s="13" t="s">
        <v>22</v>
      </c>
      <c r="D2173" s="2" t="s">
        <v>6</v>
      </c>
      <c r="E2173" s="14" t="str">
        <f t="shared" si="270"/>
        <v>L/W Machine</v>
      </c>
      <c r="F2173" s="22">
        <f t="shared" si="274"/>
        <v>7</v>
      </c>
      <c r="H2173" s="5" t="str">
        <f ca="1">_xlfn.FORMULATEXT(표1[[#This Row],[Q''ty]])</f>
        <v>=F2074</v>
      </c>
    </row>
    <row r="2174" spans="1:8" ht="15" hidden="1" customHeight="1" x14ac:dyDescent="0.4">
      <c r="A2174" s="6">
        <v>2026</v>
      </c>
      <c r="B2174" s="6">
        <f t="shared" si="271"/>
        <v>22</v>
      </c>
      <c r="C2174" s="13" t="s">
        <v>22</v>
      </c>
      <c r="D2174" s="2" t="s">
        <v>6</v>
      </c>
      <c r="E2174" s="14" t="str">
        <f t="shared" si="270"/>
        <v>C/W Machine</v>
      </c>
      <c r="F2174" s="22">
        <f t="shared" si="274"/>
        <v>12.5</v>
      </c>
      <c r="H2174" s="5" t="str">
        <f ca="1">_xlfn.FORMULATEXT(표1[[#This Row],[Q''ty]])</f>
        <v>=F2075</v>
      </c>
    </row>
    <row r="2175" spans="1:8" ht="15" hidden="1" customHeight="1" x14ac:dyDescent="0.4">
      <c r="A2175" s="6">
        <v>2026</v>
      </c>
      <c r="B2175" s="6">
        <f t="shared" si="271"/>
        <v>22</v>
      </c>
      <c r="C2175" s="13" t="s">
        <v>22</v>
      </c>
      <c r="D2175" s="2" t="s">
        <v>12</v>
      </c>
      <c r="E2175" s="14" t="str">
        <f t="shared" si="270"/>
        <v>BT GT</v>
      </c>
      <c r="F2175" s="22"/>
      <c r="H2175" s="5" t="e">
        <f ca="1">_xlfn.FORMULATEXT(표1[[#This Row],[Q''ty]])</f>
        <v>#N/A</v>
      </c>
    </row>
    <row r="2176" spans="1:8" ht="15" hidden="1" customHeight="1" x14ac:dyDescent="0.4">
      <c r="A2176" s="6">
        <v>2026</v>
      </c>
      <c r="B2176" s="6">
        <f t="shared" si="271"/>
        <v>22</v>
      </c>
      <c r="C2176" s="13" t="s">
        <v>22</v>
      </c>
      <c r="D2176" s="2" t="s">
        <v>12</v>
      </c>
      <c r="E2176" s="14" t="str">
        <f t="shared" si="270"/>
        <v>WT GT</v>
      </c>
      <c r="F2176" s="22"/>
      <c r="H2176" s="5" t="e">
        <f ca="1">_xlfn.FORMULATEXT(표1[[#This Row],[Q''ty]])</f>
        <v>#N/A</v>
      </c>
    </row>
    <row r="2177" spans="1:10" ht="15" hidden="1" customHeight="1" x14ac:dyDescent="0.4">
      <c r="A2177" s="6">
        <v>2026</v>
      </c>
      <c r="B2177" s="6">
        <f t="shared" si="271"/>
        <v>22</v>
      </c>
      <c r="C2177" s="13" t="s">
        <v>22</v>
      </c>
      <c r="D2177" s="2" t="s">
        <v>12</v>
      </c>
      <c r="E2177" s="14" t="str">
        <f t="shared" si="270"/>
        <v>Bending</v>
      </c>
      <c r="F2177" s="22"/>
      <c r="H2177" s="5" t="e">
        <f ca="1">_xlfn.FORMULATEXT(표1[[#This Row],[Q''ty]])</f>
        <v>#N/A</v>
      </c>
    </row>
    <row r="2178" spans="1:10" ht="15" hidden="1" customHeight="1" x14ac:dyDescent="0.4">
      <c r="A2178" s="6">
        <v>2026</v>
      </c>
      <c r="B2178" s="6">
        <f t="shared" si="271"/>
        <v>22</v>
      </c>
      <c r="C2178" s="13" t="s">
        <v>22</v>
      </c>
      <c r="D2178" s="2" t="s">
        <v>12</v>
      </c>
      <c r="E2178" s="14" t="str">
        <f t="shared" si="270"/>
        <v>L/W</v>
      </c>
      <c r="F2178" s="22"/>
      <c r="H2178" s="5" t="e">
        <f ca="1">_xlfn.FORMULATEXT(표1[[#This Row],[Q''ty]])</f>
        <v>#N/A</v>
      </c>
    </row>
    <row r="2179" spans="1:10" ht="15" hidden="1" customHeight="1" thickBot="1" x14ac:dyDescent="0.45">
      <c r="A2179" s="6">
        <v>2026</v>
      </c>
      <c r="B2179" s="6">
        <f t="shared" si="271"/>
        <v>22</v>
      </c>
      <c r="C2179" s="13" t="s">
        <v>22</v>
      </c>
      <c r="D2179" s="2" t="s">
        <v>12</v>
      </c>
      <c r="E2179" s="14" t="str">
        <f t="shared" si="270"/>
        <v>C/W</v>
      </c>
      <c r="F2179" s="22"/>
      <c r="H2179" s="5" t="e">
        <f ca="1">_xlfn.FORMULATEXT(표1[[#This Row],[Q''ty]])</f>
        <v>#N/A</v>
      </c>
    </row>
    <row r="2180" spans="1:10" ht="15" hidden="1" customHeight="1" thickTop="1" x14ac:dyDescent="0.4">
      <c r="A2180" s="9">
        <v>2026</v>
      </c>
      <c r="B2180" s="9">
        <f>B2081+1</f>
        <v>23</v>
      </c>
      <c r="C2180" s="10" t="s">
        <v>28</v>
      </c>
      <c r="D2180" s="11" t="s">
        <v>6</v>
      </c>
      <c r="E2180" s="12" t="s">
        <v>7</v>
      </c>
      <c r="F2180" s="21">
        <f t="shared" ref="F2180:F2185" si="275">F2081</f>
        <v>15</v>
      </c>
      <c r="H2180" s="5" t="str">
        <f ca="1">_xlfn.FORMULATEXT(표1[[#This Row],[Q''ty]])</f>
        <v>=F2081</v>
      </c>
    </row>
    <row r="2181" spans="1:10" s="2" customFormat="1" ht="15" hidden="1" customHeight="1" x14ac:dyDescent="0.4">
      <c r="A2181" s="6">
        <v>2026</v>
      </c>
      <c r="B2181" s="6">
        <f t="shared" ref="B2181:B2244" si="276">B2082+1</f>
        <v>23</v>
      </c>
      <c r="C2181" s="13" t="s">
        <v>23</v>
      </c>
      <c r="D2181" s="2" t="s">
        <v>6</v>
      </c>
      <c r="E2181" s="14" t="s">
        <v>8</v>
      </c>
      <c r="F2181" s="22">
        <f t="shared" si="275"/>
        <v>10</v>
      </c>
      <c r="H2181" s="5" t="str">
        <f ca="1">_xlfn.FORMULATEXT(표1[[#This Row],[Q''ty]])</f>
        <v>=F2082</v>
      </c>
      <c r="I2181" s="26"/>
      <c r="J2181" s="26"/>
    </row>
    <row r="2182" spans="1:10" s="2" customFormat="1" ht="15" hidden="1" customHeight="1" x14ac:dyDescent="0.4">
      <c r="A2182" s="6">
        <v>2026</v>
      </c>
      <c r="B2182" s="6">
        <f t="shared" si="276"/>
        <v>23</v>
      </c>
      <c r="C2182" s="13" t="s">
        <v>23</v>
      </c>
      <c r="D2182" s="2" t="s">
        <v>6</v>
      </c>
      <c r="E2182" s="14" t="s">
        <v>9</v>
      </c>
      <c r="F2182" s="22">
        <f t="shared" si="275"/>
        <v>5</v>
      </c>
      <c r="H2182" s="5" t="str">
        <f ca="1">_xlfn.FORMULATEXT(표1[[#This Row],[Q''ty]])</f>
        <v>=F2083</v>
      </c>
      <c r="I2182" s="26"/>
      <c r="J2182" s="26"/>
    </row>
    <row r="2183" spans="1:10" ht="15" hidden="1" customHeight="1" x14ac:dyDescent="0.4">
      <c r="A2183" s="6">
        <v>2026</v>
      </c>
      <c r="B2183" s="6">
        <f t="shared" si="276"/>
        <v>23</v>
      </c>
      <c r="C2183" s="13" t="s">
        <v>23</v>
      </c>
      <c r="D2183" s="2" t="s">
        <v>6</v>
      </c>
      <c r="E2183" s="14" t="s">
        <v>27</v>
      </c>
      <c r="F2183" s="22">
        <f t="shared" si="275"/>
        <v>6</v>
      </c>
      <c r="H2183" s="5" t="str">
        <f ca="1">_xlfn.FORMULATEXT(표1[[#This Row],[Q''ty]])</f>
        <v>=F2084</v>
      </c>
    </row>
    <row r="2184" spans="1:10" ht="15" hidden="1" customHeight="1" x14ac:dyDescent="0.4">
      <c r="A2184" s="6">
        <v>2026</v>
      </c>
      <c r="B2184" s="6">
        <f t="shared" si="276"/>
        <v>23</v>
      </c>
      <c r="C2184" s="13" t="s">
        <v>23</v>
      </c>
      <c r="D2184" s="2" t="s">
        <v>6</v>
      </c>
      <c r="E2184" s="14" t="s">
        <v>10</v>
      </c>
      <c r="F2184" s="22">
        <f t="shared" si="275"/>
        <v>10</v>
      </c>
      <c r="H2184" s="5" t="str">
        <f ca="1">_xlfn.FORMULATEXT(표1[[#This Row],[Q''ty]])</f>
        <v>=F2085</v>
      </c>
    </row>
    <row r="2185" spans="1:10" ht="15" hidden="1" customHeight="1" x14ac:dyDescent="0.4">
      <c r="A2185" s="6">
        <v>2026</v>
      </c>
      <c r="B2185" s="6">
        <f t="shared" si="276"/>
        <v>23</v>
      </c>
      <c r="C2185" s="13" t="s">
        <v>23</v>
      </c>
      <c r="D2185" s="2" t="s">
        <v>6</v>
      </c>
      <c r="E2185" s="14" t="s">
        <v>11</v>
      </c>
      <c r="F2185" s="22">
        <f t="shared" si="275"/>
        <v>10</v>
      </c>
      <c r="H2185" s="5" t="str">
        <f ca="1">_xlfn.FORMULATEXT(표1[[#This Row],[Q''ty]])</f>
        <v>=F2086</v>
      </c>
    </row>
    <row r="2186" spans="1:10" ht="15" hidden="1" customHeight="1" x14ac:dyDescent="0.4">
      <c r="A2186" s="6">
        <v>2026</v>
      </c>
      <c r="B2186" s="6">
        <f t="shared" si="276"/>
        <v>23</v>
      </c>
      <c r="C2186" s="13" t="s">
        <v>23</v>
      </c>
      <c r="D2186" s="2" t="s">
        <v>12</v>
      </c>
      <c r="E2186" s="14" t="s">
        <v>13</v>
      </c>
      <c r="F2186" s="22"/>
      <c r="H2186" s="5" t="e">
        <f ca="1">_xlfn.FORMULATEXT(표1[[#This Row],[Q''ty]])</f>
        <v>#N/A</v>
      </c>
    </row>
    <row r="2187" spans="1:10" s="2" customFormat="1" ht="15" hidden="1" customHeight="1" x14ac:dyDescent="0.4">
      <c r="A2187" s="6">
        <v>2026</v>
      </c>
      <c r="B2187" s="6">
        <f t="shared" si="276"/>
        <v>23</v>
      </c>
      <c r="C2187" s="13" t="s">
        <v>23</v>
      </c>
      <c r="D2187" s="2" t="s">
        <v>12</v>
      </c>
      <c r="E2187" s="14" t="s">
        <v>14</v>
      </c>
      <c r="F2187" s="22"/>
      <c r="H2187" s="5" t="e">
        <f ca="1">_xlfn.FORMULATEXT(표1[[#This Row],[Q''ty]])</f>
        <v>#N/A</v>
      </c>
      <c r="I2187" s="26"/>
      <c r="J2187" s="26"/>
    </row>
    <row r="2188" spans="1:10" ht="15" hidden="1" customHeight="1" x14ac:dyDescent="0.4">
      <c r="A2188" s="6">
        <v>2026</v>
      </c>
      <c r="B2188" s="6">
        <f t="shared" si="276"/>
        <v>23</v>
      </c>
      <c r="C2188" s="13" t="s">
        <v>23</v>
      </c>
      <c r="D2188" s="2" t="s">
        <v>12</v>
      </c>
      <c r="E2188" s="14" t="s">
        <v>15</v>
      </c>
      <c r="F2188" s="22"/>
      <c r="H2188" s="5" t="e">
        <f ca="1">_xlfn.FORMULATEXT(표1[[#This Row],[Q''ty]])</f>
        <v>#N/A</v>
      </c>
    </row>
    <row r="2189" spans="1:10" ht="15" hidden="1" customHeight="1" x14ac:dyDescent="0.4">
      <c r="A2189" s="6">
        <v>2026</v>
      </c>
      <c r="B2189" s="6">
        <f t="shared" si="276"/>
        <v>23</v>
      </c>
      <c r="C2189" s="13" t="s">
        <v>23</v>
      </c>
      <c r="D2189" s="2" t="s">
        <v>12</v>
      </c>
      <c r="E2189" s="14" t="s">
        <v>16</v>
      </c>
      <c r="F2189" s="22"/>
      <c r="H2189" s="5" t="e">
        <f ca="1">_xlfn.FORMULATEXT(표1[[#This Row],[Q''ty]])</f>
        <v>#N/A</v>
      </c>
    </row>
    <row r="2190" spans="1:10" ht="15" hidden="1" customHeight="1" thickBot="1" x14ac:dyDescent="0.45">
      <c r="A2190" s="15">
        <v>2026</v>
      </c>
      <c r="B2190" s="15">
        <f t="shared" si="276"/>
        <v>23</v>
      </c>
      <c r="C2190" s="16" t="s">
        <v>23</v>
      </c>
      <c r="D2190" s="17" t="s">
        <v>12</v>
      </c>
      <c r="E2190" s="18" t="s">
        <v>17</v>
      </c>
      <c r="F2190" s="23"/>
      <c r="H2190" s="5" t="e">
        <f ca="1">_xlfn.FORMULATEXT(표1[[#This Row],[Q''ty]])</f>
        <v>#N/A</v>
      </c>
    </row>
    <row r="2191" spans="1:10" ht="15" hidden="1" customHeight="1" thickTop="1" x14ac:dyDescent="0.4">
      <c r="A2191" s="9">
        <v>2026</v>
      </c>
      <c r="B2191" s="9">
        <f t="shared" si="276"/>
        <v>23</v>
      </c>
      <c r="C2191" s="10" t="s">
        <v>29</v>
      </c>
      <c r="D2191" s="11" t="s">
        <v>6</v>
      </c>
      <c r="E2191" s="12" t="s">
        <v>7</v>
      </c>
      <c r="F2191" s="21">
        <f t="shared" ref="F2191:F2196" si="277">F2092</f>
        <v>14</v>
      </c>
      <c r="H2191" s="5" t="str">
        <f ca="1">_xlfn.FORMULATEXT(표1[[#This Row],[Q''ty]])</f>
        <v>=F2092</v>
      </c>
    </row>
    <row r="2192" spans="1:10" s="2" customFormat="1" ht="15" hidden="1" customHeight="1" x14ac:dyDescent="0.4">
      <c r="A2192" s="6">
        <v>2026</v>
      </c>
      <c r="B2192" s="6">
        <f t="shared" si="276"/>
        <v>23</v>
      </c>
      <c r="C2192" s="13" t="s">
        <v>24</v>
      </c>
      <c r="D2192" s="2" t="s">
        <v>6</v>
      </c>
      <c r="E2192" s="14" t="s">
        <v>8</v>
      </c>
      <c r="F2192" s="22">
        <f t="shared" si="277"/>
        <v>8</v>
      </c>
      <c r="H2192" s="5" t="str">
        <f ca="1">_xlfn.FORMULATEXT(표1[[#This Row],[Q''ty]])</f>
        <v>=F2093</v>
      </c>
      <c r="I2192" s="26"/>
      <c r="J2192" s="26"/>
    </row>
    <row r="2193" spans="1:10" s="2" customFormat="1" ht="15" hidden="1" customHeight="1" x14ac:dyDescent="0.4">
      <c r="A2193" s="6">
        <v>2026</v>
      </c>
      <c r="B2193" s="6">
        <f t="shared" si="276"/>
        <v>23</v>
      </c>
      <c r="C2193" s="13" t="s">
        <v>24</v>
      </c>
      <c r="D2193" s="2" t="s">
        <v>6</v>
      </c>
      <c r="E2193" s="14" t="s">
        <v>9</v>
      </c>
      <c r="F2193" s="22">
        <f t="shared" si="277"/>
        <v>4</v>
      </c>
      <c r="H2193" s="5" t="str">
        <f ca="1">_xlfn.FORMULATEXT(표1[[#This Row],[Q''ty]])</f>
        <v>=F2094</v>
      </c>
      <c r="I2193" s="26"/>
      <c r="J2193" s="26"/>
    </row>
    <row r="2194" spans="1:10" ht="15" hidden="1" customHeight="1" x14ac:dyDescent="0.4">
      <c r="A2194" s="6">
        <v>2026</v>
      </c>
      <c r="B2194" s="6">
        <f t="shared" si="276"/>
        <v>23</v>
      </c>
      <c r="C2194" s="13" t="s">
        <v>24</v>
      </c>
      <c r="D2194" s="2" t="s">
        <v>6</v>
      </c>
      <c r="E2194" s="14" t="s">
        <v>27</v>
      </c>
      <c r="F2194" s="22">
        <f t="shared" si="277"/>
        <v>3</v>
      </c>
      <c r="H2194" s="5" t="str">
        <f ca="1">_xlfn.FORMULATEXT(표1[[#This Row],[Q''ty]])</f>
        <v>=F2095</v>
      </c>
    </row>
    <row r="2195" spans="1:10" ht="15" hidden="1" customHeight="1" x14ac:dyDescent="0.4">
      <c r="A2195" s="6">
        <v>2026</v>
      </c>
      <c r="B2195" s="6">
        <f t="shared" si="276"/>
        <v>23</v>
      </c>
      <c r="C2195" s="13" t="s">
        <v>24</v>
      </c>
      <c r="D2195" s="2" t="s">
        <v>6</v>
      </c>
      <c r="E2195" s="14" t="s">
        <v>10</v>
      </c>
      <c r="F2195" s="22">
        <f t="shared" si="277"/>
        <v>6</v>
      </c>
      <c r="H2195" s="5" t="str">
        <f ca="1">_xlfn.FORMULATEXT(표1[[#This Row],[Q''ty]])</f>
        <v>=F2096</v>
      </c>
    </row>
    <row r="2196" spans="1:10" ht="15" hidden="1" customHeight="1" x14ac:dyDescent="0.4">
      <c r="A2196" s="6">
        <v>2026</v>
      </c>
      <c r="B2196" s="6">
        <f t="shared" si="276"/>
        <v>23</v>
      </c>
      <c r="C2196" s="13" t="s">
        <v>24</v>
      </c>
      <c r="D2196" s="2" t="s">
        <v>6</v>
      </c>
      <c r="E2196" s="14" t="s">
        <v>11</v>
      </c>
      <c r="F2196" s="22">
        <f t="shared" si="277"/>
        <v>8.8000000000000007</v>
      </c>
      <c r="H2196" s="5" t="str">
        <f ca="1">_xlfn.FORMULATEXT(표1[[#This Row],[Q''ty]])</f>
        <v>=F2097</v>
      </c>
    </row>
    <row r="2197" spans="1:10" ht="15" hidden="1" customHeight="1" x14ac:dyDescent="0.4">
      <c r="A2197" s="6">
        <v>2026</v>
      </c>
      <c r="B2197" s="6">
        <f t="shared" si="276"/>
        <v>23</v>
      </c>
      <c r="C2197" s="13" t="s">
        <v>24</v>
      </c>
      <c r="D2197" s="2" t="s">
        <v>12</v>
      </c>
      <c r="E2197" s="14" t="s">
        <v>13</v>
      </c>
      <c r="F2197" s="22"/>
      <c r="H2197" s="5" t="e">
        <f ca="1">_xlfn.FORMULATEXT(표1[[#This Row],[Q''ty]])</f>
        <v>#N/A</v>
      </c>
    </row>
    <row r="2198" spans="1:10" s="2" customFormat="1" ht="15" hidden="1" customHeight="1" x14ac:dyDescent="0.4">
      <c r="A2198" s="6">
        <v>2026</v>
      </c>
      <c r="B2198" s="6">
        <f t="shared" si="276"/>
        <v>23</v>
      </c>
      <c r="C2198" s="13" t="s">
        <v>24</v>
      </c>
      <c r="D2198" s="2" t="s">
        <v>12</v>
      </c>
      <c r="E2198" s="14" t="s">
        <v>14</v>
      </c>
      <c r="F2198" s="22"/>
      <c r="H2198" s="5" t="e">
        <f ca="1">_xlfn.FORMULATEXT(표1[[#This Row],[Q''ty]])</f>
        <v>#N/A</v>
      </c>
      <c r="I2198" s="26"/>
      <c r="J2198" s="26"/>
    </row>
    <row r="2199" spans="1:10" ht="15" hidden="1" customHeight="1" x14ac:dyDescent="0.4">
      <c r="A2199" s="6">
        <v>2026</v>
      </c>
      <c r="B2199" s="6">
        <f t="shared" si="276"/>
        <v>23</v>
      </c>
      <c r="C2199" s="13" t="s">
        <v>24</v>
      </c>
      <c r="D2199" s="2" t="s">
        <v>12</v>
      </c>
      <c r="E2199" s="14" t="s">
        <v>15</v>
      </c>
      <c r="F2199" s="22"/>
      <c r="H2199" s="5" t="e">
        <f ca="1">_xlfn.FORMULATEXT(표1[[#This Row],[Q''ty]])</f>
        <v>#N/A</v>
      </c>
    </row>
    <row r="2200" spans="1:10" ht="15" hidden="1" customHeight="1" x14ac:dyDescent="0.4">
      <c r="A2200" s="6">
        <v>2026</v>
      </c>
      <c r="B2200" s="6">
        <f t="shared" si="276"/>
        <v>23</v>
      </c>
      <c r="C2200" s="13" t="s">
        <v>24</v>
      </c>
      <c r="D2200" s="2" t="s">
        <v>12</v>
      </c>
      <c r="E2200" s="14" t="s">
        <v>16</v>
      </c>
      <c r="F2200" s="22"/>
      <c r="H2200" s="5" t="e">
        <f ca="1">_xlfn.FORMULATEXT(표1[[#This Row],[Q''ty]])</f>
        <v>#N/A</v>
      </c>
    </row>
    <row r="2201" spans="1:10" ht="15" hidden="1" customHeight="1" thickBot="1" x14ac:dyDescent="0.45">
      <c r="A2201" s="15">
        <v>2026</v>
      </c>
      <c r="B2201" s="15">
        <f t="shared" si="276"/>
        <v>23</v>
      </c>
      <c r="C2201" s="16" t="s">
        <v>24</v>
      </c>
      <c r="D2201" s="17" t="s">
        <v>12</v>
      </c>
      <c r="E2201" s="18" t="s">
        <v>17</v>
      </c>
      <c r="F2201" s="23"/>
      <c r="H2201" s="5" t="e">
        <f ca="1">_xlfn.FORMULATEXT(표1[[#This Row],[Q''ty]])</f>
        <v>#N/A</v>
      </c>
    </row>
    <row r="2202" spans="1:10" ht="15" hidden="1" customHeight="1" thickTop="1" x14ac:dyDescent="0.4">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10" ht="15" hidden="1" customHeight="1" x14ac:dyDescent="0.4">
      <c r="A2203" s="6">
        <v>2026</v>
      </c>
      <c r="B2203" s="6">
        <f t="shared" si="276"/>
        <v>23</v>
      </c>
      <c r="C2203" s="13" t="s">
        <v>18</v>
      </c>
      <c r="D2203" s="2" t="s">
        <v>6</v>
      </c>
      <c r="E2203" s="14" t="str">
        <f t="shared" si="278"/>
        <v>Paint Booth</v>
      </c>
      <c r="F2203" s="22">
        <f t="shared" si="278"/>
        <v>3</v>
      </c>
      <c r="H2203" s="5" t="str">
        <f ca="1">_xlfn.FORMULATEXT(표1[[#This Row],[Q''ty]])</f>
        <v>=F2104</v>
      </c>
    </row>
    <row r="2204" spans="1:10" ht="15" hidden="1" customHeight="1" x14ac:dyDescent="0.4">
      <c r="A2204" s="6">
        <v>2026</v>
      </c>
      <c r="B2204" s="6">
        <f t="shared" si="276"/>
        <v>23</v>
      </c>
      <c r="C2204" s="13" t="s">
        <v>18</v>
      </c>
      <c r="D2204" s="2" t="s">
        <v>6</v>
      </c>
      <c r="E2204" s="14" t="str">
        <f t="shared" si="278"/>
        <v>Paint Line</v>
      </c>
      <c r="F2204" s="22">
        <f t="shared" si="278"/>
        <v>2</v>
      </c>
      <c r="H2204" s="5" t="str">
        <f ca="1">_xlfn.FORMULATEXT(표1[[#This Row],[Q''ty]])</f>
        <v>=F2105</v>
      </c>
    </row>
    <row r="2205" spans="1:10" ht="15" hidden="1" customHeight="1" x14ac:dyDescent="0.4">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10" ht="15" hidden="1" customHeight="1" x14ac:dyDescent="0.4">
      <c r="A2206" s="6">
        <v>2026</v>
      </c>
      <c r="B2206" s="6">
        <f t="shared" si="276"/>
        <v>23</v>
      </c>
      <c r="C2206" s="13" t="s">
        <v>18</v>
      </c>
      <c r="D2206" s="2" t="s">
        <v>6</v>
      </c>
      <c r="E2206" s="14" t="str">
        <f t="shared" si="278"/>
        <v>L/W Machine</v>
      </c>
      <c r="F2206" s="22">
        <f t="shared" si="278"/>
        <v>2</v>
      </c>
      <c r="H2206" s="5" t="str">
        <f ca="1">_xlfn.FORMULATEXT(표1[[#This Row],[Q''ty]])</f>
        <v>=F2107</v>
      </c>
    </row>
    <row r="2207" spans="1:10" ht="15" hidden="1" customHeight="1" x14ac:dyDescent="0.4">
      <c r="A2207" s="6">
        <v>2026</v>
      </c>
      <c r="B2207" s="6">
        <f t="shared" si="276"/>
        <v>23</v>
      </c>
      <c r="C2207" s="13" t="s">
        <v>18</v>
      </c>
      <c r="D2207" s="2" t="s">
        <v>6</v>
      </c>
      <c r="E2207" s="14" t="str">
        <f t="shared" si="278"/>
        <v>C/W Machine</v>
      </c>
      <c r="F2207" s="22">
        <f t="shared" si="278"/>
        <v>3</v>
      </c>
      <c r="H2207" s="5" t="str">
        <f ca="1">_xlfn.FORMULATEXT(표1[[#This Row],[Q''ty]])</f>
        <v>=F2108</v>
      </c>
    </row>
    <row r="2208" spans="1:10" ht="15" hidden="1" customHeight="1" x14ac:dyDescent="0.4">
      <c r="A2208" s="6">
        <v>2026</v>
      </c>
      <c r="B2208" s="6">
        <f t="shared" si="276"/>
        <v>23</v>
      </c>
      <c r="C2208" s="13" t="s">
        <v>18</v>
      </c>
      <c r="D2208" s="2" t="s">
        <v>12</v>
      </c>
      <c r="E2208" s="14" t="str">
        <f t="shared" ref="E2208:E2223" si="279">E2109</f>
        <v>BT GT</v>
      </c>
      <c r="F2208" s="22"/>
      <c r="H2208" s="5" t="e">
        <f ca="1">_xlfn.FORMULATEXT(표1[[#This Row],[Q''ty]])</f>
        <v>#N/A</v>
      </c>
    </row>
    <row r="2209" spans="1:8" ht="15" hidden="1" customHeight="1" x14ac:dyDescent="0.4">
      <c r="A2209" s="6">
        <v>2026</v>
      </c>
      <c r="B2209" s="6">
        <f t="shared" si="276"/>
        <v>23</v>
      </c>
      <c r="C2209" s="13" t="s">
        <v>18</v>
      </c>
      <c r="D2209" s="2" t="s">
        <v>12</v>
      </c>
      <c r="E2209" s="14" t="str">
        <f t="shared" si="279"/>
        <v>WT GT</v>
      </c>
      <c r="F2209" s="22"/>
      <c r="H2209" s="5" t="e">
        <f ca="1">_xlfn.FORMULATEXT(표1[[#This Row],[Q''ty]])</f>
        <v>#N/A</v>
      </c>
    </row>
    <row r="2210" spans="1:8" ht="15" hidden="1" customHeight="1" x14ac:dyDescent="0.4">
      <c r="A2210" s="6">
        <v>2026</v>
      </c>
      <c r="B2210" s="6">
        <f t="shared" si="276"/>
        <v>23</v>
      </c>
      <c r="C2210" s="13" t="s">
        <v>18</v>
      </c>
      <c r="D2210" s="2" t="s">
        <v>12</v>
      </c>
      <c r="E2210" s="14" t="str">
        <f t="shared" si="279"/>
        <v>Bending</v>
      </c>
      <c r="F2210" s="22"/>
      <c r="H2210" s="5" t="e">
        <f ca="1">_xlfn.FORMULATEXT(표1[[#This Row],[Q''ty]])</f>
        <v>#N/A</v>
      </c>
    </row>
    <row r="2211" spans="1:8" ht="15" hidden="1" customHeight="1" x14ac:dyDescent="0.4">
      <c r="A2211" s="6">
        <v>2026</v>
      </c>
      <c r="B2211" s="6">
        <f t="shared" si="276"/>
        <v>23</v>
      </c>
      <c r="C2211" s="13" t="s">
        <v>18</v>
      </c>
      <c r="D2211" s="2" t="s">
        <v>12</v>
      </c>
      <c r="E2211" s="14" t="str">
        <f t="shared" si="279"/>
        <v>L/W</v>
      </c>
      <c r="F2211" s="22"/>
      <c r="H2211" s="5" t="e">
        <f ca="1">_xlfn.FORMULATEXT(표1[[#This Row],[Q''ty]])</f>
        <v>#N/A</v>
      </c>
    </row>
    <row r="2212" spans="1:8" ht="15" hidden="1" customHeight="1" thickBot="1" x14ac:dyDescent="0.45">
      <c r="A2212" s="15">
        <v>2026</v>
      </c>
      <c r="B2212" s="15">
        <f t="shared" si="276"/>
        <v>23</v>
      </c>
      <c r="C2212" s="16" t="s">
        <v>18</v>
      </c>
      <c r="D2212" s="17" t="s">
        <v>12</v>
      </c>
      <c r="E2212" s="18" t="str">
        <f t="shared" si="279"/>
        <v>C/W</v>
      </c>
      <c r="F2212" s="23"/>
      <c r="H2212" s="5" t="e">
        <f ca="1">_xlfn.FORMULATEXT(표1[[#This Row],[Q''ty]])</f>
        <v>#N/A</v>
      </c>
    </row>
    <row r="2213" spans="1:8" ht="15" hidden="1" customHeight="1" thickTop="1" x14ac:dyDescent="0.4">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hidden="1" customHeight="1" x14ac:dyDescent="0.4">
      <c r="A2214" s="6">
        <v>2026</v>
      </c>
      <c r="B2214" s="6">
        <f t="shared" si="276"/>
        <v>23</v>
      </c>
      <c r="C2214" s="13" t="s">
        <v>19</v>
      </c>
      <c r="D2214" s="2" t="s">
        <v>6</v>
      </c>
      <c r="E2214" s="14" t="str">
        <f t="shared" si="279"/>
        <v>Paint Booth</v>
      </c>
      <c r="F2214" s="22">
        <f t="shared" si="280"/>
        <v>22</v>
      </c>
      <c r="H2214" s="5" t="str">
        <f ca="1">_xlfn.FORMULATEXT(표1[[#This Row],[Q''ty]])</f>
        <v>=F2115</v>
      </c>
    </row>
    <row r="2215" spans="1:8" ht="15" hidden="1" customHeight="1" x14ac:dyDescent="0.4">
      <c r="A2215" s="6">
        <v>2026</v>
      </c>
      <c r="B2215" s="6">
        <f t="shared" si="276"/>
        <v>23</v>
      </c>
      <c r="C2215" s="13" t="s">
        <v>19</v>
      </c>
      <c r="D2215" s="2" t="s">
        <v>6</v>
      </c>
      <c r="E2215" s="14" t="str">
        <f t="shared" si="279"/>
        <v>Paint Line</v>
      </c>
      <c r="F2215" s="22">
        <f t="shared" si="280"/>
        <v>6</v>
      </c>
      <c r="H2215" s="5" t="str">
        <f ca="1">_xlfn.FORMULATEXT(표1[[#This Row],[Q''ty]])</f>
        <v>=F2116</v>
      </c>
    </row>
    <row r="2216" spans="1:8" ht="15" hidden="1" customHeight="1" x14ac:dyDescent="0.4">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hidden="1" customHeight="1" x14ac:dyDescent="0.4">
      <c r="A2217" s="6">
        <v>2026</v>
      </c>
      <c r="B2217" s="6">
        <f t="shared" si="276"/>
        <v>23</v>
      </c>
      <c r="C2217" s="13" t="s">
        <v>19</v>
      </c>
      <c r="D2217" s="2" t="s">
        <v>6</v>
      </c>
      <c r="E2217" s="14" t="str">
        <f t="shared" si="279"/>
        <v>L/W Machine</v>
      </c>
      <c r="F2217" s="22">
        <f t="shared" si="280"/>
        <v>10</v>
      </c>
      <c r="H2217" s="5" t="str">
        <f ca="1">_xlfn.FORMULATEXT(표1[[#This Row],[Q''ty]])</f>
        <v>=F2118</v>
      </c>
    </row>
    <row r="2218" spans="1:8" ht="15" hidden="1" customHeight="1" x14ac:dyDescent="0.4">
      <c r="A2218" s="6">
        <v>2026</v>
      </c>
      <c r="B2218" s="6">
        <f t="shared" si="276"/>
        <v>23</v>
      </c>
      <c r="C2218" s="13" t="s">
        <v>19</v>
      </c>
      <c r="D2218" s="2" t="s">
        <v>6</v>
      </c>
      <c r="E2218" s="14" t="str">
        <f t="shared" si="279"/>
        <v>C/W Machine</v>
      </c>
      <c r="F2218" s="22">
        <f t="shared" si="280"/>
        <v>12</v>
      </c>
      <c r="H2218" s="5" t="str">
        <f ca="1">_xlfn.FORMULATEXT(표1[[#This Row],[Q''ty]])</f>
        <v>=F2119</v>
      </c>
    </row>
    <row r="2219" spans="1:8" ht="15" hidden="1" customHeight="1" x14ac:dyDescent="0.4">
      <c r="A2219" s="6">
        <v>2026</v>
      </c>
      <c r="B2219" s="6">
        <f t="shared" si="276"/>
        <v>23</v>
      </c>
      <c r="C2219" s="13" t="s">
        <v>19</v>
      </c>
      <c r="D2219" s="2" t="s">
        <v>12</v>
      </c>
      <c r="E2219" s="14" t="str">
        <f t="shared" si="279"/>
        <v>BT GT</v>
      </c>
      <c r="F2219" s="22"/>
      <c r="H2219" s="5" t="e">
        <f ca="1">_xlfn.FORMULATEXT(표1[[#This Row],[Q''ty]])</f>
        <v>#N/A</v>
      </c>
    </row>
    <row r="2220" spans="1:8" ht="15" hidden="1" customHeight="1" x14ac:dyDescent="0.4">
      <c r="A2220" s="6">
        <v>2026</v>
      </c>
      <c r="B2220" s="6">
        <f t="shared" si="276"/>
        <v>23</v>
      </c>
      <c r="C2220" s="13" t="s">
        <v>19</v>
      </c>
      <c r="D2220" s="2" t="s">
        <v>12</v>
      </c>
      <c r="E2220" s="14" t="str">
        <f t="shared" si="279"/>
        <v>WT GT</v>
      </c>
      <c r="F2220" s="22"/>
      <c r="H2220" s="5" t="e">
        <f ca="1">_xlfn.FORMULATEXT(표1[[#This Row],[Q''ty]])</f>
        <v>#N/A</v>
      </c>
    </row>
    <row r="2221" spans="1:8" ht="15" hidden="1" customHeight="1" x14ac:dyDescent="0.4">
      <c r="A2221" s="6">
        <v>2026</v>
      </c>
      <c r="B2221" s="6">
        <f t="shared" si="276"/>
        <v>23</v>
      </c>
      <c r="C2221" s="13" t="s">
        <v>19</v>
      </c>
      <c r="D2221" s="2" t="s">
        <v>12</v>
      </c>
      <c r="E2221" s="14" t="str">
        <f t="shared" si="279"/>
        <v>Bending</v>
      </c>
      <c r="F2221" s="22"/>
      <c r="H2221" s="5" t="e">
        <f ca="1">_xlfn.FORMULATEXT(표1[[#This Row],[Q''ty]])</f>
        <v>#N/A</v>
      </c>
    </row>
    <row r="2222" spans="1:8" ht="15" hidden="1" customHeight="1" x14ac:dyDescent="0.4">
      <c r="A2222" s="6">
        <v>2026</v>
      </c>
      <c r="B2222" s="6">
        <f t="shared" si="276"/>
        <v>23</v>
      </c>
      <c r="C2222" s="13" t="s">
        <v>19</v>
      </c>
      <c r="D2222" s="2" t="s">
        <v>12</v>
      </c>
      <c r="E2222" s="14" t="str">
        <f t="shared" si="279"/>
        <v>L/W</v>
      </c>
      <c r="F2222" s="22"/>
      <c r="H2222" s="5" t="e">
        <f ca="1">_xlfn.FORMULATEXT(표1[[#This Row],[Q''ty]])</f>
        <v>#N/A</v>
      </c>
    </row>
    <row r="2223" spans="1:8" ht="15" hidden="1" customHeight="1" thickBot="1" x14ac:dyDescent="0.45">
      <c r="A2223" s="15">
        <v>2026</v>
      </c>
      <c r="B2223" s="15">
        <f t="shared" si="276"/>
        <v>23</v>
      </c>
      <c r="C2223" s="16" t="s">
        <v>19</v>
      </c>
      <c r="D2223" s="17" t="s">
        <v>12</v>
      </c>
      <c r="E2223" s="18" t="str">
        <f t="shared" si="279"/>
        <v>C/W</v>
      </c>
      <c r="F2223" s="23"/>
      <c r="H2223" s="5" t="e">
        <f ca="1">_xlfn.FORMULATEXT(표1[[#This Row],[Q''ty]])</f>
        <v>#N/A</v>
      </c>
    </row>
    <row r="2224" spans="1:8" ht="15" hidden="1" customHeight="1" thickTop="1" x14ac:dyDescent="0.4">
      <c r="A2224" s="6">
        <v>2026</v>
      </c>
      <c r="B2224" s="6">
        <f t="shared" si="276"/>
        <v>23</v>
      </c>
      <c r="C2224" s="13" t="s">
        <v>25</v>
      </c>
      <c r="D2224" s="2" t="s">
        <v>6</v>
      </c>
      <c r="E2224" s="14" t="s">
        <v>7</v>
      </c>
      <c r="F2224" s="22">
        <f t="shared" ref="F2224:F2229" si="281">F2125</f>
        <v>3</v>
      </c>
      <c r="H2224" s="5" t="str">
        <f ca="1">_xlfn.FORMULATEXT(표1[[#This Row],[Q''ty]])</f>
        <v>=F2125</v>
      </c>
    </row>
    <row r="2225" spans="1:8" ht="15" hidden="1" customHeight="1" x14ac:dyDescent="0.4">
      <c r="A2225" s="6">
        <v>2026</v>
      </c>
      <c r="B2225" s="6">
        <f t="shared" si="276"/>
        <v>23</v>
      </c>
      <c r="C2225" s="13" t="s">
        <v>25</v>
      </c>
      <c r="D2225" s="2" t="s">
        <v>6</v>
      </c>
      <c r="E2225" s="14" t="s">
        <v>8</v>
      </c>
      <c r="F2225" s="22">
        <f t="shared" si="281"/>
        <v>3</v>
      </c>
      <c r="H2225" s="5" t="str">
        <f ca="1">_xlfn.FORMULATEXT(표1[[#This Row],[Q''ty]])</f>
        <v>=F2126</v>
      </c>
    </row>
    <row r="2226" spans="1:8" ht="15" hidden="1" customHeight="1" x14ac:dyDescent="0.4">
      <c r="A2226" s="6">
        <v>2026</v>
      </c>
      <c r="B2226" s="6">
        <f t="shared" si="276"/>
        <v>23</v>
      </c>
      <c r="C2226" s="13" t="s">
        <v>25</v>
      </c>
      <c r="D2226" s="2" t="s">
        <v>6</v>
      </c>
      <c r="E2226" s="14" t="s">
        <v>9</v>
      </c>
      <c r="F2226" s="22">
        <f t="shared" si="281"/>
        <v>2</v>
      </c>
      <c r="H2226" s="5" t="str">
        <f ca="1">_xlfn.FORMULATEXT(표1[[#This Row],[Q''ty]])</f>
        <v>=F2127</v>
      </c>
    </row>
    <row r="2227" spans="1:8" ht="15" hidden="1" customHeight="1" x14ac:dyDescent="0.4">
      <c r="A2227" s="6">
        <v>2026</v>
      </c>
      <c r="B2227" s="6">
        <f t="shared" si="276"/>
        <v>23</v>
      </c>
      <c r="C2227" s="13" t="s">
        <v>25</v>
      </c>
      <c r="D2227" s="2" t="s">
        <v>6</v>
      </c>
      <c r="E2227" s="14" t="s">
        <v>27</v>
      </c>
      <c r="F2227" s="22">
        <f t="shared" si="281"/>
        <v>2</v>
      </c>
      <c r="H2227" s="5" t="str">
        <f ca="1">_xlfn.FORMULATEXT(표1[[#This Row],[Q''ty]])</f>
        <v>=F2128</v>
      </c>
    </row>
    <row r="2228" spans="1:8" ht="15" hidden="1" customHeight="1" x14ac:dyDescent="0.4">
      <c r="A2228" s="6">
        <v>2026</v>
      </c>
      <c r="B2228" s="6">
        <f t="shared" si="276"/>
        <v>23</v>
      </c>
      <c r="C2228" s="13" t="s">
        <v>25</v>
      </c>
      <c r="D2228" s="2" t="s">
        <v>6</v>
      </c>
      <c r="E2228" s="14" t="s">
        <v>10</v>
      </c>
      <c r="F2228" s="22">
        <f t="shared" si="281"/>
        <v>3</v>
      </c>
      <c r="H2228" s="5" t="str">
        <f ca="1">_xlfn.FORMULATEXT(표1[[#This Row],[Q''ty]])</f>
        <v>=F2129</v>
      </c>
    </row>
    <row r="2229" spans="1:8" ht="15" hidden="1" customHeight="1" x14ac:dyDescent="0.4">
      <c r="A2229" s="6">
        <v>2026</v>
      </c>
      <c r="B2229" s="6">
        <f t="shared" si="276"/>
        <v>23</v>
      </c>
      <c r="C2229" s="13" t="s">
        <v>25</v>
      </c>
      <c r="D2229" s="2" t="s">
        <v>6</v>
      </c>
      <c r="E2229" s="14" t="s">
        <v>11</v>
      </c>
      <c r="F2229" s="22">
        <f t="shared" si="281"/>
        <v>4</v>
      </c>
      <c r="H2229" s="5" t="str">
        <f ca="1">_xlfn.FORMULATEXT(표1[[#This Row],[Q''ty]])</f>
        <v>=F2130</v>
      </c>
    </row>
    <row r="2230" spans="1:8" ht="15" hidden="1" customHeight="1" x14ac:dyDescent="0.4">
      <c r="A2230" s="6">
        <v>2026</v>
      </c>
      <c r="B2230" s="6">
        <f t="shared" si="276"/>
        <v>23</v>
      </c>
      <c r="C2230" s="13" t="s">
        <v>25</v>
      </c>
      <c r="D2230" s="2" t="s">
        <v>12</v>
      </c>
      <c r="E2230" s="14" t="s">
        <v>13</v>
      </c>
      <c r="F2230" s="22"/>
      <c r="H2230" s="5" t="e">
        <f ca="1">_xlfn.FORMULATEXT(표1[[#This Row],[Q''ty]])</f>
        <v>#N/A</v>
      </c>
    </row>
    <row r="2231" spans="1:8" ht="15" hidden="1" customHeight="1" x14ac:dyDescent="0.4">
      <c r="A2231" s="6">
        <v>2026</v>
      </c>
      <c r="B2231" s="6">
        <f t="shared" si="276"/>
        <v>23</v>
      </c>
      <c r="C2231" s="13" t="s">
        <v>25</v>
      </c>
      <c r="D2231" s="2" t="s">
        <v>12</v>
      </c>
      <c r="E2231" s="14" t="s">
        <v>14</v>
      </c>
      <c r="F2231" s="22"/>
      <c r="H2231" s="5" t="e">
        <f ca="1">_xlfn.FORMULATEXT(표1[[#This Row],[Q''ty]])</f>
        <v>#N/A</v>
      </c>
    </row>
    <row r="2232" spans="1:8" ht="15" hidden="1" customHeight="1" x14ac:dyDescent="0.4">
      <c r="A2232" s="6">
        <v>2026</v>
      </c>
      <c r="B2232" s="6">
        <f t="shared" si="276"/>
        <v>23</v>
      </c>
      <c r="C2232" s="13" t="s">
        <v>25</v>
      </c>
      <c r="D2232" s="2" t="s">
        <v>12</v>
      </c>
      <c r="E2232" s="14" t="s">
        <v>15</v>
      </c>
      <c r="F2232" s="22"/>
      <c r="H2232" s="5" t="e">
        <f ca="1">_xlfn.FORMULATEXT(표1[[#This Row],[Q''ty]])</f>
        <v>#N/A</v>
      </c>
    </row>
    <row r="2233" spans="1:8" ht="15" hidden="1" customHeight="1" x14ac:dyDescent="0.4">
      <c r="A2233" s="6">
        <v>2026</v>
      </c>
      <c r="B2233" s="6">
        <f t="shared" si="276"/>
        <v>23</v>
      </c>
      <c r="C2233" s="13" t="s">
        <v>25</v>
      </c>
      <c r="D2233" s="2" t="s">
        <v>12</v>
      </c>
      <c r="E2233" s="14" t="s">
        <v>16</v>
      </c>
      <c r="F2233" s="22"/>
      <c r="H2233" s="5" t="e">
        <f ca="1">_xlfn.FORMULATEXT(표1[[#This Row],[Q''ty]])</f>
        <v>#N/A</v>
      </c>
    </row>
    <row r="2234" spans="1:8" ht="15" hidden="1" customHeight="1" thickBot="1" x14ac:dyDescent="0.45">
      <c r="A2234" s="15">
        <v>2026</v>
      </c>
      <c r="B2234" s="15">
        <f t="shared" si="276"/>
        <v>23</v>
      </c>
      <c r="C2234" s="16" t="s">
        <v>25</v>
      </c>
      <c r="D2234" s="17" t="s">
        <v>12</v>
      </c>
      <c r="E2234" s="18" t="s">
        <v>17</v>
      </c>
      <c r="F2234" s="23"/>
      <c r="H2234" s="5" t="e">
        <f ca="1">_xlfn.FORMULATEXT(표1[[#This Row],[Q''ty]])</f>
        <v>#N/A</v>
      </c>
    </row>
    <row r="2235" spans="1:8" ht="15" hidden="1" customHeight="1" thickTop="1" x14ac:dyDescent="0.4">
      <c r="A2235" s="6">
        <v>2026</v>
      </c>
      <c r="B2235" s="6">
        <f t="shared" si="276"/>
        <v>23</v>
      </c>
      <c r="C2235" s="13" t="s">
        <v>26</v>
      </c>
      <c r="D2235" s="2" t="s">
        <v>6</v>
      </c>
      <c r="E2235" s="14" t="s">
        <v>7</v>
      </c>
      <c r="F2235" s="22">
        <f t="shared" ref="F2235:F2240" si="282">F2136</f>
        <v>6</v>
      </c>
      <c r="H2235" s="5" t="str">
        <f ca="1">_xlfn.FORMULATEXT(표1[[#This Row],[Q''ty]])</f>
        <v>=F2136</v>
      </c>
    </row>
    <row r="2236" spans="1:8" ht="15" hidden="1" customHeight="1" x14ac:dyDescent="0.4">
      <c r="A2236" s="6">
        <v>2026</v>
      </c>
      <c r="B2236" s="6">
        <f t="shared" si="276"/>
        <v>23</v>
      </c>
      <c r="C2236" s="13" t="s">
        <v>26</v>
      </c>
      <c r="D2236" s="2" t="s">
        <v>6</v>
      </c>
      <c r="E2236" s="14" t="s">
        <v>8</v>
      </c>
      <c r="F2236" s="22">
        <f t="shared" si="282"/>
        <v>4</v>
      </c>
      <c r="H2236" s="5" t="str">
        <f ca="1">_xlfn.FORMULATEXT(표1[[#This Row],[Q''ty]])</f>
        <v>=F2137</v>
      </c>
    </row>
    <row r="2237" spans="1:8" ht="15" hidden="1" customHeight="1" x14ac:dyDescent="0.4">
      <c r="A2237" s="6">
        <v>2026</v>
      </c>
      <c r="B2237" s="6">
        <f t="shared" si="276"/>
        <v>23</v>
      </c>
      <c r="C2237" s="13" t="s">
        <v>26</v>
      </c>
      <c r="D2237" s="2" t="s">
        <v>6</v>
      </c>
      <c r="E2237" s="14" t="s">
        <v>9</v>
      </c>
      <c r="F2237" s="22">
        <f t="shared" si="282"/>
        <v>2</v>
      </c>
      <c r="H2237" s="5" t="str">
        <f ca="1">_xlfn.FORMULATEXT(표1[[#This Row],[Q''ty]])</f>
        <v>=F2138</v>
      </c>
    </row>
    <row r="2238" spans="1:8" ht="15" hidden="1" customHeight="1" x14ac:dyDescent="0.4">
      <c r="A2238" s="6">
        <v>2026</v>
      </c>
      <c r="B2238" s="6">
        <f t="shared" si="276"/>
        <v>23</v>
      </c>
      <c r="C2238" s="13" t="s">
        <v>26</v>
      </c>
      <c r="D2238" s="2" t="s">
        <v>6</v>
      </c>
      <c r="E2238" s="14" t="s">
        <v>27</v>
      </c>
      <c r="F2238" s="22">
        <f t="shared" si="282"/>
        <v>3</v>
      </c>
      <c r="H2238" s="5" t="str">
        <f ca="1">_xlfn.FORMULATEXT(표1[[#This Row],[Q''ty]])</f>
        <v>=F2139</v>
      </c>
    </row>
    <row r="2239" spans="1:8" ht="15" hidden="1" customHeight="1" x14ac:dyDescent="0.4">
      <c r="A2239" s="6">
        <v>2026</v>
      </c>
      <c r="B2239" s="6">
        <f t="shared" si="276"/>
        <v>23</v>
      </c>
      <c r="C2239" s="13" t="s">
        <v>26</v>
      </c>
      <c r="D2239" s="2" t="s">
        <v>6</v>
      </c>
      <c r="E2239" s="14" t="s">
        <v>10</v>
      </c>
      <c r="F2239" s="22">
        <f t="shared" si="282"/>
        <v>4</v>
      </c>
      <c r="H2239" s="5" t="str">
        <f ca="1">_xlfn.FORMULATEXT(표1[[#This Row],[Q''ty]])</f>
        <v>=F2140</v>
      </c>
    </row>
    <row r="2240" spans="1:8" ht="15" hidden="1" customHeight="1" x14ac:dyDescent="0.4">
      <c r="A2240" s="6">
        <v>2026</v>
      </c>
      <c r="B2240" s="6">
        <f t="shared" si="276"/>
        <v>23</v>
      </c>
      <c r="C2240" s="13" t="s">
        <v>26</v>
      </c>
      <c r="D2240" s="2" t="s">
        <v>6</v>
      </c>
      <c r="E2240" s="14" t="s">
        <v>11</v>
      </c>
      <c r="F2240" s="22">
        <f t="shared" si="282"/>
        <v>6</v>
      </c>
      <c r="H2240" s="5" t="str">
        <f ca="1">_xlfn.FORMULATEXT(표1[[#This Row],[Q''ty]])</f>
        <v>=F2141</v>
      </c>
    </row>
    <row r="2241" spans="1:8" ht="15" hidden="1" customHeight="1" x14ac:dyDescent="0.4">
      <c r="A2241" s="6">
        <v>2026</v>
      </c>
      <c r="B2241" s="6">
        <f t="shared" si="276"/>
        <v>23</v>
      </c>
      <c r="C2241" s="13" t="s">
        <v>26</v>
      </c>
      <c r="D2241" s="2" t="s">
        <v>12</v>
      </c>
      <c r="E2241" s="14" t="str">
        <f t="shared" ref="E2241:E2278" si="283">E2142</f>
        <v>BT GT</v>
      </c>
      <c r="F2241" s="22"/>
      <c r="H2241" s="5" t="e">
        <f ca="1">_xlfn.FORMULATEXT(표1[[#This Row],[Q''ty]])</f>
        <v>#N/A</v>
      </c>
    </row>
    <row r="2242" spans="1:8" ht="15" hidden="1" customHeight="1" x14ac:dyDescent="0.4">
      <c r="A2242" s="6">
        <v>2026</v>
      </c>
      <c r="B2242" s="6">
        <f t="shared" si="276"/>
        <v>23</v>
      </c>
      <c r="C2242" s="13" t="s">
        <v>26</v>
      </c>
      <c r="D2242" s="2" t="s">
        <v>12</v>
      </c>
      <c r="E2242" s="14" t="str">
        <f t="shared" si="283"/>
        <v>WT GT</v>
      </c>
      <c r="F2242" s="22"/>
      <c r="H2242" s="5" t="e">
        <f ca="1">_xlfn.FORMULATEXT(표1[[#This Row],[Q''ty]])</f>
        <v>#N/A</v>
      </c>
    </row>
    <row r="2243" spans="1:8" ht="15" hidden="1" customHeight="1" x14ac:dyDescent="0.4">
      <c r="A2243" s="6">
        <v>2026</v>
      </c>
      <c r="B2243" s="6">
        <f t="shared" si="276"/>
        <v>23</v>
      </c>
      <c r="C2243" s="13" t="s">
        <v>26</v>
      </c>
      <c r="D2243" s="2" t="s">
        <v>12</v>
      </c>
      <c r="E2243" s="14" t="str">
        <f t="shared" si="283"/>
        <v>Bending</v>
      </c>
      <c r="F2243" s="22"/>
      <c r="H2243" s="5" t="e">
        <f ca="1">_xlfn.FORMULATEXT(표1[[#This Row],[Q''ty]])</f>
        <v>#N/A</v>
      </c>
    </row>
    <row r="2244" spans="1:8" ht="15" hidden="1" customHeight="1" x14ac:dyDescent="0.4">
      <c r="A2244" s="6">
        <v>2026</v>
      </c>
      <c r="B2244" s="6">
        <f t="shared" si="276"/>
        <v>23</v>
      </c>
      <c r="C2244" s="13" t="s">
        <v>26</v>
      </c>
      <c r="D2244" s="2" t="s">
        <v>12</v>
      </c>
      <c r="E2244" s="14" t="str">
        <f t="shared" si="283"/>
        <v>L/W</v>
      </c>
      <c r="F2244" s="22"/>
      <c r="H2244" s="5" t="e">
        <f ca="1">_xlfn.FORMULATEXT(표1[[#This Row],[Q''ty]])</f>
        <v>#N/A</v>
      </c>
    </row>
    <row r="2245" spans="1:8" ht="15" hidden="1" customHeight="1" thickBot="1" x14ac:dyDescent="0.45">
      <c r="A2245" s="15">
        <v>2026</v>
      </c>
      <c r="B2245" s="15">
        <f t="shared" ref="B2245:B2278" si="284">B2146+1</f>
        <v>23</v>
      </c>
      <c r="C2245" s="16" t="s">
        <v>26</v>
      </c>
      <c r="D2245" s="17" t="s">
        <v>12</v>
      </c>
      <c r="E2245" s="18" t="str">
        <f t="shared" si="283"/>
        <v>C/W</v>
      </c>
      <c r="F2245" s="23"/>
      <c r="H2245" s="5" t="e">
        <f ca="1">_xlfn.FORMULATEXT(표1[[#This Row],[Q''ty]])</f>
        <v>#N/A</v>
      </c>
    </row>
    <row r="2246" spans="1:8" ht="15" hidden="1" customHeight="1" thickTop="1" x14ac:dyDescent="0.4">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hidden="1" customHeight="1" x14ac:dyDescent="0.4">
      <c r="A2247" s="6">
        <v>2026</v>
      </c>
      <c r="B2247" s="6">
        <f t="shared" si="284"/>
        <v>23</v>
      </c>
      <c r="C2247" s="13" t="s">
        <v>20</v>
      </c>
      <c r="D2247" s="2" t="s">
        <v>6</v>
      </c>
      <c r="E2247" s="14" t="str">
        <f t="shared" si="283"/>
        <v>Paint Booth</v>
      </c>
      <c r="F2247" s="22">
        <f t="shared" si="285"/>
        <v>16</v>
      </c>
      <c r="H2247" s="5" t="str">
        <f ca="1">_xlfn.FORMULATEXT(표1[[#This Row],[Q''ty]])</f>
        <v>=F2148</v>
      </c>
    </row>
    <row r="2248" spans="1:8" ht="15" hidden="1" customHeight="1" x14ac:dyDescent="0.4">
      <c r="A2248" s="6">
        <v>2026</v>
      </c>
      <c r="B2248" s="6">
        <f t="shared" si="284"/>
        <v>23</v>
      </c>
      <c r="C2248" s="13" t="s">
        <v>20</v>
      </c>
      <c r="D2248" s="2" t="s">
        <v>6</v>
      </c>
      <c r="E2248" s="14" t="str">
        <f t="shared" si="283"/>
        <v>Paint Line</v>
      </c>
      <c r="F2248" s="22">
        <f t="shared" si="285"/>
        <v>8</v>
      </c>
      <c r="H2248" s="5" t="str">
        <f ca="1">_xlfn.FORMULATEXT(표1[[#This Row],[Q''ty]])</f>
        <v>=F2149</v>
      </c>
    </row>
    <row r="2249" spans="1:8" ht="15" hidden="1" customHeight="1" x14ac:dyDescent="0.4">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hidden="1" customHeight="1" x14ac:dyDescent="0.4">
      <c r="A2250" s="6">
        <v>2026</v>
      </c>
      <c r="B2250" s="6">
        <f t="shared" si="284"/>
        <v>23</v>
      </c>
      <c r="C2250" s="13" t="s">
        <v>20</v>
      </c>
      <c r="D2250" s="2" t="s">
        <v>6</v>
      </c>
      <c r="E2250" s="14" t="str">
        <f t="shared" si="283"/>
        <v>L/W Machine</v>
      </c>
      <c r="F2250" s="22">
        <f t="shared" si="285"/>
        <v>11</v>
      </c>
      <c r="H2250" s="5" t="str">
        <f ca="1">_xlfn.FORMULATEXT(표1[[#This Row],[Q''ty]])</f>
        <v>=F2151</v>
      </c>
    </row>
    <row r="2251" spans="1:8" ht="15" hidden="1" customHeight="1" x14ac:dyDescent="0.4">
      <c r="A2251" s="6">
        <v>2026</v>
      </c>
      <c r="B2251" s="6">
        <f t="shared" si="284"/>
        <v>23</v>
      </c>
      <c r="C2251" s="13" t="s">
        <v>20</v>
      </c>
      <c r="D2251" s="2" t="s">
        <v>6</v>
      </c>
      <c r="E2251" s="14" t="str">
        <f t="shared" si="283"/>
        <v>C/W Machine</v>
      </c>
      <c r="F2251" s="22">
        <f t="shared" si="285"/>
        <v>15</v>
      </c>
      <c r="H2251" s="5" t="str">
        <f ca="1">_xlfn.FORMULATEXT(표1[[#This Row],[Q''ty]])</f>
        <v>=F2152</v>
      </c>
    </row>
    <row r="2252" spans="1:8" ht="15" hidden="1" customHeight="1" x14ac:dyDescent="0.4">
      <c r="A2252" s="6">
        <v>2026</v>
      </c>
      <c r="B2252" s="6">
        <f t="shared" si="284"/>
        <v>23</v>
      </c>
      <c r="C2252" s="13" t="s">
        <v>20</v>
      </c>
      <c r="D2252" s="2" t="s">
        <v>12</v>
      </c>
      <c r="E2252" s="14" t="str">
        <f t="shared" si="283"/>
        <v>BT GT</v>
      </c>
      <c r="F2252" s="22"/>
      <c r="H2252" s="5" t="e">
        <f ca="1">_xlfn.FORMULATEXT(표1[[#This Row],[Q''ty]])</f>
        <v>#N/A</v>
      </c>
    </row>
    <row r="2253" spans="1:8" ht="15" hidden="1" customHeight="1" x14ac:dyDescent="0.4">
      <c r="A2253" s="6">
        <v>2026</v>
      </c>
      <c r="B2253" s="6">
        <f t="shared" si="284"/>
        <v>23</v>
      </c>
      <c r="C2253" s="13" t="s">
        <v>20</v>
      </c>
      <c r="D2253" s="2" t="s">
        <v>12</v>
      </c>
      <c r="E2253" s="14" t="str">
        <f t="shared" si="283"/>
        <v>WT GT</v>
      </c>
      <c r="F2253" s="22"/>
      <c r="H2253" s="5" t="e">
        <f ca="1">_xlfn.FORMULATEXT(표1[[#This Row],[Q''ty]])</f>
        <v>#N/A</v>
      </c>
    </row>
    <row r="2254" spans="1:8" ht="15" hidden="1" customHeight="1" x14ac:dyDescent="0.4">
      <c r="A2254" s="6">
        <v>2026</v>
      </c>
      <c r="B2254" s="6">
        <f t="shared" si="284"/>
        <v>23</v>
      </c>
      <c r="C2254" s="13" t="s">
        <v>20</v>
      </c>
      <c r="D2254" s="2" t="s">
        <v>12</v>
      </c>
      <c r="E2254" s="14" t="str">
        <f t="shared" si="283"/>
        <v>Bending</v>
      </c>
      <c r="F2254" s="22"/>
      <c r="H2254" s="5" t="e">
        <f ca="1">_xlfn.FORMULATEXT(표1[[#This Row],[Q''ty]])</f>
        <v>#N/A</v>
      </c>
    </row>
    <row r="2255" spans="1:8" ht="15" hidden="1" customHeight="1" x14ac:dyDescent="0.4">
      <c r="A2255" s="6">
        <v>2026</v>
      </c>
      <c r="B2255" s="6">
        <f t="shared" si="284"/>
        <v>23</v>
      </c>
      <c r="C2255" s="13" t="s">
        <v>20</v>
      </c>
      <c r="D2255" s="2" t="s">
        <v>12</v>
      </c>
      <c r="E2255" s="14" t="str">
        <f t="shared" si="283"/>
        <v>L/W</v>
      </c>
      <c r="F2255" s="22"/>
      <c r="H2255" s="5" t="e">
        <f ca="1">_xlfn.FORMULATEXT(표1[[#This Row],[Q''ty]])</f>
        <v>#N/A</v>
      </c>
    </row>
    <row r="2256" spans="1:8" ht="15" hidden="1" customHeight="1" thickBot="1" x14ac:dyDescent="0.45">
      <c r="A2256" s="15">
        <v>2026</v>
      </c>
      <c r="B2256" s="15">
        <f t="shared" si="284"/>
        <v>23</v>
      </c>
      <c r="C2256" s="16" t="s">
        <v>20</v>
      </c>
      <c r="D2256" s="17" t="s">
        <v>12</v>
      </c>
      <c r="E2256" s="18" t="str">
        <f t="shared" si="283"/>
        <v>C/W</v>
      </c>
      <c r="F2256" s="23"/>
      <c r="H2256" s="5" t="e">
        <f ca="1">_xlfn.FORMULATEXT(표1[[#This Row],[Q''ty]])</f>
        <v>#N/A</v>
      </c>
    </row>
    <row r="2257" spans="1:8" ht="15" hidden="1" customHeight="1" thickTop="1" x14ac:dyDescent="0.4">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hidden="1" customHeight="1" x14ac:dyDescent="0.4">
      <c r="A2258" s="6">
        <v>2026</v>
      </c>
      <c r="B2258" s="6">
        <f t="shared" si="284"/>
        <v>23</v>
      </c>
      <c r="C2258" s="13" t="s">
        <v>21</v>
      </c>
      <c r="D2258" s="2" t="s">
        <v>6</v>
      </c>
      <c r="E2258" s="14" t="str">
        <f t="shared" si="283"/>
        <v>Paint Booth</v>
      </c>
      <c r="F2258" s="22">
        <f t="shared" si="286"/>
        <v>4</v>
      </c>
      <c r="H2258" s="5" t="str">
        <f ca="1">_xlfn.FORMULATEXT(표1[[#This Row],[Q''ty]])</f>
        <v>=F2159</v>
      </c>
    </row>
    <row r="2259" spans="1:8" ht="15" hidden="1" customHeight="1" x14ac:dyDescent="0.4">
      <c r="A2259" s="6">
        <v>2026</v>
      </c>
      <c r="B2259" s="6">
        <f t="shared" si="284"/>
        <v>23</v>
      </c>
      <c r="C2259" s="13" t="s">
        <v>21</v>
      </c>
      <c r="D2259" s="2" t="s">
        <v>6</v>
      </c>
      <c r="E2259" s="14" t="str">
        <f t="shared" si="283"/>
        <v>Paint Line</v>
      </c>
      <c r="F2259" s="22">
        <f t="shared" si="286"/>
        <v>4</v>
      </c>
      <c r="H2259" s="5" t="str">
        <f ca="1">_xlfn.FORMULATEXT(표1[[#This Row],[Q''ty]])</f>
        <v>=F2160</v>
      </c>
    </row>
    <row r="2260" spans="1:8" ht="15" hidden="1" customHeight="1" x14ac:dyDescent="0.4">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hidden="1" customHeight="1" x14ac:dyDescent="0.4">
      <c r="A2261" s="6">
        <v>2026</v>
      </c>
      <c r="B2261" s="6">
        <f t="shared" si="284"/>
        <v>23</v>
      </c>
      <c r="C2261" s="13" t="s">
        <v>21</v>
      </c>
      <c r="D2261" s="2" t="s">
        <v>6</v>
      </c>
      <c r="E2261" s="14" t="str">
        <f t="shared" si="283"/>
        <v>L/W Machine</v>
      </c>
      <c r="F2261" s="22">
        <f t="shared" si="286"/>
        <v>4</v>
      </c>
      <c r="H2261" s="5" t="str">
        <f ca="1">_xlfn.FORMULATEXT(표1[[#This Row],[Q''ty]])</f>
        <v>=F2162</v>
      </c>
    </row>
    <row r="2262" spans="1:8" ht="15" hidden="1" customHeight="1" x14ac:dyDescent="0.4">
      <c r="A2262" s="6">
        <v>2026</v>
      </c>
      <c r="B2262" s="6">
        <f t="shared" si="284"/>
        <v>23</v>
      </c>
      <c r="C2262" s="13" t="s">
        <v>21</v>
      </c>
      <c r="D2262" s="2" t="s">
        <v>6</v>
      </c>
      <c r="E2262" s="14" t="str">
        <f t="shared" si="283"/>
        <v>C/W Machine</v>
      </c>
      <c r="F2262" s="22">
        <f t="shared" si="286"/>
        <v>6.5</v>
      </c>
      <c r="H2262" s="5" t="str">
        <f ca="1">_xlfn.FORMULATEXT(표1[[#This Row],[Q''ty]])</f>
        <v>=F2163</v>
      </c>
    </row>
    <row r="2263" spans="1:8" ht="15" hidden="1" customHeight="1" x14ac:dyDescent="0.4">
      <c r="A2263" s="6">
        <v>2026</v>
      </c>
      <c r="B2263" s="6">
        <f t="shared" si="284"/>
        <v>23</v>
      </c>
      <c r="C2263" s="13" t="s">
        <v>21</v>
      </c>
      <c r="D2263" s="2" t="s">
        <v>12</v>
      </c>
      <c r="E2263" s="14" t="str">
        <f t="shared" si="283"/>
        <v>BT GT</v>
      </c>
      <c r="F2263" s="22"/>
      <c r="H2263" s="5" t="e">
        <f ca="1">_xlfn.FORMULATEXT(표1[[#This Row],[Q''ty]])</f>
        <v>#N/A</v>
      </c>
    </row>
    <row r="2264" spans="1:8" ht="15" hidden="1" customHeight="1" x14ac:dyDescent="0.4">
      <c r="A2264" s="6">
        <v>2026</v>
      </c>
      <c r="B2264" s="6">
        <f t="shared" si="284"/>
        <v>23</v>
      </c>
      <c r="C2264" s="13" t="s">
        <v>21</v>
      </c>
      <c r="D2264" s="2" t="s">
        <v>12</v>
      </c>
      <c r="E2264" s="14" t="str">
        <f t="shared" si="283"/>
        <v>WT GT</v>
      </c>
      <c r="F2264" s="22"/>
      <c r="H2264" s="5" t="e">
        <f ca="1">_xlfn.FORMULATEXT(표1[[#This Row],[Q''ty]])</f>
        <v>#N/A</v>
      </c>
    </row>
    <row r="2265" spans="1:8" ht="15" hidden="1" customHeight="1" x14ac:dyDescent="0.4">
      <c r="A2265" s="6">
        <v>2026</v>
      </c>
      <c r="B2265" s="6">
        <f t="shared" si="284"/>
        <v>23</v>
      </c>
      <c r="C2265" s="13" t="s">
        <v>21</v>
      </c>
      <c r="D2265" s="2" t="s">
        <v>12</v>
      </c>
      <c r="E2265" s="14" t="str">
        <f t="shared" si="283"/>
        <v>Bending</v>
      </c>
      <c r="F2265" s="22"/>
      <c r="H2265" s="5" t="e">
        <f ca="1">_xlfn.FORMULATEXT(표1[[#This Row],[Q''ty]])</f>
        <v>#N/A</v>
      </c>
    </row>
    <row r="2266" spans="1:8" ht="15" hidden="1" customHeight="1" x14ac:dyDescent="0.4">
      <c r="A2266" s="6">
        <v>2026</v>
      </c>
      <c r="B2266" s="6">
        <f t="shared" si="284"/>
        <v>23</v>
      </c>
      <c r="C2266" s="13" t="s">
        <v>21</v>
      </c>
      <c r="D2266" s="2" t="s">
        <v>12</v>
      </c>
      <c r="E2266" s="14" t="str">
        <f t="shared" si="283"/>
        <v>L/W</v>
      </c>
      <c r="F2266" s="22"/>
      <c r="H2266" s="5" t="e">
        <f ca="1">_xlfn.FORMULATEXT(표1[[#This Row],[Q''ty]])</f>
        <v>#N/A</v>
      </c>
    </row>
    <row r="2267" spans="1:8" ht="15" hidden="1" customHeight="1" thickBot="1" x14ac:dyDescent="0.45">
      <c r="A2267" s="15">
        <v>2026</v>
      </c>
      <c r="B2267" s="15">
        <f t="shared" si="284"/>
        <v>23</v>
      </c>
      <c r="C2267" s="16" t="s">
        <v>21</v>
      </c>
      <c r="D2267" s="17" t="s">
        <v>12</v>
      </c>
      <c r="E2267" s="18" t="str">
        <f t="shared" si="283"/>
        <v>C/W</v>
      </c>
      <c r="F2267" s="23"/>
      <c r="H2267" s="5" t="e">
        <f ca="1">_xlfn.FORMULATEXT(표1[[#This Row],[Q''ty]])</f>
        <v>#N/A</v>
      </c>
    </row>
    <row r="2268" spans="1:8" ht="15" hidden="1" customHeight="1" thickTop="1" x14ac:dyDescent="0.4">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hidden="1" customHeight="1" x14ac:dyDescent="0.4">
      <c r="A2269" s="6">
        <v>2026</v>
      </c>
      <c r="B2269" s="6">
        <f t="shared" si="284"/>
        <v>23</v>
      </c>
      <c r="C2269" s="13" t="s">
        <v>22</v>
      </c>
      <c r="D2269" s="2" t="s">
        <v>6</v>
      </c>
      <c r="E2269" s="14" t="str">
        <f t="shared" si="283"/>
        <v>Paint Booth</v>
      </c>
      <c r="F2269" s="22">
        <f t="shared" si="287"/>
        <v>6</v>
      </c>
      <c r="H2269" s="5" t="str">
        <f ca="1">_xlfn.FORMULATEXT(표1[[#This Row],[Q''ty]])</f>
        <v>=F2170</v>
      </c>
    </row>
    <row r="2270" spans="1:8" ht="15" hidden="1" customHeight="1" x14ac:dyDescent="0.4">
      <c r="A2270" s="6">
        <v>2026</v>
      </c>
      <c r="B2270" s="6">
        <f t="shared" si="284"/>
        <v>23</v>
      </c>
      <c r="C2270" s="13" t="s">
        <v>22</v>
      </c>
      <c r="D2270" s="2" t="s">
        <v>6</v>
      </c>
      <c r="E2270" s="14" t="str">
        <f t="shared" si="283"/>
        <v>Paint Line</v>
      </c>
      <c r="F2270" s="22">
        <f t="shared" si="287"/>
        <v>4</v>
      </c>
      <c r="H2270" s="5" t="str">
        <f ca="1">_xlfn.FORMULATEXT(표1[[#This Row],[Q''ty]])</f>
        <v>=F2171</v>
      </c>
    </row>
    <row r="2271" spans="1:8" ht="15" hidden="1" customHeight="1" x14ac:dyDescent="0.4">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hidden="1" customHeight="1" x14ac:dyDescent="0.4">
      <c r="A2272" s="6">
        <v>2026</v>
      </c>
      <c r="B2272" s="6">
        <f t="shared" si="284"/>
        <v>23</v>
      </c>
      <c r="C2272" s="13" t="s">
        <v>22</v>
      </c>
      <c r="D2272" s="2" t="s">
        <v>6</v>
      </c>
      <c r="E2272" s="14" t="str">
        <f t="shared" si="283"/>
        <v>L/W Machine</v>
      </c>
      <c r="F2272" s="22">
        <f t="shared" si="287"/>
        <v>7</v>
      </c>
      <c r="H2272" s="5" t="str">
        <f ca="1">_xlfn.FORMULATEXT(표1[[#This Row],[Q''ty]])</f>
        <v>=F2173</v>
      </c>
    </row>
    <row r="2273" spans="1:10" ht="15" hidden="1" customHeight="1" x14ac:dyDescent="0.4">
      <c r="A2273" s="6">
        <v>2026</v>
      </c>
      <c r="B2273" s="6">
        <f t="shared" si="284"/>
        <v>23</v>
      </c>
      <c r="C2273" s="13" t="s">
        <v>22</v>
      </c>
      <c r="D2273" s="2" t="s">
        <v>6</v>
      </c>
      <c r="E2273" s="14" t="str">
        <f t="shared" si="283"/>
        <v>C/W Machine</v>
      </c>
      <c r="F2273" s="22">
        <f t="shared" si="287"/>
        <v>12.5</v>
      </c>
      <c r="H2273" s="5" t="str">
        <f ca="1">_xlfn.FORMULATEXT(표1[[#This Row],[Q''ty]])</f>
        <v>=F2174</v>
      </c>
    </row>
    <row r="2274" spans="1:10" ht="15" hidden="1" customHeight="1" x14ac:dyDescent="0.4">
      <c r="A2274" s="6">
        <v>2026</v>
      </c>
      <c r="B2274" s="6">
        <f t="shared" si="284"/>
        <v>23</v>
      </c>
      <c r="C2274" s="13" t="s">
        <v>22</v>
      </c>
      <c r="D2274" s="2" t="s">
        <v>12</v>
      </c>
      <c r="E2274" s="14" t="str">
        <f t="shared" si="283"/>
        <v>BT GT</v>
      </c>
      <c r="F2274" s="22"/>
      <c r="H2274" s="5" t="e">
        <f ca="1">_xlfn.FORMULATEXT(표1[[#This Row],[Q''ty]])</f>
        <v>#N/A</v>
      </c>
    </row>
    <row r="2275" spans="1:10" ht="15" hidden="1" customHeight="1" x14ac:dyDescent="0.4">
      <c r="A2275" s="6">
        <v>2026</v>
      </c>
      <c r="B2275" s="6">
        <f t="shared" si="284"/>
        <v>23</v>
      </c>
      <c r="C2275" s="13" t="s">
        <v>22</v>
      </c>
      <c r="D2275" s="2" t="s">
        <v>12</v>
      </c>
      <c r="E2275" s="14" t="str">
        <f t="shared" si="283"/>
        <v>WT GT</v>
      </c>
      <c r="F2275" s="22"/>
      <c r="H2275" s="5" t="e">
        <f ca="1">_xlfn.FORMULATEXT(표1[[#This Row],[Q''ty]])</f>
        <v>#N/A</v>
      </c>
    </row>
    <row r="2276" spans="1:10" ht="15" hidden="1" customHeight="1" x14ac:dyDescent="0.4">
      <c r="A2276" s="6">
        <v>2026</v>
      </c>
      <c r="B2276" s="6">
        <f t="shared" si="284"/>
        <v>23</v>
      </c>
      <c r="C2276" s="13" t="s">
        <v>22</v>
      </c>
      <c r="D2276" s="2" t="s">
        <v>12</v>
      </c>
      <c r="E2276" s="14" t="str">
        <f t="shared" si="283"/>
        <v>Bending</v>
      </c>
      <c r="F2276" s="22"/>
      <c r="H2276" s="5" t="e">
        <f ca="1">_xlfn.FORMULATEXT(표1[[#This Row],[Q''ty]])</f>
        <v>#N/A</v>
      </c>
    </row>
    <row r="2277" spans="1:10" ht="15" hidden="1" customHeight="1" x14ac:dyDescent="0.4">
      <c r="A2277" s="6">
        <v>2026</v>
      </c>
      <c r="B2277" s="6">
        <f t="shared" si="284"/>
        <v>23</v>
      </c>
      <c r="C2277" s="13" t="s">
        <v>22</v>
      </c>
      <c r="D2277" s="2" t="s">
        <v>12</v>
      </c>
      <c r="E2277" s="14" t="str">
        <f t="shared" si="283"/>
        <v>L/W</v>
      </c>
      <c r="F2277" s="22"/>
      <c r="H2277" s="5" t="e">
        <f ca="1">_xlfn.FORMULATEXT(표1[[#This Row],[Q''ty]])</f>
        <v>#N/A</v>
      </c>
    </row>
    <row r="2278" spans="1:10" ht="15" hidden="1" customHeight="1" thickBot="1" x14ac:dyDescent="0.45">
      <c r="A2278" s="6">
        <v>2026</v>
      </c>
      <c r="B2278" s="6">
        <f t="shared" si="284"/>
        <v>23</v>
      </c>
      <c r="C2278" s="13" t="s">
        <v>22</v>
      </c>
      <c r="D2278" s="2" t="s">
        <v>12</v>
      </c>
      <c r="E2278" s="14" t="str">
        <f t="shared" si="283"/>
        <v>C/W</v>
      </c>
      <c r="F2278" s="22"/>
      <c r="H2278" s="5" t="e">
        <f ca="1">_xlfn.FORMULATEXT(표1[[#This Row],[Q''ty]])</f>
        <v>#N/A</v>
      </c>
    </row>
    <row r="2279" spans="1:10" ht="15" hidden="1" customHeight="1" thickTop="1" x14ac:dyDescent="0.4">
      <c r="A2279" s="9">
        <v>2026</v>
      </c>
      <c r="B2279" s="9">
        <f>B2180+1</f>
        <v>24</v>
      </c>
      <c r="C2279" s="10" t="s">
        <v>28</v>
      </c>
      <c r="D2279" s="11" t="s">
        <v>6</v>
      </c>
      <c r="E2279" s="12" t="s">
        <v>7</v>
      </c>
      <c r="F2279" s="21">
        <f t="shared" ref="F2279:F2284" si="288">F2180</f>
        <v>15</v>
      </c>
      <c r="H2279" s="5" t="str">
        <f ca="1">_xlfn.FORMULATEXT(표1[[#This Row],[Q''ty]])</f>
        <v>=F2180</v>
      </c>
    </row>
    <row r="2280" spans="1:10" s="2" customFormat="1" ht="15" hidden="1" customHeight="1" x14ac:dyDescent="0.4">
      <c r="A2280" s="6">
        <v>2026</v>
      </c>
      <c r="B2280" s="6">
        <f t="shared" ref="B2280:B2343" si="289">B2181+1</f>
        <v>24</v>
      </c>
      <c r="C2280" s="13" t="s">
        <v>23</v>
      </c>
      <c r="D2280" s="2" t="s">
        <v>6</v>
      </c>
      <c r="E2280" s="14" t="s">
        <v>8</v>
      </c>
      <c r="F2280" s="22">
        <f t="shared" si="288"/>
        <v>10</v>
      </c>
      <c r="H2280" s="5" t="str">
        <f ca="1">_xlfn.FORMULATEXT(표1[[#This Row],[Q''ty]])</f>
        <v>=F2181</v>
      </c>
      <c r="I2280" s="26"/>
      <c r="J2280" s="26"/>
    </row>
    <row r="2281" spans="1:10" s="2" customFormat="1" ht="15" hidden="1" customHeight="1" x14ac:dyDescent="0.4">
      <c r="A2281" s="6">
        <v>2026</v>
      </c>
      <c r="B2281" s="6">
        <f t="shared" si="289"/>
        <v>24</v>
      </c>
      <c r="C2281" s="13" t="s">
        <v>23</v>
      </c>
      <c r="D2281" s="2" t="s">
        <v>6</v>
      </c>
      <c r="E2281" s="14" t="s">
        <v>9</v>
      </c>
      <c r="F2281" s="22">
        <f t="shared" si="288"/>
        <v>5</v>
      </c>
      <c r="H2281" s="5" t="str">
        <f ca="1">_xlfn.FORMULATEXT(표1[[#This Row],[Q''ty]])</f>
        <v>=F2182</v>
      </c>
      <c r="I2281" s="26"/>
      <c r="J2281" s="26"/>
    </row>
    <row r="2282" spans="1:10" ht="15" hidden="1" customHeight="1" x14ac:dyDescent="0.4">
      <c r="A2282" s="6">
        <v>2026</v>
      </c>
      <c r="B2282" s="6">
        <f t="shared" si="289"/>
        <v>24</v>
      </c>
      <c r="C2282" s="13" t="s">
        <v>23</v>
      </c>
      <c r="D2282" s="2" t="s">
        <v>6</v>
      </c>
      <c r="E2282" s="14" t="s">
        <v>27</v>
      </c>
      <c r="F2282" s="22">
        <f t="shared" si="288"/>
        <v>6</v>
      </c>
      <c r="H2282" s="5" t="str">
        <f ca="1">_xlfn.FORMULATEXT(표1[[#This Row],[Q''ty]])</f>
        <v>=F2183</v>
      </c>
    </row>
    <row r="2283" spans="1:10" ht="15" hidden="1" customHeight="1" x14ac:dyDescent="0.4">
      <c r="A2283" s="6">
        <v>2026</v>
      </c>
      <c r="B2283" s="6">
        <f t="shared" si="289"/>
        <v>24</v>
      </c>
      <c r="C2283" s="13" t="s">
        <v>23</v>
      </c>
      <c r="D2283" s="2" t="s">
        <v>6</v>
      </c>
      <c r="E2283" s="14" t="s">
        <v>10</v>
      </c>
      <c r="F2283" s="22">
        <f t="shared" si="288"/>
        <v>10</v>
      </c>
      <c r="H2283" s="5" t="str">
        <f ca="1">_xlfn.FORMULATEXT(표1[[#This Row],[Q''ty]])</f>
        <v>=F2184</v>
      </c>
    </row>
    <row r="2284" spans="1:10" ht="15" hidden="1" customHeight="1" x14ac:dyDescent="0.4">
      <c r="A2284" s="6">
        <v>2026</v>
      </c>
      <c r="B2284" s="6">
        <f t="shared" si="289"/>
        <v>24</v>
      </c>
      <c r="C2284" s="13" t="s">
        <v>23</v>
      </c>
      <c r="D2284" s="2" t="s">
        <v>6</v>
      </c>
      <c r="E2284" s="14" t="s">
        <v>11</v>
      </c>
      <c r="F2284" s="22">
        <f t="shared" si="288"/>
        <v>10</v>
      </c>
      <c r="H2284" s="5" t="str">
        <f ca="1">_xlfn.FORMULATEXT(표1[[#This Row],[Q''ty]])</f>
        <v>=F2185</v>
      </c>
    </row>
    <row r="2285" spans="1:10" ht="15" hidden="1" customHeight="1" x14ac:dyDescent="0.4">
      <c r="A2285" s="6">
        <v>2026</v>
      </c>
      <c r="B2285" s="6">
        <f t="shared" si="289"/>
        <v>24</v>
      </c>
      <c r="C2285" s="13" t="s">
        <v>23</v>
      </c>
      <c r="D2285" s="2" t="s">
        <v>12</v>
      </c>
      <c r="E2285" s="14" t="s">
        <v>13</v>
      </c>
      <c r="F2285" s="22"/>
      <c r="H2285" s="5" t="e">
        <f ca="1">_xlfn.FORMULATEXT(표1[[#This Row],[Q''ty]])</f>
        <v>#N/A</v>
      </c>
    </row>
    <row r="2286" spans="1:10" s="2" customFormat="1" ht="15" hidden="1" customHeight="1" x14ac:dyDescent="0.4">
      <c r="A2286" s="6">
        <v>2026</v>
      </c>
      <c r="B2286" s="6">
        <f t="shared" si="289"/>
        <v>24</v>
      </c>
      <c r="C2286" s="13" t="s">
        <v>23</v>
      </c>
      <c r="D2286" s="2" t="s">
        <v>12</v>
      </c>
      <c r="E2286" s="14" t="s">
        <v>14</v>
      </c>
      <c r="F2286" s="22"/>
      <c r="H2286" s="5" t="e">
        <f ca="1">_xlfn.FORMULATEXT(표1[[#This Row],[Q''ty]])</f>
        <v>#N/A</v>
      </c>
      <c r="I2286" s="26"/>
      <c r="J2286" s="26"/>
    </row>
    <row r="2287" spans="1:10" ht="15" hidden="1" customHeight="1" x14ac:dyDescent="0.4">
      <c r="A2287" s="6">
        <v>2026</v>
      </c>
      <c r="B2287" s="6">
        <f t="shared" si="289"/>
        <v>24</v>
      </c>
      <c r="C2287" s="13" t="s">
        <v>23</v>
      </c>
      <c r="D2287" s="2" t="s">
        <v>12</v>
      </c>
      <c r="E2287" s="14" t="s">
        <v>15</v>
      </c>
      <c r="F2287" s="22"/>
      <c r="H2287" s="5" t="e">
        <f ca="1">_xlfn.FORMULATEXT(표1[[#This Row],[Q''ty]])</f>
        <v>#N/A</v>
      </c>
    </row>
    <row r="2288" spans="1:10" ht="15" hidden="1" customHeight="1" x14ac:dyDescent="0.4">
      <c r="A2288" s="6">
        <v>2026</v>
      </c>
      <c r="B2288" s="6">
        <f t="shared" si="289"/>
        <v>24</v>
      </c>
      <c r="C2288" s="13" t="s">
        <v>23</v>
      </c>
      <c r="D2288" s="2" t="s">
        <v>12</v>
      </c>
      <c r="E2288" s="14" t="s">
        <v>16</v>
      </c>
      <c r="F2288" s="22"/>
      <c r="H2288" s="5" t="e">
        <f ca="1">_xlfn.FORMULATEXT(표1[[#This Row],[Q''ty]])</f>
        <v>#N/A</v>
      </c>
    </row>
    <row r="2289" spans="1:10" ht="15" hidden="1" customHeight="1" thickBot="1" x14ac:dyDescent="0.45">
      <c r="A2289" s="15">
        <v>2026</v>
      </c>
      <c r="B2289" s="15">
        <f t="shared" si="289"/>
        <v>24</v>
      </c>
      <c r="C2289" s="16" t="s">
        <v>23</v>
      </c>
      <c r="D2289" s="17" t="s">
        <v>12</v>
      </c>
      <c r="E2289" s="18" t="s">
        <v>17</v>
      </c>
      <c r="F2289" s="23"/>
      <c r="H2289" s="5" t="e">
        <f ca="1">_xlfn.FORMULATEXT(표1[[#This Row],[Q''ty]])</f>
        <v>#N/A</v>
      </c>
    </row>
    <row r="2290" spans="1:10" ht="15" hidden="1" customHeight="1" thickTop="1" x14ac:dyDescent="0.4">
      <c r="A2290" s="9">
        <v>2026</v>
      </c>
      <c r="B2290" s="9">
        <f t="shared" si="289"/>
        <v>24</v>
      </c>
      <c r="C2290" s="10" t="s">
        <v>29</v>
      </c>
      <c r="D2290" s="11" t="s">
        <v>6</v>
      </c>
      <c r="E2290" s="12" t="s">
        <v>7</v>
      </c>
      <c r="F2290" s="21">
        <f t="shared" ref="F2290:F2295" si="290">F2191</f>
        <v>14</v>
      </c>
      <c r="H2290" s="5" t="str">
        <f ca="1">_xlfn.FORMULATEXT(표1[[#This Row],[Q''ty]])</f>
        <v>=F2191</v>
      </c>
    </row>
    <row r="2291" spans="1:10" s="2" customFormat="1" ht="15" hidden="1" customHeight="1" x14ac:dyDescent="0.4">
      <c r="A2291" s="6">
        <v>2026</v>
      </c>
      <c r="B2291" s="6">
        <f t="shared" si="289"/>
        <v>24</v>
      </c>
      <c r="C2291" s="13" t="s">
        <v>24</v>
      </c>
      <c r="D2291" s="2" t="s">
        <v>6</v>
      </c>
      <c r="E2291" s="14" t="s">
        <v>8</v>
      </c>
      <c r="F2291" s="22">
        <f t="shared" si="290"/>
        <v>8</v>
      </c>
      <c r="H2291" s="5" t="str">
        <f ca="1">_xlfn.FORMULATEXT(표1[[#This Row],[Q''ty]])</f>
        <v>=F2192</v>
      </c>
      <c r="I2291" s="26"/>
      <c r="J2291" s="26"/>
    </row>
    <row r="2292" spans="1:10" s="2" customFormat="1" ht="15" hidden="1" customHeight="1" x14ac:dyDescent="0.4">
      <c r="A2292" s="6">
        <v>2026</v>
      </c>
      <c r="B2292" s="6">
        <f t="shared" si="289"/>
        <v>24</v>
      </c>
      <c r="C2292" s="13" t="s">
        <v>24</v>
      </c>
      <c r="D2292" s="2" t="s">
        <v>6</v>
      </c>
      <c r="E2292" s="14" t="s">
        <v>9</v>
      </c>
      <c r="F2292" s="22">
        <f t="shared" si="290"/>
        <v>4</v>
      </c>
      <c r="H2292" s="5" t="str">
        <f ca="1">_xlfn.FORMULATEXT(표1[[#This Row],[Q''ty]])</f>
        <v>=F2193</v>
      </c>
      <c r="I2292" s="26"/>
      <c r="J2292" s="26"/>
    </row>
    <row r="2293" spans="1:10" ht="15" hidden="1" customHeight="1" x14ac:dyDescent="0.4">
      <c r="A2293" s="6">
        <v>2026</v>
      </c>
      <c r="B2293" s="6">
        <f t="shared" si="289"/>
        <v>24</v>
      </c>
      <c r="C2293" s="13" t="s">
        <v>24</v>
      </c>
      <c r="D2293" s="2" t="s">
        <v>6</v>
      </c>
      <c r="E2293" s="14" t="s">
        <v>27</v>
      </c>
      <c r="F2293" s="22">
        <f t="shared" si="290"/>
        <v>3</v>
      </c>
      <c r="H2293" s="5" t="str">
        <f ca="1">_xlfn.FORMULATEXT(표1[[#This Row],[Q''ty]])</f>
        <v>=F2194</v>
      </c>
    </row>
    <row r="2294" spans="1:10" ht="15" hidden="1" customHeight="1" x14ac:dyDescent="0.4">
      <c r="A2294" s="6">
        <v>2026</v>
      </c>
      <c r="B2294" s="6">
        <f t="shared" si="289"/>
        <v>24</v>
      </c>
      <c r="C2294" s="13" t="s">
        <v>24</v>
      </c>
      <c r="D2294" s="2" t="s">
        <v>6</v>
      </c>
      <c r="E2294" s="14" t="s">
        <v>10</v>
      </c>
      <c r="F2294" s="22">
        <f t="shared" si="290"/>
        <v>6</v>
      </c>
      <c r="H2294" s="5" t="str">
        <f ca="1">_xlfn.FORMULATEXT(표1[[#This Row],[Q''ty]])</f>
        <v>=F2195</v>
      </c>
    </row>
    <row r="2295" spans="1:10" ht="15" hidden="1" customHeight="1" x14ac:dyDescent="0.4">
      <c r="A2295" s="6">
        <v>2026</v>
      </c>
      <c r="B2295" s="6">
        <f t="shared" si="289"/>
        <v>24</v>
      </c>
      <c r="C2295" s="13" t="s">
        <v>24</v>
      </c>
      <c r="D2295" s="2" t="s">
        <v>6</v>
      </c>
      <c r="E2295" s="14" t="s">
        <v>11</v>
      </c>
      <c r="F2295" s="22">
        <f t="shared" si="290"/>
        <v>8.8000000000000007</v>
      </c>
      <c r="H2295" s="5" t="str">
        <f ca="1">_xlfn.FORMULATEXT(표1[[#This Row],[Q''ty]])</f>
        <v>=F2196</v>
      </c>
    </row>
    <row r="2296" spans="1:10" ht="15" hidden="1" customHeight="1" x14ac:dyDescent="0.4">
      <c r="A2296" s="6">
        <v>2026</v>
      </c>
      <c r="B2296" s="6">
        <f t="shared" si="289"/>
        <v>24</v>
      </c>
      <c r="C2296" s="13" t="s">
        <v>24</v>
      </c>
      <c r="D2296" s="2" t="s">
        <v>12</v>
      </c>
      <c r="E2296" s="14" t="s">
        <v>13</v>
      </c>
      <c r="F2296" s="22"/>
      <c r="H2296" s="5" t="e">
        <f ca="1">_xlfn.FORMULATEXT(표1[[#This Row],[Q''ty]])</f>
        <v>#N/A</v>
      </c>
    </row>
    <row r="2297" spans="1:10" s="2" customFormat="1" ht="15" hidden="1" customHeight="1" x14ac:dyDescent="0.4">
      <c r="A2297" s="6">
        <v>2026</v>
      </c>
      <c r="B2297" s="6">
        <f t="shared" si="289"/>
        <v>24</v>
      </c>
      <c r="C2297" s="13" t="s">
        <v>24</v>
      </c>
      <c r="D2297" s="2" t="s">
        <v>12</v>
      </c>
      <c r="E2297" s="14" t="s">
        <v>14</v>
      </c>
      <c r="F2297" s="22"/>
      <c r="H2297" s="5" t="e">
        <f ca="1">_xlfn.FORMULATEXT(표1[[#This Row],[Q''ty]])</f>
        <v>#N/A</v>
      </c>
      <c r="I2297" s="26"/>
      <c r="J2297" s="26"/>
    </row>
    <row r="2298" spans="1:10" ht="15" hidden="1" customHeight="1" x14ac:dyDescent="0.4">
      <c r="A2298" s="6">
        <v>2026</v>
      </c>
      <c r="B2298" s="6">
        <f t="shared" si="289"/>
        <v>24</v>
      </c>
      <c r="C2298" s="13" t="s">
        <v>24</v>
      </c>
      <c r="D2298" s="2" t="s">
        <v>12</v>
      </c>
      <c r="E2298" s="14" t="s">
        <v>15</v>
      </c>
      <c r="F2298" s="22"/>
      <c r="H2298" s="5" t="e">
        <f ca="1">_xlfn.FORMULATEXT(표1[[#This Row],[Q''ty]])</f>
        <v>#N/A</v>
      </c>
    </row>
    <row r="2299" spans="1:10" ht="15" hidden="1" customHeight="1" x14ac:dyDescent="0.4">
      <c r="A2299" s="6">
        <v>2026</v>
      </c>
      <c r="B2299" s="6">
        <f t="shared" si="289"/>
        <v>24</v>
      </c>
      <c r="C2299" s="13" t="s">
        <v>24</v>
      </c>
      <c r="D2299" s="2" t="s">
        <v>12</v>
      </c>
      <c r="E2299" s="14" t="s">
        <v>16</v>
      </c>
      <c r="F2299" s="22"/>
      <c r="H2299" s="5" t="e">
        <f ca="1">_xlfn.FORMULATEXT(표1[[#This Row],[Q''ty]])</f>
        <v>#N/A</v>
      </c>
    </row>
    <row r="2300" spans="1:10" ht="15" hidden="1" customHeight="1" thickBot="1" x14ac:dyDescent="0.45">
      <c r="A2300" s="15">
        <v>2026</v>
      </c>
      <c r="B2300" s="15">
        <f t="shared" si="289"/>
        <v>24</v>
      </c>
      <c r="C2300" s="16" t="s">
        <v>24</v>
      </c>
      <c r="D2300" s="17" t="s">
        <v>12</v>
      </c>
      <c r="E2300" s="18" t="s">
        <v>17</v>
      </c>
      <c r="F2300" s="23"/>
      <c r="H2300" s="5" t="e">
        <f ca="1">_xlfn.FORMULATEXT(표1[[#This Row],[Q''ty]])</f>
        <v>#N/A</v>
      </c>
    </row>
    <row r="2301" spans="1:10" ht="15" hidden="1" customHeight="1" thickTop="1" x14ac:dyDescent="0.4">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10" ht="15" hidden="1" customHeight="1" x14ac:dyDescent="0.4">
      <c r="A2302" s="6">
        <v>2026</v>
      </c>
      <c r="B2302" s="6">
        <f t="shared" si="289"/>
        <v>24</v>
      </c>
      <c r="C2302" s="13" t="s">
        <v>18</v>
      </c>
      <c r="D2302" s="2" t="s">
        <v>6</v>
      </c>
      <c r="E2302" s="14" t="str">
        <f t="shared" si="291"/>
        <v>Paint Booth</v>
      </c>
      <c r="F2302" s="22">
        <f t="shared" si="291"/>
        <v>3</v>
      </c>
      <c r="H2302" s="5" t="str">
        <f ca="1">_xlfn.FORMULATEXT(표1[[#This Row],[Q''ty]])</f>
        <v>=F2203</v>
      </c>
    </row>
    <row r="2303" spans="1:10" ht="15" hidden="1" customHeight="1" x14ac:dyDescent="0.4">
      <c r="A2303" s="6">
        <v>2026</v>
      </c>
      <c r="B2303" s="6">
        <f t="shared" si="289"/>
        <v>24</v>
      </c>
      <c r="C2303" s="13" t="s">
        <v>18</v>
      </c>
      <c r="D2303" s="2" t="s">
        <v>6</v>
      </c>
      <c r="E2303" s="14" t="str">
        <f t="shared" si="291"/>
        <v>Paint Line</v>
      </c>
      <c r="F2303" s="22">
        <f t="shared" si="291"/>
        <v>2</v>
      </c>
      <c r="H2303" s="5" t="str">
        <f ca="1">_xlfn.FORMULATEXT(표1[[#This Row],[Q''ty]])</f>
        <v>=F2204</v>
      </c>
    </row>
    <row r="2304" spans="1:10" ht="15" hidden="1" customHeight="1" x14ac:dyDescent="0.4">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hidden="1" customHeight="1" x14ac:dyDescent="0.4">
      <c r="A2305" s="6">
        <v>2026</v>
      </c>
      <c r="B2305" s="6">
        <f t="shared" si="289"/>
        <v>24</v>
      </c>
      <c r="C2305" s="13" t="s">
        <v>18</v>
      </c>
      <c r="D2305" s="2" t="s">
        <v>6</v>
      </c>
      <c r="E2305" s="14" t="str">
        <f t="shared" si="291"/>
        <v>L/W Machine</v>
      </c>
      <c r="F2305" s="22">
        <f t="shared" si="291"/>
        <v>2</v>
      </c>
      <c r="H2305" s="5" t="str">
        <f ca="1">_xlfn.FORMULATEXT(표1[[#This Row],[Q''ty]])</f>
        <v>=F2206</v>
      </c>
    </row>
    <row r="2306" spans="1:8" ht="15" hidden="1" customHeight="1" x14ac:dyDescent="0.4">
      <c r="A2306" s="6">
        <v>2026</v>
      </c>
      <c r="B2306" s="6">
        <f t="shared" si="289"/>
        <v>24</v>
      </c>
      <c r="C2306" s="13" t="s">
        <v>18</v>
      </c>
      <c r="D2306" s="2" t="s">
        <v>6</v>
      </c>
      <c r="E2306" s="14" t="str">
        <f t="shared" si="291"/>
        <v>C/W Machine</v>
      </c>
      <c r="F2306" s="22">
        <f t="shared" si="291"/>
        <v>3</v>
      </c>
      <c r="H2306" s="5" t="str">
        <f ca="1">_xlfn.FORMULATEXT(표1[[#This Row],[Q''ty]])</f>
        <v>=F2207</v>
      </c>
    </row>
    <row r="2307" spans="1:8" ht="15" hidden="1" customHeight="1" x14ac:dyDescent="0.4">
      <c r="A2307" s="6">
        <v>2026</v>
      </c>
      <c r="B2307" s="6">
        <f t="shared" si="289"/>
        <v>24</v>
      </c>
      <c r="C2307" s="13" t="s">
        <v>18</v>
      </c>
      <c r="D2307" s="2" t="s">
        <v>12</v>
      </c>
      <c r="E2307" s="14" t="str">
        <f t="shared" ref="E2307:E2322" si="292">E2208</f>
        <v>BT GT</v>
      </c>
      <c r="F2307" s="22"/>
      <c r="H2307" s="5" t="e">
        <f ca="1">_xlfn.FORMULATEXT(표1[[#This Row],[Q''ty]])</f>
        <v>#N/A</v>
      </c>
    </row>
    <row r="2308" spans="1:8" ht="15" hidden="1" customHeight="1" x14ac:dyDescent="0.4">
      <c r="A2308" s="6">
        <v>2026</v>
      </c>
      <c r="B2308" s="6">
        <f t="shared" si="289"/>
        <v>24</v>
      </c>
      <c r="C2308" s="13" t="s">
        <v>18</v>
      </c>
      <c r="D2308" s="2" t="s">
        <v>12</v>
      </c>
      <c r="E2308" s="14" t="str">
        <f t="shared" si="292"/>
        <v>WT GT</v>
      </c>
      <c r="F2308" s="22"/>
      <c r="H2308" s="5" t="e">
        <f ca="1">_xlfn.FORMULATEXT(표1[[#This Row],[Q''ty]])</f>
        <v>#N/A</v>
      </c>
    </row>
    <row r="2309" spans="1:8" ht="15" hidden="1" customHeight="1" x14ac:dyDescent="0.4">
      <c r="A2309" s="6">
        <v>2026</v>
      </c>
      <c r="B2309" s="6">
        <f t="shared" si="289"/>
        <v>24</v>
      </c>
      <c r="C2309" s="13" t="s">
        <v>18</v>
      </c>
      <c r="D2309" s="2" t="s">
        <v>12</v>
      </c>
      <c r="E2309" s="14" t="str">
        <f t="shared" si="292"/>
        <v>Bending</v>
      </c>
      <c r="F2309" s="22"/>
      <c r="H2309" s="5" t="e">
        <f ca="1">_xlfn.FORMULATEXT(표1[[#This Row],[Q''ty]])</f>
        <v>#N/A</v>
      </c>
    </row>
    <row r="2310" spans="1:8" ht="15" hidden="1" customHeight="1" x14ac:dyDescent="0.4">
      <c r="A2310" s="6">
        <v>2026</v>
      </c>
      <c r="B2310" s="6">
        <f t="shared" si="289"/>
        <v>24</v>
      </c>
      <c r="C2310" s="13" t="s">
        <v>18</v>
      </c>
      <c r="D2310" s="2" t="s">
        <v>12</v>
      </c>
      <c r="E2310" s="14" t="str">
        <f t="shared" si="292"/>
        <v>L/W</v>
      </c>
      <c r="F2310" s="22"/>
      <c r="H2310" s="5" t="e">
        <f ca="1">_xlfn.FORMULATEXT(표1[[#This Row],[Q''ty]])</f>
        <v>#N/A</v>
      </c>
    </row>
    <row r="2311" spans="1:8" ht="15" hidden="1" customHeight="1" thickBot="1" x14ac:dyDescent="0.45">
      <c r="A2311" s="15">
        <v>2026</v>
      </c>
      <c r="B2311" s="15">
        <f t="shared" si="289"/>
        <v>24</v>
      </c>
      <c r="C2311" s="16" t="s">
        <v>18</v>
      </c>
      <c r="D2311" s="17" t="s">
        <v>12</v>
      </c>
      <c r="E2311" s="18" t="str">
        <f t="shared" si="292"/>
        <v>C/W</v>
      </c>
      <c r="F2311" s="23"/>
      <c r="H2311" s="5" t="e">
        <f ca="1">_xlfn.FORMULATEXT(표1[[#This Row],[Q''ty]])</f>
        <v>#N/A</v>
      </c>
    </row>
    <row r="2312" spans="1:8" ht="15" hidden="1" customHeight="1" thickTop="1" x14ac:dyDescent="0.4">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hidden="1" customHeight="1" x14ac:dyDescent="0.4">
      <c r="A2313" s="6">
        <v>2026</v>
      </c>
      <c r="B2313" s="6">
        <f t="shared" si="289"/>
        <v>24</v>
      </c>
      <c r="C2313" s="13" t="s">
        <v>19</v>
      </c>
      <c r="D2313" s="2" t="s">
        <v>6</v>
      </c>
      <c r="E2313" s="14" t="str">
        <f t="shared" si="292"/>
        <v>Paint Booth</v>
      </c>
      <c r="F2313" s="22">
        <f t="shared" si="293"/>
        <v>22</v>
      </c>
      <c r="H2313" s="5" t="str">
        <f ca="1">_xlfn.FORMULATEXT(표1[[#This Row],[Q''ty]])</f>
        <v>=F2214</v>
      </c>
    </row>
    <row r="2314" spans="1:8" ht="15" hidden="1" customHeight="1" x14ac:dyDescent="0.4">
      <c r="A2314" s="6">
        <v>2026</v>
      </c>
      <c r="B2314" s="6">
        <f t="shared" si="289"/>
        <v>24</v>
      </c>
      <c r="C2314" s="13" t="s">
        <v>19</v>
      </c>
      <c r="D2314" s="2" t="s">
        <v>6</v>
      </c>
      <c r="E2314" s="14" t="str">
        <f t="shared" si="292"/>
        <v>Paint Line</v>
      </c>
      <c r="F2314" s="22">
        <f t="shared" si="293"/>
        <v>6</v>
      </c>
      <c r="H2314" s="5" t="str">
        <f ca="1">_xlfn.FORMULATEXT(표1[[#This Row],[Q''ty]])</f>
        <v>=F2215</v>
      </c>
    </row>
    <row r="2315" spans="1:8" ht="15" hidden="1" customHeight="1" x14ac:dyDescent="0.4">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hidden="1" customHeight="1" x14ac:dyDescent="0.4">
      <c r="A2316" s="6">
        <v>2026</v>
      </c>
      <c r="B2316" s="6">
        <f t="shared" si="289"/>
        <v>24</v>
      </c>
      <c r="C2316" s="13" t="s">
        <v>19</v>
      </c>
      <c r="D2316" s="2" t="s">
        <v>6</v>
      </c>
      <c r="E2316" s="14" t="str">
        <f t="shared" si="292"/>
        <v>L/W Machine</v>
      </c>
      <c r="F2316" s="22">
        <f t="shared" si="293"/>
        <v>10</v>
      </c>
      <c r="H2316" s="5" t="str">
        <f ca="1">_xlfn.FORMULATEXT(표1[[#This Row],[Q''ty]])</f>
        <v>=F2217</v>
      </c>
    </row>
    <row r="2317" spans="1:8" ht="15" hidden="1" customHeight="1" x14ac:dyDescent="0.4">
      <c r="A2317" s="6">
        <v>2026</v>
      </c>
      <c r="B2317" s="6">
        <f t="shared" si="289"/>
        <v>24</v>
      </c>
      <c r="C2317" s="13" t="s">
        <v>19</v>
      </c>
      <c r="D2317" s="2" t="s">
        <v>6</v>
      </c>
      <c r="E2317" s="14" t="str">
        <f t="shared" si="292"/>
        <v>C/W Machine</v>
      </c>
      <c r="F2317" s="22">
        <f t="shared" si="293"/>
        <v>12</v>
      </c>
      <c r="H2317" s="5" t="str">
        <f ca="1">_xlfn.FORMULATEXT(표1[[#This Row],[Q''ty]])</f>
        <v>=F2218</v>
      </c>
    </row>
    <row r="2318" spans="1:8" ht="15" hidden="1" customHeight="1" x14ac:dyDescent="0.4">
      <c r="A2318" s="6">
        <v>2026</v>
      </c>
      <c r="B2318" s="6">
        <f t="shared" si="289"/>
        <v>24</v>
      </c>
      <c r="C2318" s="13" t="s">
        <v>19</v>
      </c>
      <c r="D2318" s="2" t="s">
        <v>12</v>
      </c>
      <c r="E2318" s="14" t="str">
        <f t="shared" si="292"/>
        <v>BT GT</v>
      </c>
      <c r="F2318" s="22"/>
      <c r="H2318" s="5" t="e">
        <f ca="1">_xlfn.FORMULATEXT(표1[[#This Row],[Q''ty]])</f>
        <v>#N/A</v>
      </c>
    </row>
    <row r="2319" spans="1:8" ht="15" hidden="1" customHeight="1" x14ac:dyDescent="0.4">
      <c r="A2319" s="6">
        <v>2026</v>
      </c>
      <c r="B2319" s="6">
        <f t="shared" si="289"/>
        <v>24</v>
      </c>
      <c r="C2319" s="13" t="s">
        <v>19</v>
      </c>
      <c r="D2319" s="2" t="s">
        <v>12</v>
      </c>
      <c r="E2319" s="14" t="str">
        <f t="shared" si="292"/>
        <v>WT GT</v>
      </c>
      <c r="F2319" s="22"/>
      <c r="H2319" s="5" t="e">
        <f ca="1">_xlfn.FORMULATEXT(표1[[#This Row],[Q''ty]])</f>
        <v>#N/A</v>
      </c>
    </row>
    <row r="2320" spans="1:8" ht="15" hidden="1" customHeight="1" x14ac:dyDescent="0.4">
      <c r="A2320" s="6">
        <v>2026</v>
      </c>
      <c r="B2320" s="6">
        <f t="shared" si="289"/>
        <v>24</v>
      </c>
      <c r="C2320" s="13" t="s">
        <v>19</v>
      </c>
      <c r="D2320" s="2" t="s">
        <v>12</v>
      </c>
      <c r="E2320" s="14" t="str">
        <f t="shared" si="292"/>
        <v>Bending</v>
      </c>
      <c r="F2320" s="22"/>
      <c r="H2320" s="5" t="e">
        <f ca="1">_xlfn.FORMULATEXT(표1[[#This Row],[Q''ty]])</f>
        <v>#N/A</v>
      </c>
    </row>
    <row r="2321" spans="1:8" ht="15" hidden="1" customHeight="1" x14ac:dyDescent="0.4">
      <c r="A2321" s="6">
        <v>2026</v>
      </c>
      <c r="B2321" s="6">
        <f t="shared" si="289"/>
        <v>24</v>
      </c>
      <c r="C2321" s="13" t="s">
        <v>19</v>
      </c>
      <c r="D2321" s="2" t="s">
        <v>12</v>
      </c>
      <c r="E2321" s="14" t="str">
        <f t="shared" si="292"/>
        <v>L/W</v>
      </c>
      <c r="F2321" s="22"/>
      <c r="H2321" s="5" t="e">
        <f ca="1">_xlfn.FORMULATEXT(표1[[#This Row],[Q''ty]])</f>
        <v>#N/A</v>
      </c>
    </row>
    <row r="2322" spans="1:8" ht="15" hidden="1" customHeight="1" thickBot="1" x14ac:dyDescent="0.45">
      <c r="A2322" s="15">
        <v>2026</v>
      </c>
      <c r="B2322" s="15">
        <f t="shared" si="289"/>
        <v>24</v>
      </c>
      <c r="C2322" s="16" t="s">
        <v>19</v>
      </c>
      <c r="D2322" s="17" t="s">
        <v>12</v>
      </c>
      <c r="E2322" s="18" t="str">
        <f t="shared" si="292"/>
        <v>C/W</v>
      </c>
      <c r="F2322" s="23"/>
      <c r="H2322" s="5" t="e">
        <f ca="1">_xlfn.FORMULATEXT(표1[[#This Row],[Q''ty]])</f>
        <v>#N/A</v>
      </c>
    </row>
    <row r="2323" spans="1:8" ht="15" hidden="1" customHeight="1" thickTop="1" x14ac:dyDescent="0.4">
      <c r="A2323" s="6">
        <v>2026</v>
      </c>
      <c r="B2323" s="6">
        <f t="shared" si="289"/>
        <v>24</v>
      </c>
      <c r="C2323" s="13" t="s">
        <v>25</v>
      </c>
      <c r="D2323" s="2" t="s">
        <v>6</v>
      </c>
      <c r="E2323" s="14" t="s">
        <v>7</v>
      </c>
      <c r="F2323" s="22">
        <f t="shared" ref="F2323:F2328" si="294">F2224</f>
        <v>3</v>
      </c>
      <c r="H2323" s="5" t="str">
        <f ca="1">_xlfn.FORMULATEXT(표1[[#This Row],[Q''ty]])</f>
        <v>=F2224</v>
      </c>
    </row>
    <row r="2324" spans="1:8" ht="15" hidden="1" customHeight="1" x14ac:dyDescent="0.4">
      <c r="A2324" s="6">
        <v>2026</v>
      </c>
      <c r="B2324" s="6">
        <f t="shared" si="289"/>
        <v>24</v>
      </c>
      <c r="C2324" s="13" t="s">
        <v>25</v>
      </c>
      <c r="D2324" s="2" t="s">
        <v>6</v>
      </c>
      <c r="E2324" s="14" t="s">
        <v>8</v>
      </c>
      <c r="F2324" s="22">
        <f t="shared" si="294"/>
        <v>3</v>
      </c>
      <c r="H2324" s="5" t="str">
        <f ca="1">_xlfn.FORMULATEXT(표1[[#This Row],[Q''ty]])</f>
        <v>=F2225</v>
      </c>
    </row>
    <row r="2325" spans="1:8" ht="15" hidden="1" customHeight="1" x14ac:dyDescent="0.4">
      <c r="A2325" s="6">
        <v>2026</v>
      </c>
      <c r="B2325" s="6">
        <f t="shared" si="289"/>
        <v>24</v>
      </c>
      <c r="C2325" s="13" t="s">
        <v>25</v>
      </c>
      <c r="D2325" s="2" t="s">
        <v>6</v>
      </c>
      <c r="E2325" s="14" t="s">
        <v>9</v>
      </c>
      <c r="F2325" s="22">
        <f t="shared" si="294"/>
        <v>2</v>
      </c>
      <c r="H2325" s="5" t="str">
        <f ca="1">_xlfn.FORMULATEXT(표1[[#This Row],[Q''ty]])</f>
        <v>=F2226</v>
      </c>
    </row>
    <row r="2326" spans="1:8" ht="15" hidden="1" customHeight="1" x14ac:dyDescent="0.4">
      <c r="A2326" s="6">
        <v>2026</v>
      </c>
      <c r="B2326" s="6">
        <f t="shared" si="289"/>
        <v>24</v>
      </c>
      <c r="C2326" s="13" t="s">
        <v>25</v>
      </c>
      <c r="D2326" s="2" t="s">
        <v>6</v>
      </c>
      <c r="E2326" s="14" t="s">
        <v>27</v>
      </c>
      <c r="F2326" s="22">
        <f t="shared" si="294"/>
        <v>2</v>
      </c>
      <c r="H2326" s="5" t="str">
        <f ca="1">_xlfn.FORMULATEXT(표1[[#This Row],[Q''ty]])</f>
        <v>=F2227</v>
      </c>
    </row>
    <row r="2327" spans="1:8" ht="15" hidden="1" customHeight="1" x14ac:dyDescent="0.4">
      <c r="A2327" s="6">
        <v>2026</v>
      </c>
      <c r="B2327" s="6">
        <f t="shared" si="289"/>
        <v>24</v>
      </c>
      <c r="C2327" s="13" t="s">
        <v>25</v>
      </c>
      <c r="D2327" s="2" t="s">
        <v>6</v>
      </c>
      <c r="E2327" s="14" t="s">
        <v>10</v>
      </c>
      <c r="F2327" s="22">
        <f t="shared" si="294"/>
        <v>3</v>
      </c>
      <c r="H2327" s="5" t="str">
        <f ca="1">_xlfn.FORMULATEXT(표1[[#This Row],[Q''ty]])</f>
        <v>=F2228</v>
      </c>
    </row>
    <row r="2328" spans="1:8" ht="15" hidden="1" customHeight="1" x14ac:dyDescent="0.4">
      <c r="A2328" s="6">
        <v>2026</v>
      </c>
      <c r="B2328" s="6">
        <f t="shared" si="289"/>
        <v>24</v>
      </c>
      <c r="C2328" s="13" t="s">
        <v>25</v>
      </c>
      <c r="D2328" s="2" t="s">
        <v>6</v>
      </c>
      <c r="E2328" s="14" t="s">
        <v>11</v>
      </c>
      <c r="F2328" s="22">
        <f t="shared" si="294"/>
        <v>4</v>
      </c>
      <c r="H2328" s="5" t="str">
        <f ca="1">_xlfn.FORMULATEXT(표1[[#This Row],[Q''ty]])</f>
        <v>=F2229</v>
      </c>
    </row>
    <row r="2329" spans="1:8" ht="15" hidden="1" customHeight="1" x14ac:dyDescent="0.4">
      <c r="A2329" s="6">
        <v>2026</v>
      </c>
      <c r="B2329" s="6">
        <f t="shared" si="289"/>
        <v>24</v>
      </c>
      <c r="C2329" s="13" t="s">
        <v>25</v>
      </c>
      <c r="D2329" s="2" t="s">
        <v>12</v>
      </c>
      <c r="E2329" s="14" t="s">
        <v>13</v>
      </c>
      <c r="F2329" s="22"/>
      <c r="H2329" s="5" t="e">
        <f ca="1">_xlfn.FORMULATEXT(표1[[#This Row],[Q''ty]])</f>
        <v>#N/A</v>
      </c>
    </row>
    <row r="2330" spans="1:8" ht="15" hidden="1" customHeight="1" x14ac:dyDescent="0.4">
      <c r="A2330" s="6">
        <v>2026</v>
      </c>
      <c r="B2330" s="6">
        <f t="shared" si="289"/>
        <v>24</v>
      </c>
      <c r="C2330" s="13" t="s">
        <v>25</v>
      </c>
      <c r="D2330" s="2" t="s">
        <v>12</v>
      </c>
      <c r="E2330" s="14" t="s">
        <v>14</v>
      </c>
      <c r="F2330" s="22"/>
      <c r="H2330" s="5" t="e">
        <f ca="1">_xlfn.FORMULATEXT(표1[[#This Row],[Q''ty]])</f>
        <v>#N/A</v>
      </c>
    </row>
    <row r="2331" spans="1:8" ht="15" hidden="1" customHeight="1" x14ac:dyDescent="0.4">
      <c r="A2331" s="6">
        <v>2026</v>
      </c>
      <c r="B2331" s="6">
        <f t="shared" si="289"/>
        <v>24</v>
      </c>
      <c r="C2331" s="13" t="s">
        <v>25</v>
      </c>
      <c r="D2331" s="2" t="s">
        <v>12</v>
      </c>
      <c r="E2331" s="14" t="s">
        <v>15</v>
      </c>
      <c r="F2331" s="22"/>
      <c r="H2331" s="5" t="e">
        <f ca="1">_xlfn.FORMULATEXT(표1[[#This Row],[Q''ty]])</f>
        <v>#N/A</v>
      </c>
    </row>
    <row r="2332" spans="1:8" ht="15" hidden="1" customHeight="1" x14ac:dyDescent="0.4">
      <c r="A2332" s="6">
        <v>2026</v>
      </c>
      <c r="B2332" s="6">
        <f t="shared" si="289"/>
        <v>24</v>
      </c>
      <c r="C2332" s="13" t="s">
        <v>25</v>
      </c>
      <c r="D2332" s="2" t="s">
        <v>12</v>
      </c>
      <c r="E2332" s="14" t="s">
        <v>16</v>
      </c>
      <c r="F2332" s="22"/>
      <c r="H2332" s="5" t="e">
        <f ca="1">_xlfn.FORMULATEXT(표1[[#This Row],[Q''ty]])</f>
        <v>#N/A</v>
      </c>
    </row>
    <row r="2333" spans="1:8" ht="15" hidden="1" customHeight="1" thickBot="1" x14ac:dyDescent="0.45">
      <c r="A2333" s="15">
        <v>2026</v>
      </c>
      <c r="B2333" s="15">
        <f t="shared" si="289"/>
        <v>24</v>
      </c>
      <c r="C2333" s="16" t="s">
        <v>25</v>
      </c>
      <c r="D2333" s="17" t="s">
        <v>12</v>
      </c>
      <c r="E2333" s="18" t="s">
        <v>17</v>
      </c>
      <c r="F2333" s="23"/>
      <c r="H2333" s="5" t="e">
        <f ca="1">_xlfn.FORMULATEXT(표1[[#This Row],[Q''ty]])</f>
        <v>#N/A</v>
      </c>
    </row>
    <row r="2334" spans="1:8" ht="15" hidden="1" customHeight="1" thickTop="1" x14ac:dyDescent="0.4">
      <c r="A2334" s="6">
        <v>2026</v>
      </c>
      <c r="B2334" s="6">
        <f t="shared" si="289"/>
        <v>24</v>
      </c>
      <c r="C2334" s="13" t="s">
        <v>26</v>
      </c>
      <c r="D2334" s="2" t="s">
        <v>6</v>
      </c>
      <c r="E2334" s="14" t="s">
        <v>7</v>
      </c>
      <c r="F2334" s="22">
        <f t="shared" ref="F2334:F2339" si="295">F2235</f>
        <v>6</v>
      </c>
      <c r="H2334" s="5" t="str">
        <f ca="1">_xlfn.FORMULATEXT(표1[[#This Row],[Q''ty]])</f>
        <v>=F2235</v>
      </c>
    </row>
    <row r="2335" spans="1:8" ht="15" hidden="1" customHeight="1" x14ac:dyDescent="0.4">
      <c r="A2335" s="6">
        <v>2026</v>
      </c>
      <c r="B2335" s="6">
        <f t="shared" si="289"/>
        <v>24</v>
      </c>
      <c r="C2335" s="13" t="s">
        <v>26</v>
      </c>
      <c r="D2335" s="2" t="s">
        <v>6</v>
      </c>
      <c r="E2335" s="14" t="s">
        <v>8</v>
      </c>
      <c r="F2335" s="22">
        <f t="shared" si="295"/>
        <v>4</v>
      </c>
      <c r="H2335" s="5" t="str">
        <f ca="1">_xlfn.FORMULATEXT(표1[[#This Row],[Q''ty]])</f>
        <v>=F2236</v>
      </c>
    </row>
    <row r="2336" spans="1:8" ht="15" hidden="1" customHeight="1" x14ac:dyDescent="0.4">
      <c r="A2336" s="6">
        <v>2026</v>
      </c>
      <c r="B2336" s="6">
        <f t="shared" si="289"/>
        <v>24</v>
      </c>
      <c r="C2336" s="13" t="s">
        <v>26</v>
      </c>
      <c r="D2336" s="2" t="s">
        <v>6</v>
      </c>
      <c r="E2336" s="14" t="s">
        <v>9</v>
      </c>
      <c r="F2336" s="22">
        <f t="shared" si="295"/>
        <v>2</v>
      </c>
      <c r="H2336" s="5" t="str">
        <f ca="1">_xlfn.FORMULATEXT(표1[[#This Row],[Q''ty]])</f>
        <v>=F2237</v>
      </c>
    </row>
    <row r="2337" spans="1:8" ht="15" hidden="1" customHeight="1" x14ac:dyDescent="0.4">
      <c r="A2337" s="6">
        <v>2026</v>
      </c>
      <c r="B2337" s="6">
        <f t="shared" si="289"/>
        <v>24</v>
      </c>
      <c r="C2337" s="13" t="s">
        <v>26</v>
      </c>
      <c r="D2337" s="2" t="s">
        <v>6</v>
      </c>
      <c r="E2337" s="14" t="s">
        <v>27</v>
      </c>
      <c r="F2337" s="22">
        <f t="shared" si="295"/>
        <v>3</v>
      </c>
      <c r="H2337" s="5" t="str">
        <f ca="1">_xlfn.FORMULATEXT(표1[[#This Row],[Q''ty]])</f>
        <v>=F2238</v>
      </c>
    </row>
    <row r="2338" spans="1:8" ht="15" hidden="1" customHeight="1" x14ac:dyDescent="0.4">
      <c r="A2338" s="6">
        <v>2026</v>
      </c>
      <c r="B2338" s="6">
        <f t="shared" si="289"/>
        <v>24</v>
      </c>
      <c r="C2338" s="13" t="s">
        <v>26</v>
      </c>
      <c r="D2338" s="2" t="s">
        <v>6</v>
      </c>
      <c r="E2338" s="14" t="s">
        <v>10</v>
      </c>
      <c r="F2338" s="22">
        <f t="shared" si="295"/>
        <v>4</v>
      </c>
      <c r="H2338" s="5" t="str">
        <f ca="1">_xlfn.FORMULATEXT(표1[[#This Row],[Q''ty]])</f>
        <v>=F2239</v>
      </c>
    </row>
    <row r="2339" spans="1:8" ht="15" hidden="1" customHeight="1" x14ac:dyDescent="0.4">
      <c r="A2339" s="6">
        <v>2026</v>
      </c>
      <c r="B2339" s="6">
        <f t="shared" si="289"/>
        <v>24</v>
      </c>
      <c r="C2339" s="13" t="s">
        <v>26</v>
      </c>
      <c r="D2339" s="2" t="s">
        <v>6</v>
      </c>
      <c r="E2339" s="14" t="s">
        <v>11</v>
      </c>
      <c r="F2339" s="22">
        <f t="shared" si="295"/>
        <v>6</v>
      </c>
      <c r="H2339" s="5" t="str">
        <f ca="1">_xlfn.FORMULATEXT(표1[[#This Row],[Q''ty]])</f>
        <v>=F2240</v>
      </c>
    </row>
    <row r="2340" spans="1:8" ht="15" hidden="1" customHeight="1" x14ac:dyDescent="0.4">
      <c r="A2340" s="6">
        <v>2026</v>
      </c>
      <c r="B2340" s="6">
        <f t="shared" si="289"/>
        <v>24</v>
      </c>
      <c r="C2340" s="13" t="s">
        <v>26</v>
      </c>
      <c r="D2340" s="2" t="s">
        <v>12</v>
      </c>
      <c r="E2340" s="14" t="str">
        <f t="shared" ref="E2340:E2377" si="296">E2241</f>
        <v>BT GT</v>
      </c>
      <c r="F2340" s="22"/>
      <c r="H2340" s="5" t="e">
        <f ca="1">_xlfn.FORMULATEXT(표1[[#This Row],[Q''ty]])</f>
        <v>#N/A</v>
      </c>
    </row>
    <row r="2341" spans="1:8" ht="15" hidden="1" customHeight="1" x14ac:dyDescent="0.4">
      <c r="A2341" s="6">
        <v>2026</v>
      </c>
      <c r="B2341" s="6">
        <f t="shared" si="289"/>
        <v>24</v>
      </c>
      <c r="C2341" s="13" t="s">
        <v>26</v>
      </c>
      <c r="D2341" s="2" t="s">
        <v>12</v>
      </c>
      <c r="E2341" s="14" t="str">
        <f t="shared" si="296"/>
        <v>WT GT</v>
      </c>
      <c r="F2341" s="22"/>
      <c r="H2341" s="5" t="e">
        <f ca="1">_xlfn.FORMULATEXT(표1[[#This Row],[Q''ty]])</f>
        <v>#N/A</v>
      </c>
    </row>
    <row r="2342" spans="1:8" ht="15" hidden="1" customHeight="1" x14ac:dyDescent="0.4">
      <c r="A2342" s="6">
        <v>2026</v>
      </c>
      <c r="B2342" s="6">
        <f t="shared" si="289"/>
        <v>24</v>
      </c>
      <c r="C2342" s="13" t="s">
        <v>26</v>
      </c>
      <c r="D2342" s="2" t="s">
        <v>12</v>
      </c>
      <c r="E2342" s="14" t="str">
        <f t="shared" si="296"/>
        <v>Bending</v>
      </c>
      <c r="F2342" s="22"/>
      <c r="H2342" s="5" t="e">
        <f ca="1">_xlfn.FORMULATEXT(표1[[#This Row],[Q''ty]])</f>
        <v>#N/A</v>
      </c>
    </row>
    <row r="2343" spans="1:8" ht="15" hidden="1" customHeight="1" x14ac:dyDescent="0.4">
      <c r="A2343" s="6">
        <v>2026</v>
      </c>
      <c r="B2343" s="6">
        <f t="shared" si="289"/>
        <v>24</v>
      </c>
      <c r="C2343" s="13" t="s">
        <v>26</v>
      </c>
      <c r="D2343" s="2" t="s">
        <v>12</v>
      </c>
      <c r="E2343" s="14" t="str">
        <f t="shared" si="296"/>
        <v>L/W</v>
      </c>
      <c r="F2343" s="22"/>
      <c r="H2343" s="5" t="e">
        <f ca="1">_xlfn.FORMULATEXT(표1[[#This Row],[Q''ty]])</f>
        <v>#N/A</v>
      </c>
    </row>
    <row r="2344" spans="1:8" ht="15" hidden="1" customHeight="1" thickBot="1" x14ac:dyDescent="0.45">
      <c r="A2344" s="15">
        <v>2026</v>
      </c>
      <c r="B2344" s="15">
        <f t="shared" ref="B2344:B2377" si="297">B2245+1</f>
        <v>24</v>
      </c>
      <c r="C2344" s="16" t="s">
        <v>26</v>
      </c>
      <c r="D2344" s="17" t="s">
        <v>12</v>
      </c>
      <c r="E2344" s="18" t="str">
        <f t="shared" si="296"/>
        <v>C/W</v>
      </c>
      <c r="F2344" s="23"/>
      <c r="H2344" s="5" t="e">
        <f ca="1">_xlfn.FORMULATEXT(표1[[#This Row],[Q''ty]])</f>
        <v>#N/A</v>
      </c>
    </row>
    <row r="2345" spans="1:8" ht="15" hidden="1" customHeight="1" thickTop="1" x14ac:dyDescent="0.4">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hidden="1" customHeight="1" x14ac:dyDescent="0.4">
      <c r="A2346" s="6">
        <v>2026</v>
      </c>
      <c r="B2346" s="6">
        <f t="shared" si="297"/>
        <v>24</v>
      </c>
      <c r="C2346" s="13" t="s">
        <v>20</v>
      </c>
      <c r="D2346" s="2" t="s">
        <v>6</v>
      </c>
      <c r="E2346" s="14" t="str">
        <f t="shared" si="296"/>
        <v>Paint Booth</v>
      </c>
      <c r="F2346" s="22">
        <f t="shared" si="298"/>
        <v>16</v>
      </c>
      <c r="H2346" s="5" t="str">
        <f ca="1">_xlfn.FORMULATEXT(표1[[#This Row],[Q''ty]])</f>
        <v>=F2247</v>
      </c>
    </row>
    <row r="2347" spans="1:8" ht="15" hidden="1" customHeight="1" x14ac:dyDescent="0.4">
      <c r="A2347" s="6">
        <v>2026</v>
      </c>
      <c r="B2347" s="6">
        <f t="shared" si="297"/>
        <v>24</v>
      </c>
      <c r="C2347" s="13" t="s">
        <v>20</v>
      </c>
      <c r="D2347" s="2" t="s">
        <v>6</v>
      </c>
      <c r="E2347" s="14" t="str">
        <f t="shared" si="296"/>
        <v>Paint Line</v>
      </c>
      <c r="F2347" s="22">
        <f t="shared" si="298"/>
        <v>8</v>
      </c>
      <c r="H2347" s="5" t="str">
        <f ca="1">_xlfn.FORMULATEXT(표1[[#This Row],[Q''ty]])</f>
        <v>=F2248</v>
      </c>
    </row>
    <row r="2348" spans="1:8" ht="15" hidden="1" customHeight="1" x14ac:dyDescent="0.4">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hidden="1" customHeight="1" x14ac:dyDescent="0.4">
      <c r="A2349" s="6">
        <v>2026</v>
      </c>
      <c r="B2349" s="6">
        <f t="shared" si="297"/>
        <v>24</v>
      </c>
      <c r="C2349" s="13" t="s">
        <v>20</v>
      </c>
      <c r="D2349" s="2" t="s">
        <v>6</v>
      </c>
      <c r="E2349" s="14" t="str">
        <f t="shared" si="296"/>
        <v>L/W Machine</v>
      </c>
      <c r="F2349" s="22">
        <f t="shared" si="298"/>
        <v>11</v>
      </c>
      <c r="H2349" s="5" t="str">
        <f ca="1">_xlfn.FORMULATEXT(표1[[#This Row],[Q''ty]])</f>
        <v>=F2250</v>
      </c>
    </row>
    <row r="2350" spans="1:8" ht="15" hidden="1" customHeight="1" x14ac:dyDescent="0.4">
      <c r="A2350" s="6">
        <v>2026</v>
      </c>
      <c r="B2350" s="6">
        <f t="shared" si="297"/>
        <v>24</v>
      </c>
      <c r="C2350" s="13" t="s">
        <v>20</v>
      </c>
      <c r="D2350" s="2" t="s">
        <v>6</v>
      </c>
      <c r="E2350" s="14" t="str">
        <f t="shared" si="296"/>
        <v>C/W Machine</v>
      </c>
      <c r="F2350" s="22">
        <f t="shared" si="298"/>
        <v>15</v>
      </c>
      <c r="H2350" s="5" t="str">
        <f ca="1">_xlfn.FORMULATEXT(표1[[#This Row],[Q''ty]])</f>
        <v>=F2251</v>
      </c>
    </row>
    <row r="2351" spans="1:8" ht="15" hidden="1" customHeight="1" x14ac:dyDescent="0.4">
      <c r="A2351" s="6">
        <v>2026</v>
      </c>
      <c r="B2351" s="6">
        <f t="shared" si="297"/>
        <v>24</v>
      </c>
      <c r="C2351" s="13" t="s">
        <v>20</v>
      </c>
      <c r="D2351" s="2" t="s">
        <v>12</v>
      </c>
      <c r="E2351" s="14" t="str">
        <f t="shared" si="296"/>
        <v>BT GT</v>
      </c>
      <c r="F2351" s="22"/>
      <c r="H2351" s="5" t="e">
        <f ca="1">_xlfn.FORMULATEXT(표1[[#This Row],[Q''ty]])</f>
        <v>#N/A</v>
      </c>
    </row>
    <row r="2352" spans="1:8" ht="15" hidden="1" customHeight="1" x14ac:dyDescent="0.4">
      <c r="A2352" s="6">
        <v>2026</v>
      </c>
      <c r="B2352" s="6">
        <f t="shared" si="297"/>
        <v>24</v>
      </c>
      <c r="C2352" s="13" t="s">
        <v>20</v>
      </c>
      <c r="D2352" s="2" t="s">
        <v>12</v>
      </c>
      <c r="E2352" s="14" t="str">
        <f t="shared" si="296"/>
        <v>WT GT</v>
      </c>
      <c r="F2352" s="22"/>
      <c r="H2352" s="5" t="e">
        <f ca="1">_xlfn.FORMULATEXT(표1[[#This Row],[Q''ty]])</f>
        <v>#N/A</v>
      </c>
    </row>
    <row r="2353" spans="1:8" ht="15" hidden="1" customHeight="1" x14ac:dyDescent="0.4">
      <c r="A2353" s="6">
        <v>2026</v>
      </c>
      <c r="B2353" s="6">
        <f t="shared" si="297"/>
        <v>24</v>
      </c>
      <c r="C2353" s="13" t="s">
        <v>20</v>
      </c>
      <c r="D2353" s="2" t="s">
        <v>12</v>
      </c>
      <c r="E2353" s="14" t="str">
        <f t="shared" si="296"/>
        <v>Bending</v>
      </c>
      <c r="F2353" s="22"/>
      <c r="H2353" s="5" t="e">
        <f ca="1">_xlfn.FORMULATEXT(표1[[#This Row],[Q''ty]])</f>
        <v>#N/A</v>
      </c>
    </row>
    <row r="2354" spans="1:8" ht="15" hidden="1" customHeight="1" x14ac:dyDescent="0.4">
      <c r="A2354" s="6">
        <v>2026</v>
      </c>
      <c r="B2354" s="6">
        <f t="shared" si="297"/>
        <v>24</v>
      </c>
      <c r="C2354" s="13" t="s">
        <v>20</v>
      </c>
      <c r="D2354" s="2" t="s">
        <v>12</v>
      </c>
      <c r="E2354" s="14" t="str">
        <f t="shared" si="296"/>
        <v>L/W</v>
      </c>
      <c r="F2354" s="22"/>
      <c r="H2354" s="5" t="e">
        <f ca="1">_xlfn.FORMULATEXT(표1[[#This Row],[Q''ty]])</f>
        <v>#N/A</v>
      </c>
    </row>
    <row r="2355" spans="1:8" ht="15" hidden="1" customHeight="1" thickBot="1" x14ac:dyDescent="0.45">
      <c r="A2355" s="15">
        <v>2026</v>
      </c>
      <c r="B2355" s="15">
        <f t="shared" si="297"/>
        <v>24</v>
      </c>
      <c r="C2355" s="16" t="s">
        <v>20</v>
      </c>
      <c r="D2355" s="17" t="s">
        <v>12</v>
      </c>
      <c r="E2355" s="18" t="str">
        <f t="shared" si="296"/>
        <v>C/W</v>
      </c>
      <c r="F2355" s="23"/>
      <c r="H2355" s="5" t="e">
        <f ca="1">_xlfn.FORMULATEXT(표1[[#This Row],[Q''ty]])</f>
        <v>#N/A</v>
      </c>
    </row>
    <row r="2356" spans="1:8" ht="15" hidden="1" customHeight="1" thickTop="1" x14ac:dyDescent="0.4">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hidden="1" customHeight="1" x14ac:dyDescent="0.4">
      <c r="A2357" s="6">
        <v>2026</v>
      </c>
      <c r="B2357" s="6">
        <f t="shared" si="297"/>
        <v>24</v>
      </c>
      <c r="C2357" s="13" t="s">
        <v>21</v>
      </c>
      <c r="D2357" s="2" t="s">
        <v>6</v>
      </c>
      <c r="E2357" s="14" t="str">
        <f t="shared" si="296"/>
        <v>Paint Booth</v>
      </c>
      <c r="F2357" s="22">
        <f t="shared" si="299"/>
        <v>4</v>
      </c>
      <c r="H2357" s="5" t="str">
        <f ca="1">_xlfn.FORMULATEXT(표1[[#This Row],[Q''ty]])</f>
        <v>=F2258</v>
      </c>
    </row>
    <row r="2358" spans="1:8" ht="15" hidden="1" customHeight="1" x14ac:dyDescent="0.4">
      <c r="A2358" s="6">
        <v>2026</v>
      </c>
      <c r="B2358" s="6">
        <f t="shared" si="297"/>
        <v>24</v>
      </c>
      <c r="C2358" s="13" t="s">
        <v>21</v>
      </c>
      <c r="D2358" s="2" t="s">
        <v>6</v>
      </c>
      <c r="E2358" s="14" t="str">
        <f t="shared" si="296"/>
        <v>Paint Line</v>
      </c>
      <c r="F2358" s="22">
        <f t="shared" si="299"/>
        <v>4</v>
      </c>
      <c r="H2358" s="5" t="str">
        <f ca="1">_xlfn.FORMULATEXT(표1[[#This Row],[Q''ty]])</f>
        <v>=F2259</v>
      </c>
    </row>
    <row r="2359" spans="1:8" ht="15" hidden="1" customHeight="1" x14ac:dyDescent="0.4">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hidden="1" customHeight="1" x14ac:dyDescent="0.4">
      <c r="A2360" s="6">
        <v>2026</v>
      </c>
      <c r="B2360" s="6">
        <f t="shared" si="297"/>
        <v>24</v>
      </c>
      <c r="C2360" s="13" t="s">
        <v>21</v>
      </c>
      <c r="D2360" s="2" t="s">
        <v>6</v>
      </c>
      <c r="E2360" s="14" t="str">
        <f t="shared" si="296"/>
        <v>L/W Machine</v>
      </c>
      <c r="F2360" s="22">
        <f t="shared" si="299"/>
        <v>4</v>
      </c>
      <c r="H2360" s="5" t="str">
        <f ca="1">_xlfn.FORMULATEXT(표1[[#This Row],[Q''ty]])</f>
        <v>=F2261</v>
      </c>
    </row>
    <row r="2361" spans="1:8" ht="15" hidden="1" customHeight="1" x14ac:dyDescent="0.4">
      <c r="A2361" s="6">
        <v>2026</v>
      </c>
      <c r="B2361" s="6">
        <f t="shared" si="297"/>
        <v>24</v>
      </c>
      <c r="C2361" s="13" t="s">
        <v>21</v>
      </c>
      <c r="D2361" s="2" t="s">
        <v>6</v>
      </c>
      <c r="E2361" s="14" t="str">
        <f t="shared" si="296"/>
        <v>C/W Machine</v>
      </c>
      <c r="F2361" s="22">
        <f t="shared" si="299"/>
        <v>6.5</v>
      </c>
      <c r="H2361" s="5" t="str">
        <f ca="1">_xlfn.FORMULATEXT(표1[[#This Row],[Q''ty]])</f>
        <v>=F2262</v>
      </c>
    </row>
    <row r="2362" spans="1:8" ht="15" hidden="1" customHeight="1" x14ac:dyDescent="0.4">
      <c r="A2362" s="6">
        <v>2026</v>
      </c>
      <c r="B2362" s="6">
        <f t="shared" si="297"/>
        <v>24</v>
      </c>
      <c r="C2362" s="13" t="s">
        <v>21</v>
      </c>
      <c r="D2362" s="2" t="s">
        <v>12</v>
      </c>
      <c r="E2362" s="14" t="str">
        <f t="shared" si="296"/>
        <v>BT GT</v>
      </c>
      <c r="F2362" s="22"/>
      <c r="H2362" s="5" t="e">
        <f ca="1">_xlfn.FORMULATEXT(표1[[#This Row],[Q''ty]])</f>
        <v>#N/A</v>
      </c>
    </row>
    <row r="2363" spans="1:8" ht="15" hidden="1" customHeight="1" x14ac:dyDescent="0.4">
      <c r="A2363" s="6">
        <v>2026</v>
      </c>
      <c r="B2363" s="6">
        <f t="shared" si="297"/>
        <v>24</v>
      </c>
      <c r="C2363" s="13" t="s">
        <v>21</v>
      </c>
      <c r="D2363" s="2" t="s">
        <v>12</v>
      </c>
      <c r="E2363" s="14" t="str">
        <f t="shared" si="296"/>
        <v>WT GT</v>
      </c>
      <c r="F2363" s="22"/>
      <c r="H2363" s="5" t="e">
        <f ca="1">_xlfn.FORMULATEXT(표1[[#This Row],[Q''ty]])</f>
        <v>#N/A</v>
      </c>
    </row>
    <row r="2364" spans="1:8" ht="15" hidden="1" customHeight="1" x14ac:dyDescent="0.4">
      <c r="A2364" s="6">
        <v>2026</v>
      </c>
      <c r="B2364" s="6">
        <f t="shared" si="297"/>
        <v>24</v>
      </c>
      <c r="C2364" s="13" t="s">
        <v>21</v>
      </c>
      <c r="D2364" s="2" t="s">
        <v>12</v>
      </c>
      <c r="E2364" s="14" t="str">
        <f t="shared" si="296"/>
        <v>Bending</v>
      </c>
      <c r="F2364" s="22"/>
      <c r="H2364" s="5" t="e">
        <f ca="1">_xlfn.FORMULATEXT(표1[[#This Row],[Q''ty]])</f>
        <v>#N/A</v>
      </c>
    </row>
    <row r="2365" spans="1:8" ht="15" hidden="1" customHeight="1" x14ac:dyDescent="0.4">
      <c r="A2365" s="6">
        <v>2026</v>
      </c>
      <c r="B2365" s="6">
        <f t="shared" si="297"/>
        <v>24</v>
      </c>
      <c r="C2365" s="13" t="s">
        <v>21</v>
      </c>
      <c r="D2365" s="2" t="s">
        <v>12</v>
      </c>
      <c r="E2365" s="14" t="str">
        <f t="shared" si="296"/>
        <v>L/W</v>
      </c>
      <c r="F2365" s="22"/>
      <c r="H2365" s="5" t="e">
        <f ca="1">_xlfn.FORMULATEXT(표1[[#This Row],[Q''ty]])</f>
        <v>#N/A</v>
      </c>
    </row>
    <row r="2366" spans="1:8" ht="15" hidden="1" customHeight="1" thickBot="1" x14ac:dyDescent="0.45">
      <c r="A2366" s="15">
        <v>2026</v>
      </c>
      <c r="B2366" s="15">
        <f t="shared" si="297"/>
        <v>24</v>
      </c>
      <c r="C2366" s="16" t="s">
        <v>21</v>
      </c>
      <c r="D2366" s="17" t="s">
        <v>12</v>
      </c>
      <c r="E2366" s="18" t="str">
        <f t="shared" si="296"/>
        <v>C/W</v>
      </c>
      <c r="F2366" s="23"/>
      <c r="H2366" s="5" t="e">
        <f ca="1">_xlfn.FORMULATEXT(표1[[#This Row],[Q''ty]])</f>
        <v>#N/A</v>
      </c>
    </row>
    <row r="2367" spans="1:8" ht="15" hidden="1" customHeight="1" thickTop="1" x14ac:dyDescent="0.4">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hidden="1" customHeight="1" x14ac:dyDescent="0.4">
      <c r="A2368" s="6">
        <v>2026</v>
      </c>
      <c r="B2368" s="6">
        <f t="shared" si="297"/>
        <v>24</v>
      </c>
      <c r="C2368" s="13" t="s">
        <v>22</v>
      </c>
      <c r="D2368" s="2" t="s">
        <v>6</v>
      </c>
      <c r="E2368" s="14" t="str">
        <f t="shared" si="296"/>
        <v>Paint Booth</v>
      </c>
      <c r="F2368" s="22">
        <f t="shared" si="300"/>
        <v>6</v>
      </c>
      <c r="H2368" s="5" t="str">
        <f ca="1">_xlfn.FORMULATEXT(표1[[#This Row],[Q''ty]])</f>
        <v>=F2269</v>
      </c>
    </row>
    <row r="2369" spans="1:10" ht="15" hidden="1" customHeight="1" x14ac:dyDescent="0.4">
      <c r="A2369" s="6">
        <v>2026</v>
      </c>
      <c r="B2369" s="6">
        <f t="shared" si="297"/>
        <v>24</v>
      </c>
      <c r="C2369" s="13" t="s">
        <v>22</v>
      </c>
      <c r="D2369" s="2" t="s">
        <v>6</v>
      </c>
      <c r="E2369" s="14" t="str">
        <f t="shared" si="296"/>
        <v>Paint Line</v>
      </c>
      <c r="F2369" s="22">
        <f t="shared" si="300"/>
        <v>4</v>
      </c>
      <c r="H2369" s="5" t="str">
        <f ca="1">_xlfn.FORMULATEXT(표1[[#This Row],[Q''ty]])</f>
        <v>=F2270</v>
      </c>
    </row>
    <row r="2370" spans="1:10" ht="15" hidden="1" customHeight="1" x14ac:dyDescent="0.4">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10" ht="15" hidden="1" customHeight="1" x14ac:dyDescent="0.4">
      <c r="A2371" s="6">
        <v>2026</v>
      </c>
      <c r="B2371" s="6">
        <f t="shared" si="297"/>
        <v>24</v>
      </c>
      <c r="C2371" s="13" t="s">
        <v>22</v>
      </c>
      <c r="D2371" s="2" t="s">
        <v>6</v>
      </c>
      <c r="E2371" s="14" t="str">
        <f t="shared" si="296"/>
        <v>L/W Machine</v>
      </c>
      <c r="F2371" s="22">
        <f t="shared" si="300"/>
        <v>7</v>
      </c>
      <c r="H2371" s="5" t="str">
        <f ca="1">_xlfn.FORMULATEXT(표1[[#This Row],[Q''ty]])</f>
        <v>=F2272</v>
      </c>
    </row>
    <row r="2372" spans="1:10" ht="15" hidden="1" customHeight="1" x14ac:dyDescent="0.4">
      <c r="A2372" s="6">
        <v>2026</v>
      </c>
      <c r="B2372" s="6">
        <f t="shared" si="297"/>
        <v>24</v>
      </c>
      <c r="C2372" s="13" t="s">
        <v>22</v>
      </c>
      <c r="D2372" s="2" t="s">
        <v>6</v>
      </c>
      <c r="E2372" s="14" t="str">
        <f t="shared" si="296"/>
        <v>C/W Machine</v>
      </c>
      <c r="F2372" s="22">
        <f t="shared" si="300"/>
        <v>12.5</v>
      </c>
      <c r="H2372" s="5" t="str">
        <f ca="1">_xlfn.FORMULATEXT(표1[[#This Row],[Q''ty]])</f>
        <v>=F2273</v>
      </c>
    </row>
    <row r="2373" spans="1:10" ht="15" hidden="1" customHeight="1" x14ac:dyDescent="0.4">
      <c r="A2373" s="6">
        <v>2026</v>
      </c>
      <c r="B2373" s="6">
        <f t="shared" si="297"/>
        <v>24</v>
      </c>
      <c r="C2373" s="13" t="s">
        <v>22</v>
      </c>
      <c r="D2373" s="2" t="s">
        <v>12</v>
      </c>
      <c r="E2373" s="14" t="str">
        <f t="shared" si="296"/>
        <v>BT GT</v>
      </c>
      <c r="F2373" s="22"/>
      <c r="H2373" s="5" t="e">
        <f ca="1">_xlfn.FORMULATEXT(표1[[#This Row],[Q''ty]])</f>
        <v>#N/A</v>
      </c>
    </row>
    <row r="2374" spans="1:10" ht="15" hidden="1" customHeight="1" x14ac:dyDescent="0.4">
      <c r="A2374" s="6">
        <v>2026</v>
      </c>
      <c r="B2374" s="6">
        <f t="shared" si="297"/>
        <v>24</v>
      </c>
      <c r="C2374" s="13" t="s">
        <v>22</v>
      </c>
      <c r="D2374" s="2" t="s">
        <v>12</v>
      </c>
      <c r="E2374" s="14" t="str">
        <f t="shared" si="296"/>
        <v>WT GT</v>
      </c>
      <c r="F2374" s="22"/>
      <c r="H2374" s="5" t="e">
        <f ca="1">_xlfn.FORMULATEXT(표1[[#This Row],[Q''ty]])</f>
        <v>#N/A</v>
      </c>
    </row>
    <row r="2375" spans="1:10" ht="15" hidden="1" customHeight="1" x14ac:dyDescent="0.4">
      <c r="A2375" s="6">
        <v>2026</v>
      </c>
      <c r="B2375" s="6">
        <f t="shared" si="297"/>
        <v>24</v>
      </c>
      <c r="C2375" s="13" t="s">
        <v>22</v>
      </c>
      <c r="D2375" s="2" t="s">
        <v>12</v>
      </c>
      <c r="E2375" s="14" t="str">
        <f t="shared" si="296"/>
        <v>Bending</v>
      </c>
      <c r="F2375" s="22"/>
      <c r="H2375" s="5" t="e">
        <f ca="1">_xlfn.FORMULATEXT(표1[[#This Row],[Q''ty]])</f>
        <v>#N/A</v>
      </c>
    </row>
    <row r="2376" spans="1:10" ht="15" hidden="1" customHeight="1" x14ac:dyDescent="0.4">
      <c r="A2376" s="6">
        <v>2026</v>
      </c>
      <c r="B2376" s="6">
        <f t="shared" si="297"/>
        <v>24</v>
      </c>
      <c r="C2376" s="13" t="s">
        <v>22</v>
      </c>
      <c r="D2376" s="2" t="s">
        <v>12</v>
      </c>
      <c r="E2376" s="14" t="str">
        <f t="shared" si="296"/>
        <v>L/W</v>
      </c>
      <c r="F2376" s="22"/>
      <c r="H2376" s="5" t="e">
        <f ca="1">_xlfn.FORMULATEXT(표1[[#This Row],[Q''ty]])</f>
        <v>#N/A</v>
      </c>
    </row>
    <row r="2377" spans="1:10" ht="15" hidden="1" customHeight="1" thickBot="1" x14ac:dyDescent="0.45">
      <c r="A2377" s="6">
        <v>2026</v>
      </c>
      <c r="B2377" s="6">
        <f t="shared" si="297"/>
        <v>24</v>
      </c>
      <c r="C2377" s="13" t="s">
        <v>22</v>
      </c>
      <c r="D2377" s="2" t="s">
        <v>12</v>
      </c>
      <c r="E2377" s="14" t="str">
        <f t="shared" si="296"/>
        <v>C/W</v>
      </c>
      <c r="F2377" s="22"/>
      <c r="H2377" s="5" t="e">
        <f ca="1">_xlfn.FORMULATEXT(표1[[#This Row],[Q''ty]])</f>
        <v>#N/A</v>
      </c>
    </row>
    <row r="2378" spans="1:10" ht="15" hidden="1" customHeight="1" thickTop="1" x14ac:dyDescent="0.4">
      <c r="A2378" s="9">
        <v>2026</v>
      </c>
      <c r="B2378" s="9">
        <f>B2279+1</f>
        <v>25</v>
      </c>
      <c r="C2378" s="10" t="s">
        <v>28</v>
      </c>
      <c r="D2378" s="11" t="s">
        <v>6</v>
      </c>
      <c r="E2378" s="12" t="s">
        <v>7</v>
      </c>
      <c r="F2378" s="21">
        <f t="shared" ref="F2378:F2383" si="301">F2279</f>
        <v>15</v>
      </c>
      <c r="H2378" s="5" t="str">
        <f ca="1">_xlfn.FORMULATEXT(표1[[#This Row],[Q''ty]])</f>
        <v>=F2279</v>
      </c>
    </row>
    <row r="2379" spans="1:10" s="2" customFormat="1" ht="15" hidden="1" customHeight="1" x14ac:dyDescent="0.4">
      <c r="A2379" s="6">
        <v>2026</v>
      </c>
      <c r="B2379" s="6">
        <f t="shared" ref="B2379:B2442" si="302">B2280+1</f>
        <v>25</v>
      </c>
      <c r="C2379" s="13" t="s">
        <v>23</v>
      </c>
      <c r="D2379" s="2" t="s">
        <v>6</v>
      </c>
      <c r="E2379" s="14" t="s">
        <v>8</v>
      </c>
      <c r="F2379" s="22">
        <f t="shared" si="301"/>
        <v>10</v>
      </c>
      <c r="H2379" s="5" t="str">
        <f ca="1">_xlfn.FORMULATEXT(표1[[#This Row],[Q''ty]])</f>
        <v>=F2280</v>
      </c>
      <c r="I2379" s="26"/>
      <c r="J2379" s="26"/>
    </row>
    <row r="2380" spans="1:10" s="2" customFormat="1" ht="15" hidden="1" customHeight="1" x14ac:dyDescent="0.4">
      <c r="A2380" s="6">
        <v>2026</v>
      </c>
      <c r="B2380" s="6">
        <f t="shared" si="302"/>
        <v>25</v>
      </c>
      <c r="C2380" s="13" t="s">
        <v>23</v>
      </c>
      <c r="D2380" s="2" t="s">
        <v>6</v>
      </c>
      <c r="E2380" s="14" t="s">
        <v>9</v>
      </c>
      <c r="F2380" s="22">
        <f t="shared" si="301"/>
        <v>5</v>
      </c>
      <c r="H2380" s="5" t="str">
        <f ca="1">_xlfn.FORMULATEXT(표1[[#This Row],[Q''ty]])</f>
        <v>=F2281</v>
      </c>
      <c r="I2380" s="26"/>
      <c r="J2380" s="26"/>
    </row>
    <row r="2381" spans="1:10" ht="15" hidden="1" customHeight="1" x14ac:dyDescent="0.4">
      <c r="A2381" s="6">
        <v>2026</v>
      </c>
      <c r="B2381" s="6">
        <f t="shared" si="302"/>
        <v>25</v>
      </c>
      <c r="C2381" s="13" t="s">
        <v>23</v>
      </c>
      <c r="D2381" s="2" t="s">
        <v>6</v>
      </c>
      <c r="E2381" s="14" t="s">
        <v>27</v>
      </c>
      <c r="F2381" s="22">
        <f t="shared" si="301"/>
        <v>6</v>
      </c>
      <c r="H2381" s="5" t="str">
        <f ca="1">_xlfn.FORMULATEXT(표1[[#This Row],[Q''ty]])</f>
        <v>=F2282</v>
      </c>
    </row>
    <row r="2382" spans="1:10" ht="15" hidden="1" customHeight="1" x14ac:dyDescent="0.4">
      <c r="A2382" s="6">
        <v>2026</v>
      </c>
      <c r="B2382" s="6">
        <f t="shared" si="302"/>
        <v>25</v>
      </c>
      <c r="C2382" s="13" t="s">
        <v>23</v>
      </c>
      <c r="D2382" s="2" t="s">
        <v>6</v>
      </c>
      <c r="E2382" s="14" t="s">
        <v>10</v>
      </c>
      <c r="F2382" s="22">
        <f t="shared" si="301"/>
        <v>10</v>
      </c>
      <c r="H2382" s="5" t="str">
        <f ca="1">_xlfn.FORMULATEXT(표1[[#This Row],[Q''ty]])</f>
        <v>=F2283</v>
      </c>
    </row>
    <row r="2383" spans="1:10" ht="15" hidden="1" customHeight="1" x14ac:dyDescent="0.4">
      <c r="A2383" s="6">
        <v>2026</v>
      </c>
      <c r="B2383" s="6">
        <f t="shared" si="302"/>
        <v>25</v>
      </c>
      <c r="C2383" s="13" t="s">
        <v>23</v>
      </c>
      <c r="D2383" s="2" t="s">
        <v>6</v>
      </c>
      <c r="E2383" s="14" t="s">
        <v>11</v>
      </c>
      <c r="F2383" s="22">
        <f t="shared" si="301"/>
        <v>10</v>
      </c>
      <c r="H2383" s="5" t="str">
        <f ca="1">_xlfn.FORMULATEXT(표1[[#This Row],[Q''ty]])</f>
        <v>=F2284</v>
      </c>
    </row>
    <row r="2384" spans="1:10" ht="15" hidden="1" customHeight="1" x14ac:dyDescent="0.4">
      <c r="A2384" s="6">
        <v>2026</v>
      </c>
      <c r="B2384" s="6">
        <f t="shared" si="302"/>
        <v>25</v>
      </c>
      <c r="C2384" s="13" t="s">
        <v>23</v>
      </c>
      <c r="D2384" s="2" t="s">
        <v>12</v>
      </c>
      <c r="E2384" s="14" t="s">
        <v>13</v>
      </c>
      <c r="F2384" s="22"/>
      <c r="H2384" s="5" t="e">
        <f ca="1">_xlfn.FORMULATEXT(표1[[#This Row],[Q''ty]])</f>
        <v>#N/A</v>
      </c>
    </row>
    <row r="2385" spans="1:10" s="2" customFormat="1" ht="15" hidden="1" customHeight="1" x14ac:dyDescent="0.4">
      <c r="A2385" s="6">
        <v>2026</v>
      </c>
      <c r="B2385" s="6">
        <f t="shared" si="302"/>
        <v>25</v>
      </c>
      <c r="C2385" s="13" t="s">
        <v>23</v>
      </c>
      <c r="D2385" s="2" t="s">
        <v>12</v>
      </c>
      <c r="E2385" s="14" t="s">
        <v>14</v>
      </c>
      <c r="F2385" s="22"/>
      <c r="H2385" s="5" t="e">
        <f ca="1">_xlfn.FORMULATEXT(표1[[#This Row],[Q''ty]])</f>
        <v>#N/A</v>
      </c>
      <c r="I2385" s="26"/>
      <c r="J2385" s="26"/>
    </row>
    <row r="2386" spans="1:10" ht="15" hidden="1" customHeight="1" x14ac:dyDescent="0.4">
      <c r="A2386" s="6">
        <v>2026</v>
      </c>
      <c r="B2386" s="6">
        <f t="shared" si="302"/>
        <v>25</v>
      </c>
      <c r="C2386" s="13" t="s">
        <v>23</v>
      </c>
      <c r="D2386" s="2" t="s">
        <v>12</v>
      </c>
      <c r="E2386" s="14" t="s">
        <v>15</v>
      </c>
      <c r="F2386" s="22"/>
      <c r="H2386" s="5" t="e">
        <f ca="1">_xlfn.FORMULATEXT(표1[[#This Row],[Q''ty]])</f>
        <v>#N/A</v>
      </c>
    </row>
    <row r="2387" spans="1:10" ht="15" hidden="1" customHeight="1" x14ac:dyDescent="0.4">
      <c r="A2387" s="6">
        <v>2026</v>
      </c>
      <c r="B2387" s="6">
        <f t="shared" si="302"/>
        <v>25</v>
      </c>
      <c r="C2387" s="13" t="s">
        <v>23</v>
      </c>
      <c r="D2387" s="2" t="s">
        <v>12</v>
      </c>
      <c r="E2387" s="14" t="s">
        <v>16</v>
      </c>
      <c r="F2387" s="22"/>
      <c r="H2387" s="5" t="e">
        <f ca="1">_xlfn.FORMULATEXT(표1[[#This Row],[Q''ty]])</f>
        <v>#N/A</v>
      </c>
    </row>
    <row r="2388" spans="1:10" ht="15" hidden="1" customHeight="1" thickBot="1" x14ac:dyDescent="0.45">
      <c r="A2388" s="15">
        <v>2026</v>
      </c>
      <c r="B2388" s="15">
        <f t="shared" si="302"/>
        <v>25</v>
      </c>
      <c r="C2388" s="16" t="s">
        <v>23</v>
      </c>
      <c r="D2388" s="17" t="s">
        <v>12</v>
      </c>
      <c r="E2388" s="18" t="s">
        <v>17</v>
      </c>
      <c r="F2388" s="23"/>
      <c r="H2388" s="5" t="e">
        <f ca="1">_xlfn.FORMULATEXT(표1[[#This Row],[Q''ty]])</f>
        <v>#N/A</v>
      </c>
    </row>
    <row r="2389" spans="1:10" ht="15" hidden="1" customHeight="1" thickTop="1" x14ac:dyDescent="0.4">
      <c r="A2389" s="9">
        <v>2026</v>
      </c>
      <c r="B2389" s="9">
        <f t="shared" si="302"/>
        <v>25</v>
      </c>
      <c r="C2389" s="10" t="s">
        <v>29</v>
      </c>
      <c r="D2389" s="11" t="s">
        <v>6</v>
      </c>
      <c r="E2389" s="12" t="s">
        <v>7</v>
      </c>
      <c r="F2389" s="21">
        <f t="shared" ref="F2389:F2394" si="303">F2290</f>
        <v>14</v>
      </c>
      <c r="H2389" s="5" t="str">
        <f ca="1">_xlfn.FORMULATEXT(표1[[#This Row],[Q''ty]])</f>
        <v>=F2290</v>
      </c>
    </row>
    <row r="2390" spans="1:10" s="2" customFormat="1" ht="15" hidden="1" customHeight="1" x14ac:dyDescent="0.4">
      <c r="A2390" s="6">
        <v>2026</v>
      </c>
      <c r="B2390" s="6">
        <f t="shared" si="302"/>
        <v>25</v>
      </c>
      <c r="C2390" s="13" t="s">
        <v>24</v>
      </c>
      <c r="D2390" s="2" t="s">
        <v>6</v>
      </c>
      <c r="E2390" s="14" t="s">
        <v>8</v>
      </c>
      <c r="F2390" s="22">
        <f t="shared" si="303"/>
        <v>8</v>
      </c>
      <c r="H2390" s="5" t="str">
        <f ca="1">_xlfn.FORMULATEXT(표1[[#This Row],[Q''ty]])</f>
        <v>=F2291</v>
      </c>
      <c r="I2390" s="26"/>
      <c r="J2390" s="26"/>
    </row>
    <row r="2391" spans="1:10" s="2" customFormat="1" ht="15" hidden="1" customHeight="1" x14ac:dyDescent="0.4">
      <c r="A2391" s="6">
        <v>2026</v>
      </c>
      <c r="B2391" s="6">
        <f t="shared" si="302"/>
        <v>25</v>
      </c>
      <c r="C2391" s="13" t="s">
        <v>24</v>
      </c>
      <c r="D2391" s="2" t="s">
        <v>6</v>
      </c>
      <c r="E2391" s="14" t="s">
        <v>9</v>
      </c>
      <c r="F2391" s="22">
        <f t="shared" si="303"/>
        <v>4</v>
      </c>
      <c r="H2391" s="5" t="str">
        <f ca="1">_xlfn.FORMULATEXT(표1[[#This Row],[Q''ty]])</f>
        <v>=F2292</v>
      </c>
      <c r="I2391" s="26"/>
      <c r="J2391" s="26"/>
    </row>
    <row r="2392" spans="1:10" ht="15" hidden="1" customHeight="1" x14ac:dyDescent="0.4">
      <c r="A2392" s="6">
        <v>2026</v>
      </c>
      <c r="B2392" s="6">
        <f t="shared" si="302"/>
        <v>25</v>
      </c>
      <c r="C2392" s="13" t="s">
        <v>24</v>
      </c>
      <c r="D2392" s="2" t="s">
        <v>6</v>
      </c>
      <c r="E2392" s="14" t="s">
        <v>27</v>
      </c>
      <c r="F2392" s="22">
        <f t="shared" si="303"/>
        <v>3</v>
      </c>
      <c r="H2392" s="5" t="str">
        <f ca="1">_xlfn.FORMULATEXT(표1[[#This Row],[Q''ty]])</f>
        <v>=F2293</v>
      </c>
    </row>
    <row r="2393" spans="1:10" ht="15" hidden="1" customHeight="1" x14ac:dyDescent="0.4">
      <c r="A2393" s="6">
        <v>2026</v>
      </c>
      <c r="B2393" s="6">
        <f t="shared" si="302"/>
        <v>25</v>
      </c>
      <c r="C2393" s="13" t="s">
        <v>24</v>
      </c>
      <c r="D2393" s="2" t="s">
        <v>6</v>
      </c>
      <c r="E2393" s="14" t="s">
        <v>10</v>
      </c>
      <c r="F2393" s="22">
        <f t="shared" si="303"/>
        <v>6</v>
      </c>
      <c r="H2393" s="5" t="str">
        <f ca="1">_xlfn.FORMULATEXT(표1[[#This Row],[Q''ty]])</f>
        <v>=F2294</v>
      </c>
    </row>
    <row r="2394" spans="1:10" ht="15" hidden="1" customHeight="1" x14ac:dyDescent="0.4">
      <c r="A2394" s="6">
        <v>2026</v>
      </c>
      <c r="B2394" s="6">
        <f t="shared" si="302"/>
        <v>25</v>
      </c>
      <c r="C2394" s="13" t="s">
        <v>24</v>
      </c>
      <c r="D2394" s="2" t="s">
        <v>6</v>
      </c>
      <c r="E2394" s="14" t="s">
        <v>11</v>
      </c>
      <c r="F2394" s="22">
        <f t="shared" si="303"/>
        <v>8.8000000000000007</v>
      </c>
      <c r="H2394" s="5" t="str">
        <f ca="1">_xlfn.FORMULATEXT(표1[[#This Row],[Q''ty]])</f>
        <v>=F2295</v>
      </c>
    </row>
    <row r="2395" spans="1:10" ht="15" hidden="1" customHeight="1" x14ac:dyDescent="0.4">
      <c r="A2395" s="6">
        <v>2026</v>
      </c>
      <c r="B2395" s="6">
        <f t="shared" si="302"/>
        <v>25</v>
      </c>
      <c r="C2395" s="13" t="s">
        <v>24</v>
      </c>
      <c r="D2395" s="2" t="s">
        <v>12</v>
      </c>
      <c r="E2395" s="14" t="s">
        <v>13</v>
      </c>
      <c r="F2395" s="22"/>
      <c r="H2395" s="5" t="e">
        <f ca="1">_xlfn.FORMULATEXT(표1[[#This Row],[Q''ty]])</f>
        <v>#N/A</v>
      </c>
    </row>
    <row r="2396" spans="1:10" s="2" customFormat="1" ht="15" hidden="1" customHeight="1" x14ac:dyDescent="0.4">
      <c r="A2396" s="6">
        <v>2026</v>
      </c>
      <c r="B2396" s="6">
        <f t="shared" si="302"/>
        <v>25</v>
      </c>
      <c r="C2396" s="13" t="s">
        <v>24</v>
      </c>
      <c r="D2396" s="2" t="s">
        <v>12</v>
      </c>
      <c r="E2396" s="14" t="s">
        <v>14</v>
      </c>
      <c r="F2396" s="22"/>
      <c r="H2396" s="5" t="e">
        <f ca="1">_xlfn.FORMULATEXT(표1[[#This Row],[Q''ty]])</f>
        <v>#N/A</v>
      </c>
      <c r="I2396" s="26"/>
      <c r="J2396" s="26"/>
    </row>
    <row r="2397" spans="1:10" ht="15" hidden="1" customHeight="1" x14ac:dyDescent="0.4">
      <c r="A2397" s="6">
        <v>2026</v>
      </c>
      <c r="B2397" s="6">
        <f t="shared" si="302"/>
        <v>25</v>
      </c>
      <c r="C2397" s="13" t="s">
        <v>24</v>
      </c>
      <c r="D2397" s="2" t="s">
        <v>12</v>
      </c>
      <c r="E2397" s="14" t="s">
        <v>15</v>
      </c>
      <c r="F2397" s="22"/>
      <c r="H2397" s="5" t="e">
        <f ca="1">_xlfn.FORMULATEXT(표1[[#This Row],[Q''ty]])</f>
        <v>#N/A</v>
      </c>
    </row>
    <row r="2398" spans="1:10" ht="15" hidden="1" customHeight="1" x14ac:dyDescent="0.4">
      <c r="A2398" s="6">
        <v>2026</v>
      </c>
      <c r="B2398" s="6">
        <f t="shared" si="302"/>
        <v>25</v>
      </c>
      <c r="C2398" s="13" t="s">
        <v>24</v>
      </c>
      <c r="D2398" s="2" t="s">
        <v>12</v>
      </c>
      <c r="E2398" s="14" t="s">
        <v>16</v>
      </c>
      <c r="F2398" s="22"/>
      <c r="H2398" s="5" t="e">
        <f ca="1">_xlfn.FORMULATEXT(표1[[#This Row],[Q''ty]])</f>
        <v>#N/A</v>
      </c>
    </row>
    <row r="2399" spans="1:10" ht="15" hidden="1" customHeight="1" thickBot="1" x14ac:dyDescent="0.45">
      <c r="A2399" s="15">
        <v>2026</v>
      </c>
      <c r="B2399" s="15">
        <f t="shared" si="302"/>
        <v>25</v>
      </c>
      <c r="C2399" s="16" t="s">
        <v>24</v>
      </c>
      <c r="D2399" s="17" t="s">
        <v>12</v>
      </c>
      <c r="E2399" s="18" t="s">
        <v>17</v>
      </c>
      <c r="F2399" s="23"/>
      <c r="H2399" s="5" t="e">
        <f ca="1">_xlfn.FORMULATEXT(표1[[#This Row],[Q''ty]])</f>
        <v>#N/A</v>
      </c>
    </row>
    <row r="2400" spans="1:10" ht="15" hidden="1" customHeight="1" thickTop="1" x14ac:dyDescent="0.4">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hidden="1" customHeight="1" x14ac:dyDescent="0.4">
      <c r="A2401" s="6">
        <v>2026</v>
      </c>
      <c r="B2401" s="6">
        <f t="shared" si="302"/>
        <v>25</v>
      </c>
      <c r="C2401" s="13" t="s">
        <v>18</v>
      </c>
      <c r="D2401" s="2" t="s">
        <v>6</v>
      </c>
      <c r="E2401" s="14" t="str">
        <f t="shared" si="304"/>
        <v>Paint Booth</v>
      </c>
      <c r="F2401" s="22">
        <f t="shared" si="304"/>
        <v>3</v>
      </c>
      <c r="H2401" s="5" t="str">
        <f ca="1">_xlfn.FORMULATEXT(표1[[#This Row],[Q''ty]])</f>
        <v>=F2302</v>
      </c>
    </row>
    <row r="2402" spans="1:8" ht="15" hidden="1" customHeight="1" x14ac:dyDescent="0.4">
      <c r="A2402" s="6">
        <v>2026</v>
      </c>
      <c r="B2402" s="6">
        <f t="shared" si="302"/>
        <v>25</v>
      </c>
      <c r="C2402" s="13" t="s">
        <v>18</v>
      </c>
      <c r="D2402" s="2" t="s">
        <v>6</v>
      </c>
      <c r="E2402" s="14" t="str">
        <f t="shared" si="304"/>
        <v>Paint Line</v>
      </c>
      <c r="F2402" s="22">
        <f t="shared" si="304"/>
        <v>2</v>
      </c>
      <c r="H2402" s="5" t="str">
        <f ca="1">_xlfn.FORMULATEXT(표1[[#This Row],[Q''ty]])</f>
        <v>=F2303</v>
      </c>
    </row>
    <row r="2403" spans="1:8" ht="15" hidden="1" customHeight="1" x14ac:dyDescent="0.4">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hidden="1" customHeight="1" x14ac:dyDescent="0.4">
      <c r="A2404" s="6">
        <v>2026</v>
      </c>
      <c r="B2404" s="6">
        <f t="shared" si="302"/>
        <v>25</v>
      </c>
      <c r="C2404" s="13" t="s">
        <v>18</v>
      </c>
      <c r="D2404" s="2" t="s">
        <v>6</v>
      </c>
      <c r="E2404" s="14" t="str">
        <f t="shared" si="304"/>
        <v>L/W Machine</v>
      </c>
      <c r="F2404" s="22">
        <f t="shared" si="304"/>
        <v>2</v>
      </c>
      <c r="H2404" s="5" t="str">
        <f ca="1">_xlfn.FORMULATEXT(표1[[#This Row],[Q''ty]])</f>
        <v>=F2305</v>
      </c>
    </row>
    <row r="2405" spans="1:8" ht="15" hidden="1" customHeight="1" x14ac:dyDescent="0.4">
      <c r="A2405" s="6">
        <v>2026</v>
      </c>
      <c r="B2405" s="6">
        <f t="shared" si="302"/>
        <v>25</v>
      </c>
      <c r="C2405" s="13" t="s">
        <v>18</v>
      </c>
      <c r="D2405" s="2" t="s">
        <v>6</v>
      </c>
      <c r="E2405" s="14" t="str">
        <f t="shared" si="304"/>
        <v>C/W Machine</v>
      </c>
      <c r="F2405" s="22">
        <f t="shared" si="304"/>
        <v>3</v>
      </c>
      <c r="H2405" s="5" t="str">
        <f ca="1">_xlfn.FORMULATEXT(표1[[#This Row],[Q''ty]])</f>
        <v>=F2306</v>
      </c>
    </row>
    <row r="2406" spans="1:8" ht="15" hidden="1" customHeight="1" x14ac:dyDescent="0.4">
      <c r="A2406" s="6">
        <v>2026</v>
      </c>
      <c r="B2406" s="6">
        <f t="shared" si="302"/>
        <v>25</v>
      </c>
      <c r="C2406" s="13" t="s">
        <v>18</v>
      </c>
      <c r="D2406" s="2" t="s">
        <v>12</v>
      </c>
      <c r="E2406" s="14" t="str">
        <f t="shared" ref="E2406:E2421" si="305">E2307</f>
        <v>BT GT</v>
      </c>
      <c r="F2406" s="22"/>
      <c r="H2406" s="5" t="e">
        <f ca="1">_xlfn.FORMULATEXT(표1[[#This Row],[Q''ty]])</f>
        <v>#N/A</v>
      </c>
    </row>
    <row r="2407" spans="1:8" ht="15" hidden="1" customHeight="1" x14ac:dyDescent="0.4">
      <c r="A2407" s="6">
        <v>2026</v>
      </c>
      <c r="B2407" s="6">
        <f t="shared" si="302"/>
        <v>25</v>
      </c>
      <c r="C2407" s="13" t="s">
        <v>18</v>
      </c>
      <c r="D2407" s="2" t="s">
        <v>12</v>
      </c>
      <c r="E2407" s="14" t="str">
        <f t="shared" si="305"/>
        <v>WT GT</v>
      </c>
      <c r="F2407" s="22"/>
      <c r="H2407" s="5" t="e">
        <f ca="1">_xlfn.FORMULATEXT(표1[[#This Row],[Q''ty]])</f>
        <v>#N/A</v>
      </c>
    </row>
    <row r="2408" spans="1:8" ht="15" hidden="1" customHeight="1" x14ac:dyDescent="0.4">
      <c r="A2408" s="6">
        <v>2026</v>
      </c>
      <c r="B2408" s="6">
        <f t="shared" si="302"/>
        <v>25</v>
      </c>
      <c r="C2408" s="13" t="s">
        <v>18</v>
      </c>
      <c r="D2408" s="2" t="s">
        <v>12</v>
      </c>
      <c r="E2408" s="14" t="str">
        <f t="shared" si="305"/>
        <v>Bending</v>
      </c>
      <c r="F2408" s="22"/>
      <c r="H2408" s="5" t="e">
        <f ca="1">_xlfn.FORMULATEXT(표1[[#This Row],[Q''ty]])</f>
        <v>#N/A</v>
      </c>
    </row>
    <row r="2409" spans="1:8" ht="15" hidden="1" customHeight="1" x14ac:dyDescent="0.4">
      <c r="A2409" s="6">
        <v>2026</v>
      </c>
      <c r="B2409" s="6">
        <f t="shared" si="302"/>
        <v>25</v>
      </c>
      <c r="C2409" s="13" t="s">
        <v>18</v>
      </c>
      <c r="D2409" s="2" t="s">
        <v>12</v>
      </c>
      <c r="E2409" s="14" t="str">
        <f t="shared" si="305"/>
        <v>L/W</v>
      </c>
      <c r="F2409" s="22"/>
      <c r="H2409" s="5" t="e">
        <f ca="1">_xlfn.FORMULATEXT(표1[[#This Row],[Q''ty]])</f>
        <v>#N/A</v>
      </c>
    </row>
    <row r="2410" spans="1:8" ht="15" hidden="1" customHeight="1" thickBot="1" x14ac:dyDescent="0.45">
      <c r="A2410" s="15">
        <v>2026</v>
      </c>
      <c r="B2410" s="15">
        <f t="shared" si="302"/>
        <v>25</v>
      </c>
      <c r="C2410" s="16" t="s">
        <v>18</v>
      </c>
      <c r="D2410" s="17" t="s">
        <v>12</v>
      </c>
      <c r="E2410" s="18" t="str">
        <f t="shared" si="305"/>
        <v>C/W</v>
      </c>
      <c r="F2410" s="23"/>
      <c r="H2410" s="5" t="e">
        <f ca="1">_xlfn.FORMULATEXT(표1[[#This Row],[Q''ty]])</f>
        <v>#N/A</v>
      </c>
    </row>
    <row r="2411" spans="1:8" ht="15" hidden="1" customHeight="1" thickTop="1" x14ac:dyDescent="0.4">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hidden="1" customHeight="1" x14ac:dyDescent="0.4">
      <c r="A2412" s="6">
        <v>2026</v>
      </c>
      <c r="B2412" s="6">
        <f t="shared" si="302"/>
        <v>25</v>
      </c>
      <c r="C2412" s="13" t="s">
        <v>19</v>
      </c>
      <c r="D2412" s="2" t="s">
        <v>6</v>
      </c>
      <c r="E2412" s="14" t="str">
        <f t="shared" si="305"/>
        <v>Paint Booth</v>
      </c>
      <c r="F2412" s="22">
        <f t="shared" si="306"/>
        <v>22</v>
      </c>
      <c r="H2412" s="5" t="str">
        <f ca="1">_xlfn.FORMULATEXT(표1[[#This Row],[Q''ty]])</f>
        <v>=F2313</v>
      </c>
    </row>
    <row r="2413" spans="1:8" ht="15" hidden="1" customHeight="1" x14ac:dyDescent="0.4">
      <c r="A2413" s="6">
        <v>2026</v>
      </c>
      <c r="B2413" s="6">
        <f t="shared" si="302"/>
        <v>25</v>
      </c>
      <c r="C2413" s="13" t="s">
        <v>19</v>
      </c>
      <c r="D2413" s="2" t="s">
        <v>6</v>
      </c>
      <c r="E2413" s="14" t="str">
        <f t="shared" si="305"/>
        <v>Paint Line</v>
      </c>
      <c r="F2413" s="22">
        <f t="shared" si="306"/>
        <v>6</v>
      </c>
      <c r="H2413" s="5" t="str">
        <f ca="1">_xlfn.FORMULATEXT(표1[[#This Row],[Q''ty]])</f>
        <v>=F2314</v>
      </c>
    </row>
    <row r="2414" spans="1:8" ht="15" hidden="1" customHeight="1" x14ac:dyDescent="0.4">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hidden="1" customHeight="1" x14ac:dyDescent="0.4">
      <c r="A2415" s="6">
        <v>2026</v>
      </c>
      <c r="B2415" s="6">
        <f t="shared" si="302"/>
        <v>25</v>
      </c>
      <c r="C2415" s="13" t="s">
        <v>19</v>
      </c>
      <c r="D2415" s="2" t="s">
        <v>6</v>
      </c>
      <c r="E2415" s="14" t="str">
        <f t="shared" si="305"/>
        <v>L/W Machine</v>
      </c>
      <c r="F2415" s="22">
        <f t="shared" si="306"/>
        <v>10</v>
      </c>
      <c r="H2415" s="5" t="str">
        <f ca="1">_xlfn.FORMULATEXT(표1[[#This Row],[Q''ty]])</f>
        <v>=F2316</v>
      </c>
    </row>
    <row r="2416" spans="1:8" ht="15" hidden="1" customHeight="1" x14ac:dyDescent="0.4">
      <c r="A2416" s="6">
        <v>2026</v>
      </c>
      <c r="B2416" s="6">
        <f t="shared" si="302"/>
        <v>25</v>
      </c>
      <c r="C2416" s="13" t="s">
        <v>19</v>
      </c>
      <c r="D2416" s="2" t="s">
        <v>6</v>
      </c>
      <c r="E2416" s="14" t="str">
        <f t="shared" si="305"/>
        <v>C/W Machine</v>
      </c>
      <c r="F2416" s="22">
        <f t="shared" si="306"/>
        <v>12</v>
      </c>
      <c r="H2416" s="5" t="str">
        <f ca="1">_xlfn.FORMULATEXT(표1[[#This Row],[Q''ty]])</f>
        <v>=F2317</v>
      </c>
    </row>
    <row r="2417" spans="1:8" ht="15" hidden="1" customHeight="1" x14ac:dyDescent="0.4">
      <c r="A2417" s="6">
        <v>2026</v>
      </c>
      <c r="B2417" s="6">
        <f t="shared" si="302"/>
        <v>25</v>
      </c>
      <c r="C2417" s="13" t="s">
        <v>19</v>
      </c>
      <c r="D2417" s="2" t="s">
        <v>12</v>
      </c>
      <c r="E2417" s="14" t="str">
        <f t="shared" si="305"/>
        <v>BT GT</v>
      </c>
      <c r="F2417" s="22"/>
      <c r="H2417" s="5" t="e">
        <f ca="1">_xlfn.FORMULATEXT(표1[[#This Row],[Q''ty]])</f>
        <v>#N/A</v>
      </c>
    </row>
    <row r="2418" spans="1:8" ht="15" hidden="1" customHeight="1" x14ac:dyDescent="0.4">
      <c r="A2418" s="6">
        <v>2026</v>
      </c>
      <c r="B2418" s="6">
        <f t="shared" si="302"/>
        <v>25</v>
      </c>
      <c r="C2418" s="13" t="s">
        <v>19</v>
      </c>
      <c r="D2418" s="2" t="s">
        <v>12</v>
      </c>
      <c r="E2418" s="14" t="str">
        <f t="shared" si="305"/>
        <v>WT GT</v>
      </c>
      <c r="F2418" s="22"/>
      <c r="H2418" s="5" t="e">
        <f ca="1">_xlfn.FORMULATEXT(표1[[#This Row],[Q''ty]])</f>
        <v>#N/A</v>
      </c>
    </row>
    <row r="2419" spans="1:8" ht="15" hidden="1" customHeight="1" x14ac:dyDescent="0.4">
      <c r="A2419" s="6">
        <v>2026</v>
      </c>
      <c r="B2419" s="6">
        <f t="shared" si="302"/>
        <v>25</v>
      </c>
      <c r="C2419" s="13" t="s">
        <v>19</v>
      </c>
      <c r="D2419" s="2" t="s">
        <v>12</v>
      </c>
      <c r="E2419" s="14" t="str">
        <f t="shared" si="305"/>
        <v>Bending</v>
      </c>
      <c r="F2419" s="22"/>
      <c r="H2419" s="5" t="e">
        <f ca="1">_xlfn.FORMULATEXT(표1[[#This Row],[Q''ty]])</f>
        <v>#N/A</v>
      </c>
    </row>
    <row r="2420" spans="1:8" ht="15" hidden="1" customHeight="1" x14ac:dyDescent="0.4">
      <c r="A2420" s="6">
        <v>2026</v>
      </c>
      <c r="B2420" s="6">
        <f t="shared" si="302"/>
        <v>25</v>
      </c>
      <c r="C2420" s="13" t="s">
        <v>19</v>
      </c>
      <c r="D2420" s="2" t="s">
        <v>12</v>
      </c>
      <c r="E2420" s="14" t="str">
        <f t="shared" si="305"/>
        <v>L/W</v>
      </c>
      <c r="F2420" s="22"/>
      <c r="H2420" s="5" t="e">
        <f ca="1">_xlfn.FORMULATEXT(표1[[#This Row],[Q''ty]])</f>
        <v>#N/A</v>
      </c>
    </row>
    <row r="2421" spans="1:8" ht="15" hidden="1" customHeight="1" thickBot="1" x14ac:dyDescent="0.45">
      <c r="A2421" s="15">
        <v>2026</v>
      </c>
      <c r="B2421" s="15">
        <f t="shared" si="302"/>
        <v>25</v>
      </c>
      <c r="C2421" s="16" t="s">
        <v>19</v>
      </c>
      <c r="D2421" s="17" t="s">
        <v>12</v>
      </c>
      <c r="E2421" s="18" t="str">
        <f t="shared" si="305"/>
        <v>C/W</v>
      </c>
      <c r="F2421" s="23"/>
      <c r="H2421" s="5" t="e">
        <f ca="1">_xlfn.FORMULATEXT(표1[[#This Row],[Q''ty]])</f>
        <v>#N/A</v>
      </c>
    </row>
    <row r="2422" spans="1:8" ht="15" hidden="1" customHeight="1" thickTop="1" x14ac:dyDescent="0.4">
      <c r="A2422" s="6">
        <v>2026</v>
      </c>
      <c r="B2422" s="6">
        <f t="shared" si="302"/>
        <v>25</v>
      </c>
      <c r="C2422" s="13" t="s">
        <v>25</v>
      </c>
      <c r="D2422" s="2" t="s">
        <v>6</v>
      </c>
      <c r="E2422" s="14" t="s">
        <v>7</v>
      </c>
      <c r="F2422" s="22">
        <f t="shared" ref="F2422:F2427" si="307">F2323</f>
        <v>3</v>
      </c>
      <c r="H2422" s="5" t="str">
        <f ca="1">_xlfn.FORMULATEXT(표1[[#This Row],[Q''ty]])</f>
        <v>=F2323</v>
      </c>
    </row>
    <row r="2423" spans="1:8" ht="15" hidden="1" customHeight="1" x14ac:dyDescent="0.4">
      <c r="A2423" s="6">
        <v>2026</v>
      </c>
      <c r="B2423" s="6">
        <f t="shared" si="302"/>
        <v>25</v>
      </c>
      <c r="C2423" s="13" t="s">
        <v>25</v>
      </c>
      <c r="D2423" s="2" t="s">
        <v>6</v>
      </c>
      <c r="E2423" s="14" t="s">
        <v>8</v>
      </c>
      <c r="F2423" s="22">
        <f t="shared" si="307"/>
        <v>3</v>
      </c>
      <c r="H2423" s="5" t="str">
        <f ca="1">_xlfn.FORMULATEXT(표1[[#This Row],[Q''ty]])</f>
        <v>=F2324</v>
      </c>
    </row>
    <row r="2424" spans="1:8" ht="15" hidden="1" customHeight="1" x14ac:dyDescent="0.4">
      <c r="A2424" s="6">
        <v>2026</v>
      </c>
      <c r="B2424" s="6">
        <f t="shared" si="302"/>
        <v>25</v>
      </c>
      <c r="C2424" s="13" t="s">
        <v>25</v>
      </c>
      <c r="D2424" s="2" t="s">
        <v>6</v>
      </c>
      <c r="E2424" s="14" t="s">
        <v>9</v>
      </c>
      <c r="F2424" s="22">
        <f t="shared" si="307"/>
        <v>2</v>
      </c>
      <c r="H2424" s="5" t="str">
        <f ca="1">_xlfn.FORMULATEXT(표1[[#This Row],[Q''ty]])</f>
        <v>=F2325</v>
      </c>
    </row>
    <row r="2425" spans="1:8" ht="15" hidden="1" customHeight="1" x14ac:dyDescent="0.4">
      <c r="A2425" s="6">
        <v>2026</v>
      </c>
      <c r="B2425" s="6">
        <f t="shared" si="302"/>
        <v>25</v>
      </c>
      <c r="C2425" s="13" t="s">
        <v>25</v>
      </c>
      <c r="D2425" s="2" t="s">
        <v>6</v>
      </c>
      <c r="E2425" s="14" t="s">
        <v>27</v>
      </c>
      <c r="F2425" s="22">
        <f t="shared" si="307"/>
        <v>2</v>
      </c>
      <c r="H2425" s="5" t="str">
        <f ca="1">_xlfn.FORMULATEXT(표1[[#This Row],[Q''ty]])</f>
        <v>=F2326</v>
      </c>
    </row>
    <row r="2426" spans="1:8" ht="15" hidden="1" customHeight="1" x14ac:dyDescent="0.4">
      <c r="A2426" s="6">
        <v>2026</v>
      </c>
      <c r="B2426" s="6">
        <f t="shared" si="302"/>
        <v>25</v>
      </c>
      <c r="C2426" s="13" t="s">
        <v>25</v>
      </c>
      <c r="D2426" s="2" t="s">
        <v>6</v>
      </c>
      <c r="E2426" s="14" t="s">
        <v>10</v>
      </c>
      <c r="F2426" s="22">
        <f t="shared" si="307"/>
        <v>3</v>
      </c>
      <c r="H2426" s="5" t="str">
        <f ca="1">_xlfn.FORMULATEXT(표1[[#This Row],[Q''ty]])</f>
        <v>=F2327</v>
      </c>
    </row>
    <row r="2427" spans="1:8" ht="15" hidden="1" customHeight="1" x14ac:dyDescent="0.4">
      <c r="A2427" s="6">
        <v>2026</v>
      </c>
      <c r="B2427" s="6">
        <f t="shared" si="302"/>
        <v>25</v>
      </c>
      <c r="C2427" s="13" t="s">
        <v>25</v>
      </c>
      <c r="D2427" s="2" t="s">
        <v>6</v>
      </c>
      <c r="E2427" s="14" t="s">
        <v>11</v>
      </c>
      <c r="F2427" s="22">
        <f t="shared" si="307"/>
        <v>4</v>
      </c>
      <c r="H2427" s="5" t="str">
        <f ca="1">_xlfn.FORMULATEXT(표1[[#This Row],[Q''ty]])</f>
        <v>=F2328</v>
      </c>
    </row>
    <row r="2428" spans="1:8" ht="15" hidden="1" customHeight="1" x14ac:dyDescent="0.4">
      <c r="A2428" s="6">
        <v>2026</v>
      </c>
      <c r="B2428" s="6">
        <f t="shared" si="302"/>
        <v>25</v>
      </c>
      <c r="C2428" s="13" t="s">
        <v>25</v>
      </c>
      <c r="D2428" s="2" t="s">
        <v>12</v>
      </c>
      <c r="E2428" s="14" t="s">
        <v>13</v>
      </c>
      <c r="F2428" s="22"/>
      <c r="H2428" s="5" t="e">
        <f ca="1">_xlfn.FORMULATEXT(표1[[#This Row],[Q''ty]])</f>
        <v>#N/A</v>
      </c>
    </row>
    <row r="2429" spans="1:8" ht="15" hidden="1" customHeight="1" x14ac:dyDescent="0.4">
      <c r="A2429" s="6">
        <v>2026</v>
      </c>
      <c r="B2429" s="6">
        <f t="shared" si="302"/>
        <v>25</v>
      </c>
      <c r="C2429" s="13" t="s">
        <v>25</v>
      </c>
      <c r="D2429" s="2" t="s">
        <v>12</v>
      </c>
      <c r="E2429" s="14" t="s">
        <v>14</v>
      </c>
      <c r="F2429" s="22"/>
      <c r="H2429" s="5" t="e">
        <f ca="1">_xlfn.FORMULATEXT(표1[[#This Row],[Q''ty]])</f>
        <v>#N/A</v>
      </c>
    </row>
    <row r="2430" spans="1:8" ht="15" hidden="1" customHeight="1" x14ac:dyDescent="0.4">
      <c r="A2430" s="6">
        <v>2026</v>
      </c>
      <c r="B2430" s="6">
        <f t="shared" si="302"/>
        <v>25</v>
      </c>
      <c r="C2430" s="13" t="s">
        <v>25</v>
      </c>
      <c r="D2430" s="2" t="s">
        <v>12</v>
      </c>
      <c r="E2430" s="14" t="s">
        <v>15</v>
      </c>
      <c r="F2430" s="22"/>
      <c r="H2430" s="5" t="e">
        <f ca="1">_xlfn.FORMULATEXT(표1[[#This Row],[Q''ty]])</f>
        <v>#N/A</v>
      </c>
    </row>
    <row r="2431" spans="1:8" ht="15" hidden="1" customHeight="1" x14ac:dyDescent="0.4">
      <c r="A2431" s="6">
        <v>2026</v>
      </c>
      <c r="B2431" s="6">
        <f t="shared" si="302"/>
        <v>25</v>
      </c>
      <c r="C2431" s="13" t="s">
        <v>25</v>
      </c>
      <c r="D2431" s="2" t="s">
        <v>12</v>
      </c>
      <c r="E2431" s="14" t="s">
        <v>16</v>
      </c>
      <c r="F2431" s="22"/>
      <c r="H2431" s="5" t="e">
        <f ca="1">_xlfn.FORMULATEXT(표1[[#This Row],[Q''ty]])</f>
        <v>#N/A</v>
      </c>
    </row>
    <row r="2432" spans="1:8" ht="15" hidden="1" customHeight="1" thickBot="1" x14ac:dyDescent="0.45">
      <c r="A2432" s="15">
        <v>2026</v>
      </c>
      <c r="B2432" s="15">
        <f t="shared" si="302"/>
        <v>25</v>
      </c>
      <c r="C2432" s="16" t="s">
        <v>25</v>
      </c>
      <c r="D2432" s="17" t="s">
        <v>12</v>
      </c>
      <c r="E2432" s="18" t="s">
        <v>17</v>
      </c>
      <c r="F2432" s="23"/>
      <c r="H2432" s="5" t="e">
        <f ca="1">_xlfn.FORMULATEXT(표1[[#This Row],[Q''ty]])</f>
        <v>#N/A</v>
      </c>
    </row>
    <row r="2433" spans="1:8" ht="15" hidden="1" customHeight="1" thickTop="1" x14ac:dyDescent="0.4">
      <c r="A2433" s="6">
        <v>2026</v>
      </c>
      <c r="B2433" s="6">
        <f t="shared" si="302"/>
        <v>25</v>
      </c>
      <c r="C2433" s="13" t="s">
        <v>26</v>
      </c>
      <c r="D2433" s="2" t="s">
        <v>6</v>
      </c>
      <c r="E2433" s="14" t="s">
        <v>7</v>
      </c>
      <c r="F2433" s="22">
        <f t="shared" ref="F2433:F2438" si="308">F2334</f>
        <v>6</v>
      </c>
      <c r="H2433" s="5" t="str">
        <f ca="1">_xlfn.FORMULATEXT(표1[[#This Row],[Q''ty]])</f>
        <v>=F2334</v>
      </c>
    </row>
    <row r="2434" spans="1:8" ht="15" hidden="1" customHeight="1" x14ac:dyDescent="0.4">
      <c r="A2434" s="6">
        <v>2026</v>
      </c>
      <c r="B2434" s="6">
        <f t="shared" si="302"/>
        <v>25</v>
      </c>
      <c r="C2434" s="13" t="s">
        <v>26</v>
      </c>
      <c r="D2434" s="2" t="s">
        <v>6</v>
      </c>
      <c r="E2434" s="14" t="s">
        <v>8</v>
      </c>
      <c r="F2434" s="22">
        <f t="shared" si="308"/>
        <v>4</v>
      </c>
      <c r="H2434" s="5" t="str">
        <f ca="1">_xlfn.FORMULATEXT(표1[[#This Row],[Q''ty]])</f>
        <v>=F2335</v>
      </c>
    </row>
    <row r="2435" spans="1:8" ht="15" hidden="1" customHeight="1" x14ac:dyDescent="0.4">
      <c r="A2435" s="6">
        <v>2026</v>
      </c>
      <c r="B2435" s="6">
        <f t="shared" si="302"/>
        <v>25</v>
      </c>
      <c r="C2435" s="13" t="s">
        <v>26</v>
      </c>
      <c r="D2435" s="2" t="s">
        <v>6</v>
      </c>
      <c r="E2435" s="14" t="s">
        <v>9</v>
      </c>
      <c r="F2435" s="22">
        <f t="shared" si="308"/>
        <v>2</v>
      </c>
      <c r="H2435" s="5" t="str">
        <f ca="1">_xlfn.FORMULATEXT(표1[[#This Row],[Q''ty]])</f>
        <v>=F2336</v>
      </c>
    </row>
    <row r="2436" spans="1:8" ht="15" hidden="1" customHeight="1" x14ac:dyDescent="0.4">
      <c r="A2436" s="6">
        <v>2026</v>
      </c>
      <c r="B2436" s="6">
        <f t="shared" si="302"/>
        <v>25</v>
      </c>
      <c r="C2436" s="13" t="s">
        <v>26</v>
      </c>
      <c r="D2436" s="2" t="s">
        <v>6</v>
      </c>
      <c r="E2436" s="14" t="s">
        <v>27</v>
      </c>
      <c r="F2436" s="22">
        <f t="shared" si="308"/>
        <v>3</v>
      </c>
      <c r="H2436" s="5" t="str">
        <f ca="1">_xlfn.FORMULATEXT(표1[[#This Row],[Q''ty]])</f>
        <v>=F2337</v>
      </c>
    </row>
    <row r="2437" spans="1:8" ht="15" hidden="1" customHeight="1" x14ac:dyDescent="0.4">
      <c r="A2437" s="6">
        <v>2026</v>
      </c>
      <c r="B2437" s="6">
        <f t="shared" si="302"/>
        <v>25</v>
      </c>
      <c r="C2437" s="13" t="s">
        <v>26</v>
      </c>
      <c r="D2437" s="2" t="s">
        <v>6</v>
      </c>
      <c r="E2437" s="14" t="s">
        <v>10</v>
      </c>
      <c r="F2437" s="22">
        <f t="shared" si="308"/>
        <v>4</v>
      </c>
      <c r="H2437" s="5" t="str">
        <f ca="1">_xlfn.FORMULATEXT(표1[[#This Row],[Q''ty]])</f>
        <v>=F2338</v>
      </c>
    </row>
    <row r="2438" spans="1:8" ht="15" hidden="1" customHeight="1" x14ac:dyDescent="0.4">
      <c r="A2438" s="6">
        <v>2026</v>
      </c>
      <c r="B2438" s="6">
        <f t="shared" si="302"/>
        <v>25</v>
      </c>
      <c r="C2438" s="13" t="s">
        <v>26</v>
      </c>
      <c r="D2438" s="2" t="s">
        <v>6</v>
      </c>
      <c r="E2438" s="14" t="s">
        <v>11</v>
      </c>
      <c r="F2438" s="22">
        <f t="shared" si="308"/>
        <v>6</v>
      </c>
      <c r="H2438" s="5" t="str">
        <f ca="1">_xlfn.FORMULATEXT(표1[[#This Row],[Q''ty]])</f>
        <v>=F2339</v>
      </c>
    </row>
    <row r="2439" spans="1:8" ht="15" hidden="1" customHeight="1" x14ac:dyDescent="0.4">
      <c r="A2439" s="6">
        <v>2026</v>
      </c>
      <c r="B2439" s="6">
        <f t="shared" si="302"/>
        <v>25</v>
      </c>
      <c r="C2439" s="13" t="s">
        <v>26</v>
      </c>
      <c r="D2439" s="2" t="s">
        <v>12</v>
      </c>
      <c r="E2439" s="14" t="str">
        <f t="shared" ref="E2439:E2476" si="309">E2340</f>
        <v>BT GT</v>
      </c>
      <c r="F2439" s="22"/>
      <c r="H2439" s="5" t="e">
        <f ca="1">_xlfn.FORMULATEXT(표1[[#This Row],[Q''ty]])</f>
        <v>#N/A</v>
      </c>
    </row>
    <row r="2440" spans="1:8" ht="15" hidden="1" customHeight="1" x14ac:dyDescent="0.4">
      <c r="A2440" s="6">
        <v>2026</v>
      </c>
      <c r="B2440" s="6">
        <f t="shared" si="302"/>
        <v>25</v>
      </c>
      <c r="C2440" s="13" t="s">
        <v>26</v>
      </c>
      <c r="D2440" s="2" t="s">
        <v>12</v>
      </c>
      <c r="E2440" s="14" t="str">
        <f t="shared" si="309"/>
        <v>WT GT</v>
      </c>
      <c r="F2440" s="22"/>
      <c r="H2440" s="5" t="e">
        <f ca="1">_xlfn.FORMULATEXT(표1[[#This Row],[Q''ty]])</f>
        <v>#N/A</v>
      </c>
    </row>
    <row r="2441" spans="1:8" ht="15" hidden="1" customHeight="1" x14ac:dyDescent="0.4">
      <c r="A2441" s="6">
        <v>2026</v>
      </c>
      <c r="B2441" s="6">
        <f t="shared" si="302"/>
        <v>25</v>
      </c>
      <c r="C2441" s="13" t="s">
        <v>26</v>
      </c>
      <c r="D2441" s="2" t="s">
        <v>12</v>
      </c>
      <c r="E2441" s="14" t="str">
        <f t="shared" si="309"/>
        <v>Bending</v>
      </c>
      <c r="F2441" s="22"/>
      <c r="H2441" s="5" t="e">
        <f ca="1">_xlfn.FORMULATEXT(표1[[#This Row],[Q''ty]])</f>
        <v>#N/A</v>
      </c>
    </row>
    <row r="2442" spans="1:8" ht="15" hidden="1" customHeight="1" x14ac:dyDescent="0.4">
      <c r="A2442" s="6">
        <v>2026</v>
      </c>
      <c r="B2442" s="6">
        <f t="shared" si="302"/>
        <v>25</v>
      </c>
      <c r="C2442" s="13" t="s">
        <v>26</v>
      </c>
      <c r="D2442" s="2" t="s">
        <v>12</v>
      </c>
      <c r="E2442" s="14" t="str">
        <f t="shared" si="309"/>
        <v>L/W</v>
      </c>
      <c r="F2442" s="22"/>
      <c r="H2442" s="5" t="e">
        <f ca="1">_xlfn.FORMULATEXT(표1[[#This Row],[Q''ty]])</f>
        <v>#N/A</v>
      </c>
    </row>
    <row r="2443" spans="1:8" ht="15" hidden="1" customHeight="1" thickBot="1" x14ac:dyDescent="0.45">
      <c r="A2443" s="15">
        <v>2026</v>
      </c>
      <c r="B2443" s="15">
        <f t="shared" ref="B2443:B2476" si="310">B2344+1</f>
        <v>25</v>
      </c>
      <c r="C2443" s="16" t="s">
        <v>26</v>
      </c>
      <c r="D2443" s="17" t="s">
        <v>12</v>
      </c>
      <c r="E2443" s="18" t="str">
        <f t="shared" si="309"/>
        <v>C/W</v>
      </c>
      <c r="F2443" s="23"/>
      <c r="H2443" s="5" t="e">
        <f ca="1">_xlfn.FORMULATEXT(표1[[#This Row],[Q''ty]])</f>
        <v>#N/A</v>
      </c>
    </row>
    <row r="2444" spans="1:8" ht="15" hidden="1" customHeight="1" thickTop="1" x14ac:dyDescent="0.4">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hidden="1" customHeight="1" x14ac:dyDescent="0.4">
      <c r="A2445" s="6">
        <v>2026</v>
      </c>
      <c r="B2445" s="6">
        <f t="shared" si="310"/>
        <v>25</v>
      </c>
      <c r="C2445" s="13" t="s">
        <v>20</v>
      </c>
      <c r="D2445" s="2" t="s">
        <v>6</v>
      </c>
      <c r="E2445" s="14" t="str">
        <f t="shared" si="309"/>
        <v>Paint Booth</v>
      </c>
      <c r="F2445" s="22">
        <f t="shared" si="311"/>
        <v>16</v>
      </c>
      <c r="H2445" s="5" t="str">
        <f ca="1">_xlfn.FORMULATEXT(표1[[#This Row],[Q''ty]])</f>
        <v>=F2346</v>
      </c>
    </row>
    <row r="2446" spans="1:8" ht="15" hidden="1" customHeight="1" x14ac:dyDescent="0.4">
      <c r="A2446" s="6">
        <v>2026</v>
      </c>
      <c r="B2446" s="6">
        <f t="shared" si="310"/>
        <v>25</v>
      </c>
      <c r="C2446" s="13" t="s">
        <v>20</v>
      </c>
      <c r="D2446" s="2" t="s">
        <v>6</v>
      </c>
      <c r="E2446" s="14" t="str">
        <f t="shared" si="309"/>
        <v>Paint Line</v>
      </c>
      <c r="F2446" s="22">
        <f t="shared" si="311"/>
        <v>8</v>
      </c>
      <c r="H2446" s="5" t="str">
        <f ca="1">_xlfn.FORMULATEXT(표1[[#This Row],[Q''ty]])</f>
        <v>=F2347</v>
      </c>
    </row>
    <row r="2447" spans="1:8" ht="15" hidden="1" customHeight="1" x14ac:dyDescent="0.4">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hidden="1" customHeight="1" x14ac:dyDescent="0.4">
      <c r="A2448" s="6">
        <v>2026</v>
      </c>
      <c r="B2448" s="6">
        <f t="shared" si="310"/>
        <v>25</v>
      </c>
      <c r="C2448" s="13" t="s">
        <v>20</v>
      </c>
      <c r="D2448" s="2" t="s">
        <v>6</v>
      </c>
      <c r="E2448" s="14" t="str">
        <f t="shared" si="309"/>
        <v>L/W Machine</v>
      </c>
      <c r="F2448" s="22">
        <f t="shared" si="311"/>
        <v>11</v>
      </c>
      <c r="H2448" s="5" t="str">
        <f ca="1">_xlfn.FORMULATEXT(표1[[#This Row],[Q''ty]])</f>
        <v>=F2349</v>
      </c>
    </row>
    <row r="2449" spans="1:8" ht="15" hidden="1" customHeight="1" x14ac:dyDescent="0.4">
      <c r="A2449" s="6">
        <v>2026</v>
      </c>
      <c r="B2449" s="6">
        <f t="shared" si="310"/>
        <v>25</v>
      </c>
      <c r="C2449" s="13" t="s">
        <v>20</v>
      </c>
      <c r="D2449" s="2" t="s">
        <v>6</v>
      </c>
      <c r="E2449" s="14" t="str">
        <f t="shared" si="309"/>
        <v>C/W Machine</v>
      </c>
      <c r="F2449" s="22">
        <f t="shared" si="311"/>
        <v>15</v>
      </c>
      <c r="H2449" s="5" t="str">
        <f ca="1">_xlfn.FORMULATEXT(표1[[#This Row],[Q''ty]])</f>
        <v>=F2350</v>
      </c>
    </row>
    <row r="2450" spans="1:8" ht="15" hidden="1" customHeight="1" x14ac:dyDescent="0.4">
      <c r="A2450" s="6">
        <v>2026</v>
      </c>
      <c r="B2450" s="6">
        <f t="shared" si="310"/>
        <v>25</v>
      </c>
      <c r="C2450" s="13" t="s">
        <v>20</v>
      </c>
      <c r="D2450" s="2" t="s">
        <v>12</v>
      </c>
      <c r="E2450" s="14" t="str">
        <f t="shared" si="309"/>
        <v>BT GT</v>
      </c>
      <c r="F2450" s="22"/>
      <c r="H2450" s="5" t="e">
        <f ca="1">_xlfn.FORMULATEXT(표1[[#This Row],[Q''ty]])</f>
        <v>#N/A</v>
      </c>
    </row>
    <row r="2451" spans="1:8" ht="15" hidden="1" customHeight="1" x14ac:dyDescent="0.4">
      <c r="A2451" s="6">
        <v>2026</v>
      </c>
      <c r="B2451" s="6">
        <f t="shared" si="310"/>
        <v>25</v>
      </c>
      <c r="C2451" s="13" t="s">
        <v>20</v>
      </c>
      <c r="D2451" s="2" t="s">
        <v>12</v>
      </c>
      <c r="E2451" s="14" t="str">
        <f t="shared" si="309"/>
        <v>WT GT</v>
      </c>
      <c r="F2451" s="22"/>
      <c r="H2451" s="5" t="e">
        <f ca="1">_xlfn.FORMULATEXT(표1[[#This Row],[Q''ty]])</f>
        <v>#N/A</v>
      </c>
    </row>
    <row r="2452" spans="1:8" ht="15" hidden="1" customHeight="1" x14ac:dyDescent="0.4">
      <c r="A2452" s="6">
        <v>2026</v>
      </c>
      <c r="B2452" s="6">
        <f t="shared" si="310"/>
        <v>25</v>
      </c>
      <c r="C2452" s="13" t="s">
        <v>20</v>
      </c>
      <c r="D2452" s="2" t="s">
        <v>12</v>
      </c>
      <c r="E2452" s="14" t="str">
        <f t="shared" si="309"/>
        <v>Bending</v>
      </c>
      <c r="F2452" s="22"/>
      <c r="H2452" s="5" t="e">
        <f ca="1">_xlfn.FORMULATEXT(표1[[#This Row],[Q''ty]])</f>
        <v>#N/A</v>
      </c>
    </row>
    <row r="2453" spans="1:8" ht="15" hidden="1" customHeight="1" x14ac:dyDescent="0.4">
      <c r="A2453" s="6">
        <v>2026</v>
      </c>
      <c r="B2453" s="6">
        <f t="shared" si="310"/>
        <v>25</v>
      </c>
      <c r="C2453" s="13" t="s">
        <v>20</v>
      </c>
      <c r="D2453" s="2" t="s">
        <v>12</v>
      </c>
      <c r="E2453" s="14" t="str">
        <f t="shared" si="309"/>
        <v>L/W</v>
      </c>
      <c r="F2453" s="22"/>
      <c r="H2453" s="5" t="e">
        <f ca="1">_xlfn.FORMULATEXT(표1[[#This Row],[Q''ty]])</f>
        <v>#N/A</v>
      </c>
    </row>
    <row r="2454" spans="1:8" ht="15" hidden="1" customHeight="1" thickBot="1" x14ac:dyDescent="0.45">
      <c r="A2454" s="15">
        <v>2026</v>
      </c>
      <c r="B2454" s="15">
        <f t="shared" si="310"/>
        <v>25</v>
      </c>
      <c r="C2454" s="16" t="s">
        <v>20</v>
      </c>
      <c r="D2454" s="17" t="s">
        <v>12</v>
      </c>
      <c r="E2454" s="18" t="str">
        <f t="shared" si="309"/>
        <v>C/W</v>
      </c>
      <c r="F2454" s="23"/>
      <c r="H2454" s="5" t="e">
        <f ca="1">_xlfn.FORMULATEXT(표1[[#This Row],[Q''ty]])</f>
        <v>#N/A</v>
      </c>
    </row>
    <row r="2455" spans="1:8" ht="15" hidden="1" customHeight="1" thickTop="1" x14ac:dyDescent="0.4">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hidden="1" customHeight="1" x14ac:dyDescent="0.4">
      <c r="A2456" s="6">
        <v>2026</v>
      </c>
      <c r="B2456" s="6">
        <f t="shared" si="310"/>
        <v>25</v>
      </c>
      <c r="C2456" s="13" t="s">
        <v>21</v>
      </c>
      <c r="D2456" s="2" t="s">
        <v>6</v>
      </c>
      <c r="E2456" s="14" t="str">
        <f t="shared" si="309"/>
        <v>Paint Booth</v>
      </c>
      <c r="F2456" s="22">
        <f t="shared" si="312"/>
        <v>4</v>
      </c>
      <c r="H2456" s="5" t="str">
        <f ca="1">_xlfn.FORMULATEXT(표1[[#This Row],[Q''ty]])</f>
        <v>=F2357</v>
      </c>
    </row>
    <row r="2457" spans="1:8" ht="15" hidden="1" customHeight="1" x14ac:dyDescent="0.4">
      <c r="A2457" s="6">
        <v>2026</v>
      </c>
      <c r="B2457" s="6">
        <f t="shared" si="310"/>
        <v>25</v>
      </c>
      <c r="C2457" s="13" t="s">
        <v>21</v>
      </c>
      <c r="D2457" s="2" t="s">
        <v>6</v>
      </c>
      <c r="E2457" s="14" t="str">
        <f t="shared" si="309"/>
        <v>Paint Line</v>
      </c>
      <c r="F2457" s="22">
        <f t="shared" si="312"/>
        <v>4</v>
      </c>
      <c r="H2457" s="5" t="str">
        <f ca="1">_xlfn.FORMULATEXT(표1[[#This Row],[Q''ty]])</f>
        <v>=F2358</v>
      </c>
    </row>
    <row r="2458" spans="1:8" ht="15" hidden="1" customHeight="1" x14ac:dyDescent="0.4">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hidden="1" customHeight="1" x14ac:dyDescent="0.4">
      <c r="A2459" s="6">
        <v>2026</v>
      </c>
      <c r="B2459" s="6">
        <f t="shared" si="310"/>
        <v>25</v>
      </c>
      <c r="C2459" s="13" t="s">
        <v>21</v>
      </c>
      <c r="D2459" s="2" t="s">
        <v>6</v>
      </c>
      <c r="E2459" s="14" t="str">
        <f t="shared" si="309"/>
        <v>L/W Machine</v>
      </c>
      <c r="F2459" s="22">
        <f t="shared" si="312"/>
        <v>4</v>
      </c>
      <c r="H2459" s="5" t="str">
        <f ca="1">_xlfn.FORMULATEXT(표1[[#This Row],[Q''ty]])</f>
        <v>=F2360</v>
      </c>
    </row>
    <row r="2460" spans="1:8" ht="15" hidden="1" customHeight="1" x14ac:dyDescent="0.4">
      <c r="A2460" s="6">
        <v>2026</v>
      </c>
      <c r="B2460" s="6">
        <f t="shared" si="310"/>
        <v>25</v>
      </c>
      <c r="C2460" s="13" t="s">
        <v>21</v>
      </c>
      <c r="D2460" s="2" t="s">
        <v>6</v>
      </c>
      <c r="E2460" s="14" t="str">
        <f t="shared" si="309"/>
        <v>C/W Machine</v>
      </c>
      <c r="F2460" s="22">
        <f t="shared" si="312"/>
        <v>6.5</v>
      </c>
      <c r="H2460" s="5" t="str">
        <f ca="1">_xlfn.FORMULATEXT(표1[[#This Row],[Q''ty]])</f>
        <v>=F2361</v>
      </c>
    </row>
    <row r="2461" spans="1:8" ht="15" hidden="1" customHeight="1" x14ac:dyDescent="0.4">
      <c r="A2461" s="6">
        <v>2026</v>
      </c>
      <c r="B2461" s="6">
        <f t="shared" si="310"/>
        <v>25</v>
      </c>
      <c r="C2461" s="13" t="s">
        <v>21</v>
      </c>
      <c r="D2461" s="2" t="s">
        <v>12</v>
      </c>
      <c r="E2461" s="14" t="str">
        <f t="shared" si="309"/>
        <v>BT GT</v>
      </c>
      <c r="F2461" s="22"/>
      <c r="H2461" s="5" t="e">
        <f ca="1">_xlfn.FORMULATEXT(표1[[#This Row],[Q''ty]])</f>
        <v>#N/A</v>
      </c>
    </row>
    <row r="2462" spans="1:8" ht="15" hidden="1" customHeight="1" x14ac:dyDescent="0.4">
      <c r="A2462" s="6">
        <v>2026</v>
      </c>
      <c r="B2462" s="6">
        <f t="shared" si="310"/>
        <v>25</v>
      </c>
      <c r="C2462" s="13" t="s">
        <v>21</v>
      </c>
      <c r="D2462" s="2" t="s">
        <v>12</v>
      </c>
      <c r="E2462" s="14" t="str">
        <f t="shared" si="309"/>
        <v>WT GT</v>
      </c>
      <c r="F2462" s="22"/>
      <c r="H2462" s="5" t="e">
        <f ca="1">_xlfn.FORMULATEXT(표1[[#This Row],[Q''ty]])</f>
        <v>#N/A</v>
      </c>
    </row>
    <row r="2463" spans="1:8" ht="15" hidden="1" customHeight="1" x14ac:dyDescent="0.4">
      <c r="A2463" s="6">
        <v>2026</v>
      </c>
      <c r="B2463" s="6">
        <f t="shared" si="310"/>
        <v>25</v>
      </c>
      <c r="C2463" s="13" t="s">
        <v>21</v>
      </c>
      <c r="D2463" s="2" t="s">
        <v>12</v>
      </c>
      <c r="E2463" s="14" t="str">
        <f t="shared" si="309"/>
        <v>Bending</v>
      </c>
      <c r="F2463" s="22"/>
      <c r="H2463" s="5" t="e">
        <f ca="1">_xlfn.FORMULATEXT(표1[[#This Row],[Q''ty]])</f>
        <v>#N/A</v>
      </c>
    </row>
    <row r="2464" spans="1:8" ht="15" hidden="1" customHeight="1" x14ac:dyDescent="0.4">
      <c r="A2464" s="6">
        <v>2026</v>
      </c>
      <c r="B2464" s="6">
        <f t="shared" si="310"/>
        <v>25</v>
      </c>
      <c r="C2464" s="13" t="s">
        <v>21</v>
      </c>
      <c r="D2464" s="2" t="s">
        <v>12</v>
      </c>
      <c r="E2464" s="14" t="str">
        <f t="shared" si="309"/>
        <v>L/W</v>
      </c>
      <c r="F2464" s="22"/>
      <c r="H2464" s="5" t="e">
        <f ca="1">_xlfn.FORMULATEXT(표1[[#This Row],[Q''ty]])</f>
        <v>#N/A</v>
      </c>
    </row>
    <row r="2465" spans="1:10" ht="15" hidden="1" customHeight="1" thickBot="1" x14ac:dyDescent="0.45">
      <c r="A2465" s="15">
        <v>2026</v>
      </c>
      <c r="B2465" s="15">
        <f t="shared" si="310"/>
        <v>25</v>
      </c>
      <c r="C2465" s="16" t="s">
        <v>21</v>
      </c>
      <c r="D2465" s="17" t="s">
        <v>12</v>
      </c>
      <c r="E2465" s="18" t="str">
        <f t="shared" si="309"/>
        <v>C/W</v>
      </c>
      <c r="F2465" s="23"/>
      <c r="H2465" s="5" t="e">
        <f ca="1">_xlfn.FORMULATEXT(표1[[#This Row],[Q''ty]])</f>
        <v>#N/A</v>
      </c>
    </row>
    <row r="2466" spans="1:10" ht="15" hidden="1" customHeight="1" thickTop="1" x14ac:dyDescent="0.4">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10" ht="15" hidden="1" customHeight="1" x14ac:dyDescent="0.4">
      <c r="A2467" s="6">
        <v>2026</v>
      </c>
      <c r="B2467" s="6">
        <f t="shared" si="310"/>
        <v>25</v>
      </c>
      <c r="C2467" s="13" t="s">
        <v>22</v>
      </c>
      <c r="D2467" s="2" t="s">
        <v>6</v>
      </c>
      <c r="E2467" s="14" t="str">
        <f t="shared" si="309"/>
        <v>Paint Booth</v>
      </c>
      <c r="F2467" s="22">
        <f t="shared" si="313"/>
        <v>6</v>
      </c>
      <c r="H2467" s="5" t="str">
        <f ca="1">_xlfn.FORMULATEXT(표1[[#This Row],[Q''ty]])</f>
        <v>=F2368</v>
      </c>
    </row>
    <row r="2468" spans="1:10" ht="15" hidden="1" customHeight="1" x14ac:dyDescent="0.4">
      <c r="A2468" s="6">
        <v>2026</v>
      </c>
      <c r="B2468" s="6">
        <f t="shared" si="310"/>
        <v>25</v>
      </c>
      <c r="C2468" s="13" t="s">
        <v>22</v>
      </c>
      <c r="D2468" s="2" t="s">
        <v>6</v>
      </c>
      <c r="E2468" s="14" t="str">
        <f t="shared" si="309"/>
        <v>Paint Line</v>
      </c>
      <c r="F2468" s="22">
        <f t="shared" si="313"/>
        <v>4</v>
      </c>
      <c r="H2468" s="5" t="str">
        <f ca="1">_xlfn.FORMULATEXT(표1[[#This Row],[Q''ty]])</f>
        <v>=F2369</v>
      </c>
    </row>
    <row r="2469" spans="1:10" ht="15" hidden="1" customHeight="1" x14ac:dyDescent="0.4">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10" ht="15" hidden="1" customHeight="1" x14ac:dyDescent="0.4">
      <c r="A2470" s="6">
        <v>2026</v>
      </c>
      <c r="B2470" s="6">
        <f t="shared" si="310"/>
        <v>25</v>
      </c>
      <c r="C2470" s="13" t="s">
        <v>22</v>
      </c>
      <c r="D2470" s="2" t="s">
        <v>6</v>
      </c>
      <c r="E2470" s="14" t="str">
        <f t="shared" si="309"/>
        <v>L/W Machine</v>
      </c>
      <c r="F2470" s="22">
        <f t="shared" si="313"/>
        <v>7</v>
      </c>
      <c r="H2470" s="5" t="str">
        <f ca="1">_xlfn.FORMULATEXT(표1[[#This Row],[Q''ty]])</f>
        <v>=F2371</v>
      </c>
    </row>
    <row r="2471" spans="1:10" ht="15" hidden="1" customHeight="1" x14ac:dyDescent="0.4">
      <c r="A2471" s="6">
        <v>2026</v>
      </c>
      <c r="B2471" s="6">
        <f t="shared" si="310"/>
        <v>25</v>
      </c>
      <c r="C2471" s="13" t="s">
        <v>22</v>
      </c>
      <c r="D2471" s="2" t="s">
        <v>6</v>
      </c>
      <c r="E2471" s="14" t="str">
        <f t="shared" si="309"/>
        <v>C/W Machine</v>
      </c>
      <c r="F2471" s="22">
        <f t="shared" si="313"/>
        <v>12.5</v>
      </c>
      <c r="H2471" s="5" t="str">
        <f ca="1">_xlfn.FORMULATEXT(표1[[#This Row],[Q''ty]])</f>
        <v>=F2372</v>
      </c>
    </row>
    <row r="2472" spans="1:10" ht="15" hidden="1" customHeight="1" x14ac:dyDescent="0.4">
      <c r="A2472" s="6">
        <v>2026</v>
      </c>
      <c r="B2472" s="6">
        <f t="shared" si="310"/>
        <v>25</v>
      </c>
      <c r="C2472" s="13" t="s">
        <v>22</v>
      </c>
      <c r="D2472" s="2" t="s">
        <v>12</v>
      </c>
      <c r="E2472" s="14" t="str">
        <f t="shared" si="309"/>
        <v>BT GT</v>
      </c>
      <c r="F2472" s="22"/>
      <c r="H2472" s="5" t="e">
        <f ca="1">_xlfn.FORMULATEXT(표1[[#This Row],[Q''ty]])</f>
        <v>#N/A</v>
      </c>
    </row>
    <row r="2473" spans="1:10" ht="15" hidden="1" customHeight="1" x14ac:dyDescent="0.4">
      <c r="A2473" s="6">
        <v>2026</v>
      </c>
      <c r="B2473" s="6">
        <f t="shared" si="310"/>
        <v>25</v>
      </c>
      <c r="C2473" s="13" t="s">
        <v>22</v>
      </c>
      <c r="D2473" s="2" t="s">
        <v>12</v>
      </c>
      <c r="E2473" s="14" t="str">
        <f t="shared" si="309"/>
        <v>WT GT</v>
      </c>
      <c r="F2473" s="22"/>
      <c r="H2473" s="5" t="e">
        <f ca="1">_xlfn.FORMULATEXT(표1[[#This Row],[Q''ty]])</f>
        <v>#N/A</v>
      </c>
    </row>
    <row r="2474" spans="1:10" ht="15" hidden="1" customHeight="1" x14ac:dyDescent="0.4">
      <c r="A2474" s="6">
        <v>2026</v>
      </c>
      <c r="B2474" s="6">
        <f t="shared" si="310"/>
        <v>25</v>
      </c>
      <c r="C2474" s="13" t="s">
        <v>22</v>
      </c>
      <c r="D2474" s="2" t="s">
        <v>12</v>
      </c>
      <c r="E2474" s="14" t="str">
        <f t="shared" si="309"/>
        <v>Bending</v>
      </c>
      <c r="F2474" s="22"/>
      <c r="H2474" s="5" t="e">
        <f ca="1">_xlfn.FORMULATEXT(표1[[#This Row],[Q''ty]])</f>
        <v>#N/A</v>
      </c>
    </row>
    <row r="2475" spans="1:10" ht="15" hidden="1" customHeight="1" x14ac:dyDescent="0.4">
      <c r="A2475" s="6">
        <v>2026</v>
      </c>
      <c r="B2475" s="6">
        <f t="shared" si="310"/>
        <v>25</v>
      </c>
      <c r="C2475" s="13" t="s">
        <v>22</v>
      </c>
      <c r="D2475" s="2" t="s">
        <v>12</v>
      </c>
      <c r="E2475" s="14" t="str">
        <f t="shared" si="309"/>
        <v>L/W</v>
      </c>
      <c r="F2475" s="22"/>
      <c r="H2475" s="5" t="e">
        <f ca="1">_xlfn.FORMULATEXT(표1[[#This Row],[Q''ty]])</f>
        <v>#N/A</v>
      </c>
    </row>
    <row r="2476" spans="1:10" ht="15" hidden="1" customHeight="1" thickBot="1" x14ac:dyDescent="0.45">
      <c r="A2476" s="6">
        <v>2026</v>
      </c>
      <c r="B2476" s="6">
        <f t="shared" si="310"/>
        <v>25</v>
      </c>
      <c r="C2476" s="13" t="s">
        <v>22</v>
      </c>
      <c r="D2476" s="2" t="s">
        <v>12</v>
      </c>
      <c r="E2476" s="14" t="str">
        <f t="shared" si="309"/>
        <v>C/W</v>
      </c>
      <c r="F2476" s="22"/>
      <c r="H2476" s="5" t="e">
        <f ca="1">_xlfn.FORMULATEXT(표1[[#This Row],[Q''ty]])</f>
        <v>#N/A</v>
      </c>
    </row>
    <row r="2477" spans="1:10" ht="15" hidden="1" customHeight="1" thickTop="1" x14ac:dyDescent="0.4">
      <c r="A2477" s="9">
        <v>2026</v>
      </c>
      <c r="B2477" s="9">
        <f>B2378+1</f>
        <v>26</v>
      </c>
      <c r="C2477" s="10" t="s">
        <v>28</v>
      </c>
      <c r="D2477" s="11" t="s">
        <v>6</v>
      </c>
      <c r="E2477" s="12" t="s">
        <v>7</v>
      </c>
      <c r="F2477" s="21">
        <f t="shared" ref="F2477:F2482" si="314">F2378</f>
        <v>15</v>
      </c>
      <c r="H2477" s="5" t="str">
        <f ca="1">_xlfn.FORMULATEXT(표1[[#This Row],[Q''ty]])</f>
        <v>=F2378</v>
      </c>
    </row>
    <row r="2478" spans="1:10" s="2" customFormat="1" ht="15" hidden="1" customHeight="1" x14ac:dyDescent="0.4">
      <c r="A2478" s="6">
        <v>2026</v>
      </c>
      <c r="B2478" s="6">
        <f t="shared" ref="B2478:B2541" si="315">B2379+1</f>
        <v>26</v>
      </c>
      <c r="C2478" s="13" t="s">
        <v>23</v>
      </c>
      <c r="D2478" s="2" t="s">
        <v>6</v>
      </c>
      <c r="E2478" s="14" t="s">
        <v>8</v>
      </c>
      <c r="F2478" s="22">
        <f t="shared" si="314"/>
        <v>10</v>
      </c>
      <c r="H2478" s="5" t="str">
        <f ca="1">_xlfn.FORMULATEXT(표1[[#This Row],[Q''ty]])</f>
        <v>=F2379</v>
      </c>
      <c r="I2478" s="26"/>
      <c r="J2478" s="26"/>
    </row>
    <row r="2479" spans="1:10" s="2" customFormat="1" ht="15" hidden="1" customHeight="1" x14ac:dyDescent="0.4">
      <c r="A2479" s="6">
        <v>2026</v>
      </c>
      <c r="B2479" s="6">
        <f t="shared" si="315"/>
        <v>26</v>
      </c>
      <c r="C2479" s="13" t="s">
        <v>23</v>
      </c>
      <c r="D2479" s="2" t="s">
        <v>6</v>
      </c>
      <c r="E2479" s="14" t="s">
        <v>9</v>
      </c>
      <c r="F2479" s="22">
        <f t="shared" si="314"/>
        <v>5</v>
      </c>
      <c r="H2479" s="5" t="str">
        <f ca="1">_xlfn.FORMULATEXT(표1[[#This Row],[Q''ty]])</f>
        <v>=F2380</v>
      </c>
      <c r="I2479" s="26"/>
      <c r="J2479" s="26"/>
    </row>
    <row r="2480" spans="1:10" ht="15" hidden="1" customHeight="1" x14ac:dyDescent="0.4">
      <c r="A2480" s="6">
        <v>2026</v>
      </c>
      <c r="B2480" s="6">
        <f t="shared" si="315"/>
        <v>26</v>
      </c>
      <c r="C2480" s="13" t="s">
        <v>23</v>
      </c>
      <c r="D2480" s="2" t="s">
        <v>6</v>
      </c>
      <c r="E2480" s="14" t="s">
        <v>27</v>
      </c>
      <c r="F2480" s="22">
        <f t="shared" si="314"/>
        <v>6</v>
      </c>
      <c r="H2480" s="5" t="str">
        <f ca="1">_xlfn.FORMULATEXT(표1[[#This Row],[Q''ty]])</f>
        <v>=F2381</v>
      </c>
    </row>
    <row r="2481" spans="1:10" ht="15" hidden="1" customHeight="1" x14ac:dyDescent="0.4">
      <c r="A2481" s="6">
        <v>2026</v>
      </c>
      <c r="B2481" s="6">
        <f t="shared" si="315"/>
        <v>26</v>
      </c>
      <c r="C2481" s="13" t="s">
        <v>23</v>
      </c>
      <c r="D2481" s="2" t="s">
        <v>6</v>
      </c>
      <c r="E2481" s="14" t="s">
        <v>10</v>
      </c>
      <c r="F2481" s="22">
        <f t="shared" si="314"/>
        <v>10</v>
      </c>
      <c r="H2481" s="5" t="str">
        <f ca="1">_xlfn.FORMULATEXT(표1[[#This Row],[Q''ty]])</f>
        <v>=F2382</v>
      </c>
    </row>
    <row r="2482" spans="1:10" ht="15" hidden="1" customHeight="1" x14ac:dyDescent="0.4">
      <c r="A2482" s="6">
        <v>2026</v>
      </c>
      <c r="B2482" s="6">
        <f t="shared" si="315"/>
        <v>26</v>
      </c>
      <c r="C2482" s="13" t="s">
        <v>23</v>
      </c>
      <c r="D2482" s="2" t="s">
        <v>6</v>
      </c>
      <c r="E2482" s="14" t="s">
        <v>11</v>
      </c>
      <c r="F2482" s="22">
        <f t="shared" si="314"/>
        <v>10</v>
      </c>
      <c r="H2482" s="5" t="str">
        <f ca="1">_xlfn.FORMULATEXT(표1[[#This Row],[Q''ty]])</f>
        <v>=F2383</v>
      </c>
    </row>
    <row r="2483" spans="1:10" ht="15" hidden="1" customHeight="1" x14ac:dyDescent="0.4">
      <c r="A2483" s="6">
        <v>2026</v>
      </c>
      <c r="B2483" s="6">
        <f t="shared" si="315"/>
        <v>26</v>
      </c>
      <c r="C2483" s="13" t="s">
        <v>23</v>
      </c>
      <c r="D2483" s="2" t="s">
        <v>12</v>
      </c>
      <c r="E2483" s="14" t="s">
        <v>13</v>
      </c>
      <c r="F2483" s="22"/>
      <c r="H2483" s="5" t="e">
        <f ca="1">_xlfn.FORMULATEXT(표1[[#This Row],[Q''ty]])</f>
        <v>#N/A</v>
      </c>
    </row>
    <row r="2484" spans="1:10" s="2" customFormat="1" ht="15" hidden="1" customHeight="1" x14ac:dyDescent="0.4">
      <c r="A2484" s="6">
        <v>2026</v>
      </c>
      <c r="B2484" s="6">
        <f t="shared" si="315"/>
        <v>26</v>
      </c>
      <c r="C2484" s="13" t="s">
        <v>23</v>
      </c>
      <c r="D2484" s="2" t="s">
        <v>12</v>
      </c>
      <c r="E2484" s="14" t="s">
        <v>14</v>
      </c>
      <c r="F2484" s="22"/>
      <c r="H2484" s="5" t="e">
        <f ca="1">_xlfn.FORMULATEXT(표1[[#This Row],[Q''ty]])</f>
        <v>#N/A</v>
      </c>
      <c r="I2484" s="26"/>
      <c r="J2484" s="26"/>
    </row>
    <row r="2485" spans="1:10" ht="15" hidden="1" customHeight="1" x14ac:dyDescent="0.4">
      <c r="A2485" s="6">
        <v>2026</v>
      </c>
      <c r="B2485" s="6">
        <f t="shared" si="315"/>
        <v>26</v>
      </c>
      <c r="C2485" s="13" t="s">
        <v>23</v>
      </c>
      <c r="D2485" s="2" t="s">
        <v>12</v>
      </c>
      <c r="E2485" s="14" t="s">
        <v>15</v>
      </c>
      <c r="F2485" s="22"/>
      <c r="H2485" s="5" t="e">
        <f ca="1">_xlfn.FORMULATEXT(표1[[#This Row],[Q''ty]])</f>
        <v>#N/A</v>
      </c>
    </row>
    <row r="2486" spans="1:10" ht="15" hidden="1" customHeight="1" x14ac:dyDescent="0.4">
      <c r="A2486" s="6">
        <v>2026</v>
      </c>
      <c r="B2486" s="6">
        <f t="shared" si="315"/>
        <v>26</v>
      </c>
      <c r="C2486" s="13" t="s">
        <v>23</v>
      </c>
      <c r="D2486" s="2" t="s">
        <v>12</v>
      </c>
      <c r="E2486" s="14" t="s">
        <v>16</v>
      </c>
      <c r="F2486" s="22"/>
      <c r="H2486" s="5" t="e">
        <f ca="1">_xlfn.FORMULATEXT(표1[[#This Row],[Q''ty]])</f>
        <v>#N/A</v>
      </c>
    </row>
    <row r="2487" spans="1:10" ht="15" hidden="1" customHeight="1" thickBot="1" x14ac:dyDescent="0.45">
      <c r="A2487" s="15">
        <v>2026</v>
      </c>
      <c r="B2487" s="15">
        <f t="shared" si="315"/>
        <v>26</v>
      </c>
      <c r="C2487" s="16" t="s">
        <v>23</v>
      </c>
      <c r="D2487" s="17" t="s">
        <v>12</v>
      </c>
      <c r="E2487" s="18" t="s">
        <v>17</v>
      </c>
      <c r="F2487" s="23"/>
      <c r="H2487" s="5" t="e">
        <f ca="1">_xlfn.FORMULATEXT(표1[[#This Row],[Q''ty]])</f>
        <v>#N/A</v>
      </c>
    </row>
    <row r="2488" spans="1:10" ht="15" hidden="1" customHeight="1" thickTop="1" x14ac:dyDescent="0.4">
      <c r="A2488" s="9">
        <v>2026</v>
      </c>
      <c r="B2488" s="9">
        <f t="shared" si="315"/>
        <v>26</v>
      </c>
      <c r="C2488" s="10" t="s">
        <v>29</v>
      </c>
      <c r="D2488" s="11" t="s">
        <v>6</v>
      </c>
      <c r="E2488" s="12" t="s">
        <v>7</v>
      </c>
      <c r="F2488" s="21">
        <f t="shared" ref="F2488:F2493" si="316">F2389</f>
        <v>14</v>
      </c>
      <c r="H2488" s="5" t="str">
        <f ca="1">_xlfn.FORMULATEXT(표1[[#This Row],[Q''ty]])</f>
        <v>=F2389</v>
      </c>
    </row>
    <row r="2489" spans="1:10" s="2" customFormat="1" ht="15" hidden="1" customHeight="1" x14ac:dyDescent="0.4">
      <c r="A2489" s="6">
        <v>2026</v>
      </c>
      <c r="B2489" s="6">
        <f t="shared" si="315"/>
        <v>26</v>
      </c>
      <c r="C2489" s="13" t="s">
        <v>24</v>
      </c>
      <c r="D2489" s="2" t="s">
        <v>6</v>
      </c>
      <c r="E2489" s="14" t="s">
        <v>8</v>
      </c>
      <c r="F2489" s="22">
        <f t="shared" si="316"/>
        <v>8</v>
      </c>
      <c r="H2489" s="5" t="str">
        <f ca="1">_xlfn.FORMULATEXT(표1[[#This Row],[Q''ty]])</f>
        <v>=F2390</v>
      </c>
      <c r="I2489" s="26"/>
      <c r="J2489" s="26"/>
    </row>
    <row r="2490" spans="1:10" s="2" customFormat="1" ht="15" hidden="1" customHeight="1" x14ac:dyDescent="0.4">
      <c r="A2490" s="6">
        <v>2026</v>
      </c>
      <c r="B2490" s="6">
        <f t="shared" si="315"/>
        <v>26</v>
      </c>
      <c r="C2490" s="13" t="s">
        <v>24</v>
      </c>
      <c r="D2490" s="2" t="s">
        <v>6</v>
      </c>
      <c r="E2490" s="14" t="s">
        <v>9</v>
      </c>
      <c r="F2490" s="22">
        <f t="shared" si="316"/>
        <v>4</v>
      </c>
      <c r="H2490" s="5" t="str">
        <f ca="1">_xlfn.FORMULATEXT(표1[[#This Row],[Q''ty]])</f>
        <v>=F2391</v>
      </c>
      <c r="I2490" s="26"/>
      <c r="J2490" s="26"/>
    </row>
    <row r="2491" spans="1:10" ht="15" hidden="1" customHeight="1" x14ac:dyDescent="0.4">
      <c r="A2491" s="6">
        <v>2026</v>
      </c>
      <c r="B2491" s="6">
        <f t="shared" si="315"/>
        <v>26</v>
      </c>
      <c r="C2491" s="13" t="s">
        <v>24</v>
      </c>
      <c r="D2491" s="2" t="s">
        <v>6</v>
      </c>
      <c r="E2491" s="14" t="s">
        <v>27</v>
      </c>
      <c r="F2491" s="22">
        <f t="shared" si="316"/>
        <v>3</v>
      </c>
      <c r="H2491" s="5" t="str">
        <f ca="1">_xlfn.FORMULATEXT(표1[[#This Row],[Q''ty]])</f>
        <v>=F2392</v>
      </c>
    </row>
    <row r="2492" spans="1:10" ht="15" hidden="1" customHeight="1" x14ac:dyDescent="0.4">
      <c r="A2492" s="6">
        <v>2026</v>
      </c>
      <c r="B2492" s="6">
        <f t="shared" si="315"/>
        <v>26</v>
      </c>
      <c r="C2492" s="13" t="s">
        <v>24</v>
      </c>
      <c r="D2492" s="2" t="s">
        <v>6</v>
      </c>
      <c r="E2492" s="14" t="s">
        <v>10</v>
      </c>
      <c r="F2492" s="22">
        <f t="shared" si="316"/>
        <v>6</v>
      </c>
      <c r="H2492" s="5" t="str">
        <f ca="1">_xlfn.FORMULATEXT(표1[[#This Row],[Q''ty]])</f>
        <v>=F2393</v>
      </c>
    </row>
    <row r="2493" spans="1:10" ht="15" hidden="1" customHeight="1" x14ac:dyDescent="0.4">
      <c r="A2493" s="6">
        <v>2026</v>
      </c>
      <c r="B2493" s="6">
        <f t="shared" si="315"/>
        <v>26</v>
      </c>
      <c r="C2493" s="13" t="s">
        <v>24</v>
      </c>
      <c r="D2493" s="2" t="s">
        <v>6</v>
      </c>
      <c r="E2493" s="14" t="s">
        <v>11</v>
      </c>
      <c r="F2493" s="22">
        <f t="shared" si="316"/>
        <v>8.8000000000000007</v>
      </c>
      <c r="H2493" s="5" t="str">
        <f ca="1">_xlfn.FORMULATEXT(표1[[#This Row],[Q''ty]])</f>
        <v>=F2394</v>
      </c>
    </row>
    <row r="2494" spans="1:10" ht="15" hidden="1" customHeight="1" x14ac:dyDescent="0.4">
      <c r="A2494" s="6">
        <v>2026</v>
      </c>
      <c r="B2494" s="6">
        <f t="shared" si="315"/>
        <v>26</v>
      </c>
      <c r="C2494" s="13" t="s">
        <v>24</v>
      </c>
      <c r="D2494" s="2" t="s">
        <v>12</v>
      </c>
      <c r="E2494" s="14" t="s">
        <v>13</v>
      </c>
      <c r="F2494" s="22"/>
      <c r="H2494" s="5" t="e">
        <f ca="1">_xlfn.FORMULATEXT(표1[[#This Row],[Q''ty]])</f>
        <v>#N/A</v>
      </c>
    </row>
    <row r="2495" spans="1:10" s="2" customFormat="1" ht="15" hidden="1" customHeight="1" x14ac:dyDescent="0.4">
      <c r="A2495" s="6">
        <v>2026</v>
      </c>
      <c r="B2495" s="6">
        <f t="shared" si="315"/>
        <v>26</v>
      </c>
      <c r="C2495" s="13" t="s">
        <v>24</v>
      </c>
      <c r="D2495" s="2" t="s">
        <v>12</v>
      </c>
      <c r="E2495" s="14" t="s">
        <v>14</v>
      </c>
      <c r="F2495" s="22"/>
      <c r="H2495" s="5" t="e">
        <f ca="1">_xlfn.FORMULATEXT(표1[[#This Row],[Q''ty]])</f>
        <v>#N/A</v>
      </c>
      <c r="I2495" s="26"/>
      <c r="J2495" s="26"/>
    </row>
    <row r="2496" spans="1:10" ht="15" hidden="1" customHeight="1" x14ac:dyDescent="0.4">
      <c r="A2496" s="6">
        <v>2026</v>
      </c>
      <c r="B2496" s="6">
        <f t="shared" si="315"/>
        <v>26</v>
      </c>
      <c r="C2496" s="13" t="s">
        <v>24</v>
      </c>
      <c r="D2496" s="2" t="s">
        <v>12</v>
      </c>
      <c r="E2496" s="14" t="s">
        <v>15</v>
      </c>
      <c r="F2496" s="22"/>
      <c r="H2496" s="5" t="e">
        <f ca="1">_xlfn.FORMULATEXT(표1[[#This Row],[Q''ty]])</f>
        <v>#N/A</v>
      </c>
    </row>
    <row r="2497" spans="1:8" ht="15" hidden="1" customHeight="1" x14ac:dyDescent="0.4">
      <c r="A2497" s="6">
        <v>2026</v>
      </c>
      <c r="B2497" s="6">
        <f t="shared" si="315"/>
        <v>26</v>
      </c>
      <c r="C2497" s="13" t="s">
        <v>24</v>
      </c>
      <c r="D2497" s="2" t="s">
        <v>12</v>
      </c>
      <c r="E2497" s="14" t="s">
        <v>16</v>
      </c>
      <c r="F2497" s="22"/>
      <c r="H2497" s="5" t="e">
        <f ca="1">_xlfn.FORMULATEXT(표1[[#This Row],[Q''ty]])</f>
        <v>#N/A</v>
      </c>
    </row>
    <row r="2498" spans="1:8" ht="15" hidden="1" customHeight="1" thickBot="1" x14ac:dyDescent="0.45">
      <c r="A2498" s="15">
        <v>2026</v>
      </c>
      <c r="B2498" s="15">
        <f t="shared" si="315"/>
        <v>26</v>
      </c>
      <c r="C2498" s="16" t="s">
        <v>24</v>
      </c>
      <c r="D2498" s="17" t="s">
        <v>12</v>
      </c>
      <c r="E2498" s="18" t="s">
        <v>17</v>
      </c>
      <c r="F2498" s="23"/>
      <c r="H2498" s="5" t="e">
        <f ca="1">_xlfn.FORMULATEXT(표1[[#This Row],[Q''ty]])</f>
        <v>#N/A</v>
      </c>
    </row>
    <row r="2499" spans="1:8" ht="15" hidden="1" customHeight="1" thickTop="1" x14ac:dyDescent="0.4">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hidden="1" customHeight="1" x14ac:dyDescent="0.4">
      <c r="A2500" s="6">
        <v>2026</v>
      </c>
      <c r="B2500" s="6">
        <f t="shared" si="315"/>
        <v>26</v>
      </c>
      <c r="C2500" s="13" t="s">
        <v>18</v>
      </c>
      <c r="D2500" s="2" t="s">
        <v>6</v>
      </c>
      <c r="E2500" s="14" t="str">
        <f t="shared" si="317"/>
        <v>Paint Booth</v>
      </c>
      <c r="F2500" s="22">
        <f t="shared" si="317"/>
        <v>3</v>
      </c>
      <c r="H2500" s="5" t="str">
        <f ca="1">_xlfn.FORMULATEXT(표1[[#This Row],[Q''ty]])</f>
        <v>=F2401</v>
      </c>
    </row>
    <row r="2501" spans="1:8" ht="15" hidden="1" customHeight="1" x14ac:dyDescent="0.4">
      <c r="A2501" s="6">
        <v>2026</v>
      </c>
      <c r="B2501" s="6">
        <f t="shared" si="315"/>
        <v>26</v>
      </c>
      <c r="C2501" s="13" t="s">
        <v>18</v>
      </c>
      <c r="D2501" s="2" t="s">
        <v>6</v>
      </c>
      <c r="E2501" s="14" t="str">
        <f t="shared" si="317"/>
        <v>Paint Line</v>
      </c>
      <c r="F2501" s="22">
        <f t="shared" si="317"/>
        <v>2</v>
      </c>
      <c r="H2501" s="5" t="str">
        <f ca="1">_xlfn.FORMULATEXT(표1[[#This Row],[Q''ty]])</f>
        <v>=F2402</v>
      </c>
    </row>
    <row r="2502" spans="1:8" ht="15" hidden="1" customHeight="1" x14ac:dyDescent="0.4">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hidden="1" customHeight="1" x14ac:dyDescent="0.4">
      <c r="A2503" s="6">
        <v>2026</v>
      </c>
      <c r="B2503" s="6">
        <f t="shared" si="315"/>
        <v>26</v>
      </c>
      <c r="C2503" s="13" t="s">
        <v>18</v>
      </c>
      <c r="D2503" s="2" t="s">
        <v>6</v>
      </c>
      <c r="E2503" s="14" t="str">
        <f t="shared" si="317"/>
        <v>L/W Machine</v>
      </c>
      <c r="F2503" s="22">
        <f t="shared" si="317"/>
        <v>2</v>
      </c>
      <c r="H2503" s="5" t="str">
        <f ca="1">_xlfn.FORMULATEXT(표1[[#This Row],[Q''ty]])</f>
        <v>=F2404</v>
      </c>
    </row>
    <row r="2504" spans="1:8" ht="15" hidden="1" customHeight="1" x14ac:dyDescent="0.4">
      <c r="A2504" s="6">
        <v>2026</v>
      </c>
      <c r="B2504" s="6">
        <f t="shared" si="315"/>
        <v>26</v>
      </c>
      <c r="C2504" s="13" t="s">
        <v>18</v>
      </c>
      <c r="D2504" s="2" t="s">
        <v>6</v>
      </c>
      <c r="E2504" s="14" t="str">
        <f t="shared" si="317"/>
        <v>C/W Machine</v>
      </c>
      <c r="F2504" s="22">
        <f t="shared" si="317"/>
        <v>3</v>
      </c>
      <c r="H2504" s="5" t="str">
        <f ca="1">_xlfn.FORMULATEXT(표1[[#This Row],[Q''ty]])</f>
        <v>=F2405</v>
      </c>
    </row>
    <row r="2505" spans="1:8" ht="15" hidden="1" customHeight="1" x14ac:dyDescent="0.4">
      <c r="A2505" s="6">
        <v>2026</v>
      </c>
      <c r="B2505" s="6">
        <f t="shared" si="315"/>
        <v>26</v>
      </c>
      <c r="C2505" s="13" t="s">
        <v>18</v>
      </c>
      <c r="D2505" s="2" t="s">
        <v>12</v>
      </c>
      <c r="E2505" s="14" t="str">
        <f t="shared" ref="E2505:E2520" si="318">E2406</f>
        <v>BT GT</v>
      </c>
      <c r="F2505" s="22"/>
      <c r="H2505" s="5" t="e">
        <f ca="1">_xlfn.FORMULATEXT(표1[[#This Row],[Q''ty]])</f>
        <v>#N/A</v>
      </c>
    </row>
    <row r="2506" spans="1:8" ht="15" hidden="1" customHeight="1" x14ac:dyDescent="0.4">
      <c r="A2506" s="6">
        <v>2026</v>
      </c>
      <c r="B2506" s="6">
        <f t="shared" si="315"/>
        <v>26</v>
      </c>
      <c r="C2506" s="13" t="s">
        <v>18</v>
      </c>
      <c r="D2506" s="2" t="s">
        <v>12</v>
      </c>
      <c r="E2506" s="14" t="str">
        <f t="shared" si="318"/>
        <v>WT GT</v>
      </c>
      <c r="F2506" s="22"/>
      <c r="H2506" s="5" t="e">
        <f ca="1">_xlfn.FORMULATEXT(표1[[#This Row],[Q''ty]])</f>
        <v>#N/A</v>
      </c>
    </row>
    <row r="2507" spans="1:8" ht="15" hidden="1" customHeight="1" x14ac:dyDescent="0.4">
      <c r="A2507" s="6">
        <v>2026</v>
      </c>
      <c r="B2507" s="6">
        <f t="shared" si="315"/>
        <v>26</v>
      </c>
      <c r="C2507" s="13" t="s">
        <v>18</v>
      </c>
      <c r="D2507" s="2" t="s">
        <v>12</v>
      </c>
      <c r="E2507" s="14" t="str">
        <f t="shared" si="318"/>
        <v>Bending</v>
      </c>
      <c r="F2507" s="22"/>
      <c r="H2507" s="5" t="e">
        <f ca="1">_xlfn.FORMULATEXT(표1[[#This Row],[Q''ty]])</f>
        <v>#N/A</v>
      </c>
    </row>
    <row r="2508" spans="1:8" ht="15" hidden="1" customHeight="1" x14ac:dyDescent="0.4">
      <c r="A2508" s="6">
        <v>2026</v>
      </c>
      <c r="B2508" s="6">
        <f t="shared" si="315"/>
        <v>26</v>
      </c>
      <c r="C2508" s="13" t="s">
        <v>18</v>
      </c>
      <c r="D2508" s="2" t="s">
        <v>12</v>
      </c>
      <c r="E2508" s="14" t="str">
        <f t="shared" si="318"/>
        <v>L/W</v>
      </c>
      <c r="F2508" s="22"/>
      <c r="H2508" s="5" t="e">
        <f ca="1">_xlfn.FORMULATEXT(표1[[#This Row],[Q''ty]])</f>
        <v>#N/A</v>
      </c>
    </row>
    <row r="2509" spans="1:8" ht="15" hidden="1" customHeight="1" thickBot="1" x14ac:dyDescent="0.45">
      <c r="A2509" s="15">
        <v>2026</v>
      </c>
      <c r="B2509" s="15">
        <f t="shared" si="315"/>
        <v>26</v>
      </c>
      <c r="C2509" s="16" t="s">
        <v>18</v>
      </c>
      <c r="D2509" s="17" t="s">
        <v>12</v>
      </c>
      <c r="E2509" s="18" t="str">
        <f t="shared" si="318"/>
        <v>C/W</v>
      </c>
      <c r="F2509" s="23"/>
      <c r="H2509" s="5" t="e">
        <f ca="1">_xlfn.FORMULATEXT(표1[[#This Row],[Q''ty]])</f>
        <v>#N/A</v>
      </c>
    </row>
    <row r="2510" spans="1:8" ht="15" hidden="1" customHeight="1" thickTop="1" x14ac:dyDescent="0.4">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hidden="1" customHeight="1" x14ac:dyDescent="0.4">
      <c r="A2511" s="6">
        <v>2026</v>
      </c>
      <c r="B2511" s="6">
        <f t="shared" si="315"/>
        <v>26</v>
      </c>
      <c r="C2511" s="13" t="s">
        <v>19</v>
      </c>
      <c r="D2511" s="2" t="s">
        <v>6</v>
      </c>
      <c r="E2511" s="14" t="str">
        <f t="shared" si="318"/>
        <v>Paint Booth</v>
      </c>
      <c r="F2511" s="22">
        <f t="shared" si="319"/>
        <v>22</v>
      </c>
      <c r="H2511" s="5" t="str">
        <f ca="1">_xlfn.FORMULATEXT(표1[[#This Row],[Q''ty]])</f>
        <v>=F2412</v>
      </c>
    </row>
    <row r="2512" spans="1:8" ht="15" hidden="1" customHeight="1" x14ac:dyDescent="0.4">
      <c r="A2512" s="6">
        <v>2026</v>
      </c>
      <c r="B2512" s="6">
        <f t="shared" si="315"/>
        <v>26</v>
      </c>
      <c r="C2512" s="13" t="s">
        <v>19</v>
      </c>
      <c r="D2512" s="2" t="s">
        <v>6</v>
      </c>
      <c r="E2512" s="14" t="str">
        <f t="shared" si="318"/>
        <v>Paint Line</v>
      </c>
      <c r="F2512" s="22">
        <f t="shared" si="319"/>
        <v>6</v>
      </c>
      <c r="H2512" s="5" t="str">
        <f ca="1">_xlfn.FORMULATEXT(표1[[#This Row],[Q''ty]])</f>
        <v>=F2413</v>
      </c>
    </row>
    <row r="2513" spans="1:8" ht="15" hidden="1" customHeight="1" x14ac:dyDescent="0.4">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hidden="1" customHeight="1" x14ac:dyDescent="0.4">
      <c r="A2514" s="6">
        <v>2026</v>
      </c>
      <c r="B2514" s="6">
        <f t="shared" si="315"/>
        <v>26</v>
      </c>
      <c r="C2514" s="13" t="s">
        <v>19</v>
      </c>
      <c r="D2514" s="2" t="s">
        <v>6</v>
      </c>
      <c r="E2514" s="14" t="str">
        <f t="shared" si="318"/>
        <v>L/W Machine</v>
      </c>
      <c r="F2514" s="22">
        <f t="shared" si="319"/>
        <v>10</v>
      </c>
      <c r="H2514" s="5" t="str">
        <f ca="1">_xlfn.FORMULATEXT(표1[[#This Row],[Q''ty]])</f>
        <v>=F2415</v>
      </c>
    </row>
    <row r="2515" spans="1:8" ht="15" hidden="1" customHeight="1" x14ac:dyDescent="0.4">
      <c r="A2515" s="6">
        <v>2026</v>
      </c>
      <c r="B2515" s="6">
        <f t="shared" si="315"/>
        <v>26</v>
      </c>
      <c r="C2515" s="13" t="s">
        <v>19</v>
      </c>
      <c r="D2515" s="2" t="s">
        <v>6</v>
      </c>
      <c r="E2515" s="14" t="str">
        <f t="shared" si="318"/>
        <v>C/W Machine</v>
      </c>
      <c r="F2515" s="22">
        <f t="shared" si="319"/>
        <v>12</v>
      </c>
      <c r="H2515" s="5" t="str">
        <f ca="1">_xlfn.FORMULATEXT(표1[[#This Row],[Q''ty]])</f>
        <v>=F2416</v>
      </c>
    </row>
    <row r="2516" spans="1:8" ht="15" hidden="1" customHeight="1" x14ac:dyDescent="0.4">
      <c r="A2516" s="6">
        <v>2026</v>
      </c>
      <c r="B2516" s="6">
        <f t="shared" si="315"/>
        <v>26</v>
      </c>
      <c r="C2516" s="13" t="s">
        <v>19</v>
      </c>
      <c r="D2516" s="2" t="s">
        <v>12</v>
      </c>
      <c r="E2516" s="14" t="str">
        <f t="shared" si="318"/>
        <v>BT GT</v>
      </c>
      <c r="F2516" s="22"/>
      <c r="H2516" s="5" t="e">
        <f ca="1">_xlfn.FORMULATEXT(표1[[#This Row],[Q''ty]])</f>
        <v>#N/A</v>
      </c>
    </row>
    <row r="2517" spans="1:8" ht="15" hidden="1" customHeight="1" x14ac:dyDescent="0.4">
      <c r="A2517" s="6">
        <v>2026</v>
      </c>
      <c r="B2517" s="6">
        <f t="shared" si="315"/>
        <v>26</v>
      </c>
      <c r="C2517" s="13" t="s">
        <v>19</v>
      </c>
      <c r="D2517" s="2" t="s">
        <v>12</v>
      </c>
      <c r="E2517" s="14" t="str">
        <f t="shared" si="318"/>
        <v>WT GT</v>
      </c>
      <c r="F2517" s="22"/>
      <c r="H2517" s="5" t="e">
        <f ca="1">_xlfn.FORMULATEXT(표1[[#This Row],[Q''ty]])</f>
        <v>#N/A</v>
      </c>
    </row>
    <row r="2518" spans="1:8" ht="15" hidden="1" customHeight="1" x14ac:dyDescent="0.4">
      <c r="A2518" s="6">
        <v>2026</v>
      </c>
      <c r="B2518" s="6">
        <f t="shared" si="315"/>
        <v>26</v>
      </c>
      <c r="C2518" s="13" t="s">
        <v>19</v>
      </c>
      <c r="D2518" s="2" t="s">
        <v>12</v>
      </c>
      <c r="E2518" s="14" t="str">
        <f t="shared" si="318"/>
        <v>Bending</v>
      </c>
      <c r="F2518" s="22"/>
      <c r="H2518" s="5" t="e">
        <f ca="1">_xlfn.FORMULATEXT(표1[[#This Row],[Q''ty]])</f>
        <v>#N/A</v>
      </c>
    </row>
    <row r="2519" spans="1:8" ht="15" hidden="1" customHeight="1" x14ac:dyDescent="0.4">
      <c r="A2519" s="6">
        <v>2026</v>
      </c>
      <c r="B2519" s="6">
        <f t="shared" si="315"/>
        <v>26</v>
      </c>
      <c r="C2519" s="13" t="s">
        <v>19</v>
      </c>
      <c r="D2519" s="2" t="s">
        <v>12</v>
      </c>
      <c r="E2519" s="14" t="str">
        <f t="shared" si="318"/>
        <v>L/W</v>
      </c>
      <c r="F2519" s="22"/>
      <c r="H2519" s="5" t="e">
        <f ca="1">_xlfn.FORMULATEXT(표1[[#This Row],[Q''ty]])</f>
        <v>#N/A</v>
      </c>
    </row>
    <row r="2520" spans="1:8" ht="15" hidden="1" customHeight="1" thickBot="1" x14ac:dyDescent="0.45">
      <c r="A2520" s="15">
        <v>2026</v>
      </c>
      <c r="B2520" s="15">
        <f t="shared" si="315"/>
        <v>26</v>
      </c>
      <c r="C2520" s="16" t="s">
        <v>19</v>
      </c>
      <c r="D2520" s="17" t="s">
        <v>12</v>
      </c>
      <c r="E2520" s="18" t="str">
        <f t="shared" si="318"/>
        <v>C/W</v>
      </c>
      <c r="F2520" s="23"/>
      <c r="H2520" s="5" t="e">
        <f ca="1">_xlfn.FORMULATEXT(표1[[#This Row],[Q''ty]])</f>
        <v>#N/A</v>
      </c>
    </row>
    <row r="2521" spans="1:8" ht="15" hidden="1" customHeight="1" thickTop="1" x14ac:dyDescent="0.4">
      <c r="A2521" s="6">
        <v>2026</v>
      </c>
      <c r="B2521" s="6">
        <f t="shared" si="315"/>
        <v>26</v>
      </c>
      <c r="C2521" s="13" t="s">
        <v>25</v>
      </c>
      <c r="D2521" s="2" t="s">
        <v>6</v>
      </c>
      <c r="E2521" s="14" t="s">
        <v>7</v>
      </c>
      <c r="F2521" s="22">
        <f t="shared" ref="F2521:F2526" si="320">F2422</f>
        <v>3</v>
      </c>
      <c r="H2521" s="5" t="str">
        <f ca="1">_xlfn.FORMULATEXT(표1[[#This Row],[Q''ty]])</f>
        <v>=F2422</v>
      </c>
    </row>
    <row r="2522" spans="1:8" ht="15" hidden="1" customHeight="1" x14ac:dyDescent="0.4">
      <c r="A2522" s="6">
        <v>2026</v>
      </c>
      <c r="B2522" s="6">
        <f t="shared" si="315"/>
        <v>26</v>
      </c>
      <c r="C2522" s="13" t="s">
        <v>25</v>
      </c>
      <c r="D2522" s="2" t="s">
        <v>6</v>
      </c>
      <c r="E2522" s="14" t="s">
        <v>8</v>
      </c>
      <c r="F2522" s="22">
        <f t="shared" si="320"/>
        <v>3</v>
      </c>
      <c r="H2522" s="5" t="str">
        <f ca="1">_xlfn.FORMULATEXT(표1[[#This Row],[Q''ty]])</f>
        <v>=F2423</v>
      </c>
    </row>
    <row r="2523" spans="1:8" ht="15" hidden="1" customHeight="1" x14ac:dyDescent="0.4">
      <c r="A2523" s="6">
        <v>2026</v>
      </c>
      <c r="B2523" s="6">
        <f t="shared" si="315"/>
        <v>26</v>
      </c>
      <c r="C2523" s="13" t="s">
        <v>25</v>
      </c>
      <c r="D2523" s="2" t="s">
        <v>6</v>
      </c>
      <c r="E2523" s="14" t="s">
        <v>9</v>
      </c>
      <c r="F2523" s="22">
        <f t="shared" si="320"/>
        <v>2</v>
      </c>
      <c r="H2523" s="5" t="str">
        <f ca="1">_xlfn.FORMULATEXT(표1[[#This Row],[Q''ty]])</f>
        <v>=F2424</v>
      </c>
    </row>
    <row r="2524" spans="1:8" ht="15" hidden="1" customHeight="1" x14ac:dyDescent="0.4">
      <c r="A2524" s="6">
        <v>2026</v>
      </c>
      <c r="B2524" s="6">
        <f t="shared" si="315"/>
        <v>26</v>
      </c>
      <c r="C2524" s="13" t="s">
        <v>25</v>
      </c>
      <c r="D2524" s="2" t="s">
        <v>6</v>
      </c>
      <c r="E2524" s="14" t="s">
        <v>27</v>
      </c>
      <c r="F2524" s="22">
        <f t="shared" si="320"/>
        <v>2</v>
      </c>
      <c r="H2524" s="5" t="str">
        <f ca="1">_xlfn.FORMULATEXT(표1[[#This Row],[Q''ty]])</f>
        <v>=F2425</v>
      </c>
    </row>
    <row r="2525" spans="1:8" ht="15" hidden="1" customHeight="1" x14ac:dyDescent="0.4">
      <c r="A2525" s="6">
        <v>2026</v>
      </c>
      <c r="B2525" s="6">
        <f t="shared" si="315"/>
        <v>26</v>
      </c>
      <c r="C2525" s="13" t="s">
        <v>25</v>
      </c>
      <c r="D2525" s="2" t="s">
        <v>6</v>
      </c>
      <c r="E2525" s="14" t="s">
        <v>10</v>
      </c>
      <c r="F2525" s="22">
        <f t="shared" si="320"/>
        <v>3</v>
      </c>
      <c r="H2525" s="5" t="str">
        <f ca="1">_xlfn.FORMULATEXT(표1[[#This Row],[Q''ty]])</f>
        <v>=F2426</v>
      </c>
    </row>
    <row r="2526" spans="1:8" ht="15" hidden="1" customHeight="1" x14ac:dyDescent="0.4">
      <c r="A2526" s="6">
        <v>2026</v>
      </c>
      <c r="B2526" s="6">
        <f t="shared" si="315"/>
        <v>26</v>
      </c>
      <c r="C2526" s="13" t="s">
        <v>25</v>
      </c>
      <c r="D2526" s="2" t="s">
        <v>6</v>
      </c>
      <c r="E2526" s="14" t="s">
        <v>11</v>
      </c>
      <c r="F2526" s="22">
        <f t="shared" si="320"/>
        <v>4</v>
      </c>
      <c r="H2526" s="5" t="str">
        <f ca="1">_xlfn.FORMULATEXT(표1[[#This Row],[Q''ty]])</f>
        <v>=F2427</v>
      </c>
    </row>
    <row r="2527" spans="1:8" ht="15" hidden="1" customHeight="1" x14ac:dyDescent="0.4">
      <c r="A2527" s="6">
        <v>2026</v>
      </c>
      <c r="B2527" s="6">
        <f t="shared" si="315"/>
        <v>26</v>
      </c>
      <c r="C2527" s="13" t="s">
        <v>25</v>
      </c>
      <c r="D2527" s="2" t="s">
        <v>12</v>
      </c>
      <c r="E2527" s="14" t="s">
        <v>13</v>
      </c>
      <c r="F2527" s="22"/>
      <c r="H2527" s="5" t="e">
        <f ca="1">_xlfn.FORMULATEXT(표1[[#This Row],[Q''ty]])</f>
        <v>#N/A</v>
      </c>
    </row>
    <row r="2528" spans="1:8" ht="15" hidden="1" customHeight="1" x14ac:dyDescent="0.4">
      <c r="A2528" s="6">
        <v>2026</v>
      </c>
      <c r="B2528" s="6">
        <f t="shared" si="315"/>
        <v>26</v>
      </c>
      <c r="C2528" s="13" t="s">
        <v>25</v>
      </c>
      <c r="D2528" s="2" t="s">
        <v>12</v>
      </c>
      <c r="E2528" s="14" t="s">
        <v>14</v>
      </c>
      <c r="F2528" s="22"/>
      <c r="H2528" s="5" t="e">
        <f ca="1">_xlfn.FORMULATEXT(표1[[#This Row],[Q''ty]])</f>
        <v>#N/A</v>
      </c>
    </row>
    <row r="2529" spans="1:8" ht="15" hidden="1" customHeight="1" x14ac:dyDescent="0.4">
      <c r="A2529" s="6">
        <v>2026</v>
      </c>
      <c r="B2529" s="6">
        <f t="shared" si="315"/>
        <v>26</v>
      </c>
      <c r="C2529" s="13" t="s">
        <v>25</v>
      </c>
      <c r="D2529" s="2" t="s">
        <v>12</v>
      </c>
      <c r="E2529" s="14" t="s">
        <v>15</v>
      </c>
      <c r="F2529" s="22"/>
      <c r="H2529" s="5" t="e">
        <f ca="1">_xlfn.FORMULATEXT(표1[[#This Row],[Q''ty]])</f>
        <v>#N/A</v>
      </c>
    </row>
    <row r="2530" spans="1:8" ht="15" hidden="1" customHeight="1" x14ac:dyDescent="0.4">
      <c r="A2530" s="6">
        <v>2026</v>
      </c>
      <c r="B2530" s="6">
        <f t="shared" si="315"/>
        <v>26</v>
      </c>
      <c r="C2530" s="13" t="s">
        <v>25</v>
      </c>
      <c r="D2530" s="2" t="s">
        <v>12</v>
      </c>
      <c r="E2530" s="14" t="s">
        <v>16</v>
      </c>
      <c r="F2530" s="22"/>
      <c r="H2530" s="5" t="e">
        <f ca="1">_xlfn.FORMULATEXT(표1[[#This Row],[Q''ty]])</f>
        <v>#N/A</v>
      </c>
    </row>
    <row r="2531" spans="1:8" ht="15" hidden="1" customHeight="1" thickBot="1" x14ac:dyDescent="0.45">
      <c r="A2531" s="15">
        <v>2026</v>
      </c>
      <c r="B2531" s="15">
        <f t="shared" si="315"/>
        <v>26</v>
      </c>
      <c r="C2531" s="16" t="s">
        <v>25</v>
      </c>
      <c r="D2531" s="17" t="s">
        <v>12</v>
      </c>
      <c r="E2531" s="18" t="s">
        <v>17</v>
      </c>
      <c r="F2531" s="23"/>
      <c r="H2531" s="5" t="e">
        <f ca="1">_xlfn.FORMULATEXT(표1[[#This Row],[Q''ty]])</f>
        <v>#N/A</v>
      </c>
    </row>
    <row r="2532" spans="1:8" ht="15" hidden="1" customHeight="1" thickTop="1" x14ac:dyDescent="0.4">
      <c r="A2532" s="6">
        <v>2026</v>
      </c>
      <c r="B2532" s="6">
        <f t="shared" si="315"/>
        <v>26</v>
      </c>
      <c r="C2532" s="13" t="s">
        <v>26</v>
      </c>
      <c r="D2532" s="2" t="s">
        <v>6</v>
      </c>
      <c r="E2532" s="14" t="s">
        <v>7</v>
      </c>
      <c r="F2532" s="22">
        <f t="shared" ref="F2532:F2537" si="321">F2433</f>
        <v>6</v>
      </c>
      <c r="H2532" s="5" t="str">
        <f ca="1">_xlfn.FORMULATEXT(표1[[#This Row],[Q''ty]])</f>
        <v>=F2433</v>
      </c>
    </row>
    <row r="2533" spans="1:8" ht="15" hidden="1" customHeight="1" x14ac:dyDescent="0.4">
      <c r="A2533" s="6">
        <v>2026</v>
      </c>
      <c r="B2533" s="6">
        <f t="shared" si="315"/>
        <v>26</v>
      </c>
      <c r="C2533" s="13" t="s">
        <v>26</v>
      </c>
      <c r="D2533" s="2" t="s">
        <v>6</v>
      </c>
      <c r="E2533" s="14" t="s">
        <v>8</v>
      </c>
      <c r="F2533" s="22">
        <f t="shared" si="321"/>
        <v>4</v>
      </c>
      <c r="H2533" s="5" t="str">
        <f ca="1">_xlfn.FORMULATEXT(표1[[#This Row],[Q''ty]])</f>
        <v>=F2434</v>
      </c>
    </row>
    <row r="2534" spans="1:8" ht="15" hidden="1" customHeight="1" x14ac:dyDescent="0.4">
      <c r="A2534" s="6">
        <v>2026</v>
      </c>
      <c r="B2534" s="6">
        <f t="shared" si="315"/>
        <v>26</v>
      </c>
      <c r="C2534" s="13" t="s">
        <v>26</v>
      </c>
      <c r="D2534" s="2" t="s">
        <v>6</v>
      </c>
      <c r="E2534" s="14" t="s">
        <v>9</v>
      </c>
      <c r="F2534" s="22">
        <f t="shared" si="321"/>
        <v>2</v>
      </c>
      <c r="H2534" s="5" t="str">
        <f ca="1">_xlfn.FORMULATEXT(표1[[#This Row],[Q''ty]])</f>
        <v>=F2435</v>
      </c>
    </row>
    <row r="2535" spans="1:8" ht="15" hidden="1" customHeight="1" x14ac:dyDescent="0.4">
      <c r="A2535" s="6">
        <v>2026</v>
      </c>
      <c r="B2535" s="6">
        <f t="shared" si="315"/>
        <v>26</v>
      </c>
      <c r="C2535" s="13" t="s">
        <v>26</v>
      </c>
      <c r="D2535" s="2" t="s">
        <v>6</v>
      </c>
      <c r="E2535" s="14" t="s">
        <v>27</v>
      </c>
      <c r="F2535" s="22">
        <f t="shared" si="321"/>
        <v>3</v>
      </c>
      <c r="H2535" s="5" t="str">
        <f ca="1">_xlfn.FORMULATEXT(표1[[#This Row],[Q''ty]])</f>
        <v>=F2436</v>
      </c>
    </row>
    <row r="2536" spans="1:8" ht="15" hidden="1" customHeight="1" x14ac:dyDescent="0.4">
      <c r="A2536" s="6">
        <v>2026</v>
      </c>
      <c r="B2536" s="6">
        <f t="shared" si="315"/>
        <v>26</v>
      </c>
      <c r="C2536" s="13" t="s">
        <v>26</v>
      </c>
      <c r="D2536" s="2" t="s">
        <v>6</v>
      </c>
      <c r="E2536" s="14" t="s">
        <v>10</v>
      </c>
      <c r="F2536" s="22">
        <f t="shared" si="321"/>
        <v>4</v>
      </c>
      <c r="H2536" s="5" t="str">
        <f ca="1">_xlfn.FORMULATEXT(표1[[#This Row],[Q''ty]])</f>
        <v>=F2437</v>
      </c>
    </row>
    <row r="2537" spans="1:8" ht="15" hidden="1" customHeight="1" x14ac:dyDescent="0.4">
      <c r="A2537" s="6">
        <v>2026</v>
      </c>
      <c r="B2537" s="6">
        <f t="shared" si="315"/>
        <v>26</v>
      </c>
      <c r="C2537" s="13" t="s">
        <v>26</v>
      </c>
      <c r="D2537" s="2" t="s">
        <v>6</v>
      </c>
      <c r="E2537" s="14" t="s">
        <v>11</v>
      </c>
      <c r="F2537" s="22">
        <f t="shared" si="321"/>
        <v>6</v>
      </c>
      <c r="H2537" s="5" t="str">
        <f ca="1">_xlfn.FORMULATEXT(표1[[#This Row],[Q''ty]])</f>
        <v>=F2438</v>
      </c>
    </row>
    <row r="2538" spans="1:8" ht="15" hidden="1" customHeight="1" x14ac:dyDescent="0.4">
      <c r="A2538" s="6">
        <v>2026</v>
      </c>
      <c r="B2538" s="6">
        <f t="shared" si="315"/>
        <v>26</v>
      </c>
      <c r="C2538" s="13" t="s">
        <v>26</v>
      </c>
      <c r="D2538" s="2" t="s">
        <v>12</v>
      </c>
      <c r="E2538" s="14" t="str">
        <f t="shared" ref="E2538:E2575" si="322">E2439</f>
        <v>BT GT</v>
      </c>
      <c r="F2538" s="22"/>
      <c r="H2538" s="5" t="e">
        <f ca="1">_xlfn.FORMULATEXT(표1[[#This Row],[Q''ty]])</f>
        <v>#N/A</v>
      </c>
    </row>
    <row r="2539" spans="1:8" ht="15" hidden="1" customHeight="1" x14ac:dyDescent="0.4">
      <c r="A2539" s="6">
        <v>2026</v>
      </c>
      <c r="B2539" s="6">
        <f t="shared" si="315"/>
        <v>26</v>
      </c>
      <c r="C2539" s="13" t="s">
        <v>26</v>
      </c>
      <c r="D2539" s="2" t="s">
        <v>12</v>
      </c>
      <c r="E2539" s="14" t="str">
        <f t="shared" si="322"/>
        <v>WT GT</v>
      </c>
      <c r="F2539" s="22"/>
      <c r="H2539" s="5" t="e">
        <f ca="1">_xlfn.FORMULATEXT(표1[[#This Row],[Q''ty]])</f>
        <v>#N/A</v>
      </c>
    </row>
    <row r="2540" spans="1:8" ht="15" hidden="1" customHeight="1" x14ac:dyDescent="0.4">
      <c r="A2540" s="6">
        <v>2026</v>
      </c>
      <c r="B2540" s="6">
        <f t="shared" si="315"/>
        <v>26</v>
      </c>
      <c r="C2540" s="13" t="s">
        <v>26</v>
      </c>
      <c r="D2540" s="2" t="s">
        <v>12</v>
      </c>
      <c r="E2540" s="14" t="str">
        <f t="shared" si="322"/>
        <v>Bending</v>
      </c>
      <c r="F2540" s="22"/>
      <c r="H2540" s="5" t="e">
        <f ca="1">_xlfn.FORMULATEXT(표1[[#This Row],[Q''ty]])</f>
        <v>#N/A</v>
      </c>
    </row>
    <row r="2541" spans="1:8" ht="15" hidden="1" customHeight="1" x14ac:dyDescent="0.4">
      <c r="A2541" s="6">
        <v>2026</v>
      </c>
      <c r="B2541" s="6">
        <f t="shared" si="315"/>
        <v>26</v>
      </c>
      <c r="C2541" s="13" t="s">
        <v>26</v>
      </c>
      <c r="D2541" s="2" t="s">
        <v>12</v>
      </c>
      <c r="E2541" s="14" t="str">
        <f t="shared" si="322"/>
        <v>L/W</v>
      </c>
      <c r="F2541" s="22"/>
      <c r="H2541" s="5" t="e">
        <f ca="1">_xlfn.FORMULATEXT(표1[[#This Row],[Q''ty]])</f>
        <v>#N/A</v>
      </c>
    </row>
    <row r="2542" spans="1:8" ht="15" hidden="1" customHeight="1" thickBot="1" x14ac:dyDescent="0.45">
      <c r="A2542" s="15">
        <v>2026</v>
      </c>
      <c r="B2542" s="15">
        <f t="shared" ref="B2542:B2575" si="323">B2443+1</f>
        <v>26</v>
      </c>
      <c r="C2542" s="16" t="s">
        <v>26</v>
      </c>
      <c r="D2542" s="17" t="s">
        <v>12</v>
      </c>
      <c r="E2542" s="18" t="str">
        <f t="shared" si="322"/>
        <v>C/W</v>
      </c>
      <c r="F2542" s="23"/>
      <c r="H2542" s="5" t="e">
        <f ca="1">_xlfn.FORMULATEXT(표1[[#This Row],[Q''ty]])</f>
        <v>#N/A</v>
      </c>
    </row>
    <row r="2543" spans="1:8" ht="15" hidden="1" customHeight="1" thickTop="1" x14ac:dyDescent="0.4">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hidden="1" customHeight="1" x14ac:dyDescent="0.4">
      <c r="A2544" s="6">
        <v>2026</v>
      </c>
      <c r="B2544" s="6">
        <f t="shared" si="323"/>
        <v>26</v>
      </c>
      <c r="C2544" s="13" t="s">
        <v>20</v>
      </c>
      <c r="D2544" s="2" t="s">
        <v>6</v>
      </c>
      <c r="E2544" s="14" t="str">
        <f t="shared" si="322"/>
        <v>Paint Booth</v>
      </c>
      <c r="F2544" s="22">
        <f t="shared" si="324"/>
        <v>16</v>
      </c>
      <c r="H2544" s="5" t="str">
        <f ca="1">_xlfn.FORMULATEXT(표1[[#This Row],[Q''ty]])</f>
        <v>=F2445</v>
      </c>
    </row>
    <row r="2545" spans="1:8" ht="15" hidden="1" customHeight="1" x14ac:dyDescent="0.4">
      <c r="A2545" s="6">
        <v>2026</v>
      </c>
      <c r="B2545" s="6">
        <f t="shared" si="323"/>
        <v>26</v>
      </c>
      <c r="C2545" s="13" t="s">
        <v>20</v>
      </c>
      <c r="D2545" s="2" t="s">
        <v>6</v>
      </c>
      <c r="E2545" s="14" t="str">
        <f t="shared" si="322"/>
        <v>Paint Line</v>
      </c>
      <c r="F2545" s="22">
        <f t="shared" si="324"/>
        <v>8</v>
      </c>
      <c r="H2545" s="5" t="str">
        <f ca="1">_xlfn.FORMULATEXT(표1[[#This Row],[Q''ty]])</f>
        <v>=F2446</v>
      </c>
    </row>
    <row r="2546" spans="1:8" ht="15" hidden="1" customHeight="1" x14ac:dyDescent="0.4">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hidden="1" customHeight="1" x14ac:dyDescent="0.4">
      <c r="A2547" s="6">
        <v>2026</v>
      </c>
      <c r="B2547" s="6">
        <f t="shared" si="323"/>
        <v>26</v>
      </c>
      <c r="C2547" s="13" t="s">
        <v>20</v>
      </c>
      <c r="D2547" s="2" t="s">
        <v>6</v>
      </c>
      <c r="E2547" s="14" t="str">
        <f t="shared" si="322"/>
        <v>L/W Machine</v>
      </c>
      <c r="F2547" s="22">
        <f t="shared" si="324"/>
        <v>11</v>
      </c>
      <c r="H2547" s="5" t="str">
        <f ca="1">_xlfn.FORMULATEXT(표1[[#This Row],[Q''ty]])</f>
        <v>=F2448</v>
      </c>
    </row>
    <row r="2548" spans="1:8" ht="15" hidden="1" customHeight="1" x14ac:dyDescent="0.4">
      <c r="A2548" s="6">
        <v>2026</v>
      </c>
      <c r="B2548" s="6">
        <f t="shared" si="323"/>
        <v>26</v>
      </c>
      <c r="C2548" s="13" t="s">
        <v>20</v>
      </c>
      <c r="D2548" s="2" t="s">
        <v>6</v>
      </c>
      <c r="E2548" s="14" t="str">
        <f t="shared" si="322"/>
        <v>C/W Machine</v>
      </c>
      <c r="F2548" s="22">
        <f t="shared" si="324"/>
        <v>15</v>
      </c>
      <c r="H2548" s="5" t="str">
        <f ca="1">_xlfn.FORMULATEXT(표1[[#This Row],[Q''ty]])</f>
        <v>=F2449</v>
      </c>
    </row>
    <row r="2549" spans="1:8" ht="15" hidden="1" customHeight="1" x14ac:dyDescent="0.4">
      <c r="A2549" s="6">
        <v>2026</v>
      </c>
      <c r="B2549" s="6">
        <f t="shared" si="323"/>
        <v>26</v>
      </c>
      <c r="C2549" s="13" t="s">
        <v>20</v>
      </c>
      <c r="D2549" s="2" t="s">
        <v>12</v>
      </c>
      <c r="E2549" s="14" t="str">
        <f t="shared" si="322"/>
        <v>BT GT</v>
      </c>
      <c r="F2549" s="22"/>
      <c r="H2549" s="5" t="e">
        <f ca="1">_xlfn.FORMULATEXT(표1[[#This Row],[Q''ty]])</f>
        <v>#N/A</v>
      </c>
    </row>
    <row r="2550" spans="1:8" ht="15" hidden="1" customHeight="1" x14ac:dyDescent="0.4">
      <c r="A2550" s="6">
        <v>2026</v>
      </c>
      <c r="B2550" s="6">
        <f t="shared" si="323"/>
        <v>26</v>
      </c>
      <c r="C2550" s="13" t="s">
        <v>20</v>
      </c>
      <c r="D2550" s="2" t="s">
        <v>12</v>
      </c>
      <c r="E2550" s="14" t="str">
        <f t="shared" si="322"/>
        <v>WT GT</v>
      </c>
      <c r="F2550" s="22"/>
      <c r="H2550" s="5" t="e">
        <f ca="1">_xlfn.FORMULATEXT(표1[[#This Row],[Q''ty]])</f>
        <v>#N/A</v>
      </c>
    </row>
    <row r="2551" spans="1:8" ht="15" hidden="1" customHeight="1" x14ac:dyDescent="0.4">
      <c r="A2551" s="6">
        <v>2026</v>
      </c>
      <c r="B2551" s="6">
        <f t="shared" si="323"/>
        <v>26</v>
      </c>
      <c r="C2551" s="13" t="s">
        <v>20</v>
      </c>
      <c r="D2551" s="2" t="s">
        <v>12</v>
      </c>
      <c r="E2551" s="14" t="str">
        <f t="shared" si="322"/>
        <v>Bending</v>
      </c>
      <c r="F2551" s="22"/>
      <c r="H2551" s="5" t="e">
        <f ca="1">_xlfn.FORMULATEXT(표1[[#This Row],[Q''ty]])</f>
        <v>#N/A</v>
      </c>
    </row>
    <row r="2552" spans="1:8" ht="15" hidden="1" customHeight="1" x14ac:dyDescent="0.4">
      <c r="A2552" s="6">
        <v>2026</v>
      </c>
      <c r="B2552" s="6">
        <f t="shared" si="323"/>
        <v>26</v>
      </c>
      <c r="C2552" s="13" t="s">
        <v>20</v>
      </c>
      <c r="D2552" s="2" t="s">
        <v>12</v>
      </c>
      <c r="E2552" s="14" t="str">
        <f t="shared" si="322"/>
        <v>L/W</v>
      </c>
      <c r="F2552" s="22"/>
      <c r="H2552" s="5" t="e">
        <f ca="1">_xlfn.FORMULATEXT(표1[[#This Row],[Q''ty]])</f>
        <v>#N/A</v>
      </c>
    </row>
    <row r="2553" spans="1:8" ht="15" hidden="1" customHeight="1" thickBot="1" x14ac:dyDescent="0.45">
      <c r="A2553" s="15">
        <v>2026</v>
      </c>
      <c r="B2553" s="15">
        <f t="shared" si="323"/>
        <v>26</v>
      </c>
      <c r="C2553" s="16" t="s">
        <v>20</v>
      </c>
      <c r="D2553" s="17" t="s">
        <v>12</v>
      </c>
      <c r="E2553" s="18" t="str">
        <f t="shared" si="322"/>
        <v>C/W</v>
      </c>
      <c r="F2553" s="23"/>
      <c r="H2553" s="5" t="e">
        <f ca="1">_xlfn.FORMULATEXT(표1[[#This Row],[Q''ty]])</f>
        <v>#N/A</v>
      </c>
    </row>
    <row r="2554" spans="1:8" ht="15" hidden="1" customHeight="1" thickTop="1" x14ac:dyDescent="0.4">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hidden="1" customHeight="1" x14ac:dyDescent="0.4">
      <c r="A2555" s="6">
        <v>2026</v>
      </c>
      <c r="B2555" s="6">
        <f t="shared" si="323"/>
        <v>26</v>
      </c>
      <c r="C2555" s="13" t="s">
        <v>21</v>
      </c>
      <c r="D2555" s="2" t="s">
        <v>6</v>
      </c>
      <c r="E2555" s="14" t="str">
        <f t="shared" si="322"/>
        <v>Paint Booth</v>
      </c>
      <c r="F2555" s="22">
        <f t="shared" si="325"/>
        <v>4</v>
      </c>
      <c r="H2555" s="5" t="str">
        <f ca="1">_xlfn.FORMULATEXT(표1[[#This Row],[Q''ty]])</f>
        <v>=F2456</v>
      </c>
    </row>
    <row r="2556" spans="1:8" ht="15" hidden="1" customHeight="1" x14ac:dyDescent="0.4">
      <c r="A2556" s="6">
        <v>2026</v>
      </c>
      <c r="B2556" s="6">
        <f t="shared" si="323"/>
        <v>26</v>
      </c>
      <c r="C2556" s="13" t="s">
        <v>21</v>
      </c>
      <c r="D2556" s="2" t="s">
        <v>6</v>
      </c>
      <c r="E2556" s="14" t="str">
        <f t="shared" si="322"/>
        <v>Paint Line</v>
      </c>
      <c r="F2556" s="22">
        <f t="shared" si="325"/>
        <v>4</v>
      </c>
      <c r="H2556" s="5" t="str">
        <f ca="1">_xlfn.FORMULATEXT(표1[[#This Row],[Q''ty]])</f>
        <v>=F2457</v>
      </c>
    </row>
    <row r="2557" spans="1:8" ht="15" hidden="1" customHeight="1" x14ac:dyDescent="0.4">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hidden="1" customHeight="1" x14ac:dyDescent="0.4">
      <c r="A2558" s="6">
        <v>2026</v>
      </c>
      <c r="B2558" s="6">
        <f t="shared" si="323"/>
        <v>26</v>
      </c>
      <c r="C2558" s="13" t="s">
        <v>21</v>
      </c>
      <c r="D2558" s="2" t="s">
        <v>6</v>
      </c>
      <c r="E2558" s="14" t="str">
        <f t="shared" si="322"/>
        <v>L/W Machine</v>
      </c>
      <c r="F2558" s="22">
        <f t="shared" si="325"/>
        <v>4</v>
      </c>
      <c r="H2558" s="5" t="str">
        <f ca="1">_xlfn.FORMULATEXT(표1[[#This Row],[Q''ty]])</f>
        <v>=F2459</v>
      </c>
    </row>
    <row r="2559" spans="1:8" ht="15" hidden="1" customHeight="1" x14ac:dyDescent="0.4">
      <c r="A2559" s="6">
        <v>2026</v>
      </c>
      <c r="B2559" s="6">
        <f t="shared" si="323"/>
        <v>26</v>
      </c>
      <c r="C2559" s="13" t="s">
        <v>21</v>
      </c>
      <c r="D2559" s="2" t="s">
        <v>6</v>
      </c>
      <c r="E2559" s="14" t="str">
        <f t="shared" si="322"/>
        <v>C/W Machine</v>
      </c>
      <c r="F2559" s="22">
        <f t="shared" si="325"/>
        <v>6.5</v>
      </c>
      <c r="H2559" s="5" t="str">
        <f ca="1">_xlfn.FORMULATEXT(표1[[#This Row],[Q''ty]])</f>
        <v>=F2460</v>
      </c>
    </row>
    <row r="2560" spans="1:8" ht="15" hidden="1" customHeight="1" x14ac:dyDescent="0.4">
      <c r="A2560" s="6">
        <v>2026</v>
      </c>
      <c r="B2560" s="6">
        <f t="shared" si="323"/>
        <v>26</v>
      </c>
      <c r="C2560" s="13" t="s">
        <v>21</v>
      </c>
      <c r="D2560" s="2" t="s">
        <v>12</v>
      </c>
      <c r="E2560" s="14" t="str">
        <f t="shared" si="322"/>
        <v>BT GT</v>
      </c>
      <c r="F2560" s="22"/>
      <c r="H2560" s="5" t="e">
        <f ca="1">_xlfn.FORMULATEXT(표1[[#This Row],[Q''ty]])</f>
        <v>#N/A</v>
      </c>
    </row>
    <row r="2561" spans="1:8" ht="15" hidden="1" customHeight="1" x14ac:dyDescent="0.4">
      <c r="A2561" s="6">
        <v>2026</v>
      </c>
      <c r="B2561" s="6">
        <f t="shared" si="323"/>
        <v>26</v>
      </c>
      <c r="C2561" s="13" t="s">
        <v>21</v>
      </c>
      <c r="D2561" s="2" t="s">
        <v>12</v>
      </c>
      <c r="E2561" s="14" t="str">
        <f t="shared" si="322"/>
        <v>WT GT</v>
      </c>
      <c r="F2561" s="22"/>
      <c r="H2561" s="5" t="e">
        <f ca="1">_xlfn.FORMULATEXT(표1[[#This Row],[Q''ty]])</f>
        <v>#N/A</v>
      </c>
    </row>
    <row r="2562" spans="1:8" ht="15" hidden="1" customHeight="1" x14ac:dyDescent="0.4">
      <c r="A2562" s="6">
        <v>2026</v>
      </c>
      <c r="B2562" s="6">
        <f t="shared" si="323"/>
        <v>26</v>
      </c>
      <c r="C2562" s="13" t="s">
        <v>21</v>
      </c>
      <c r="D2562" s="2" t="s">
        <v>12</v>
      </c>
      <c r="E2562" s="14" t="str">
        <f t="shared" si="322"/>
        <v>Bending</v>
      </c>
      <c r="F2562" s="22"/>
      <c r="H2562" s="5" t="e">
        <f ca="1">_xlfn.FORMULATEXT(표1[[#This Row],[Q''ty]])</f>
        <v>#N/A</v>
      </c>
    </row>
    <row r="2563" spans="1:8" ht="15" hidden="1" customHeight="1" x14ac:dyDescent="0.4">
      <c r="A2563" s="6">
        <v>2026</v>
      </c>
      <c r="B2563" s="6">
        <f t="shared" si="323"/>
        <v>26</v>
      </c>
      <c r="C2563" s="13" t="s">
        <v>21</v>
      </c>
      <c r="D2563" s="2" t="s">
        <v>12</v>
      </c>
      <c r="E2563" s="14" t="str">
        <f t="shared" si="322"/>
        <v>L/W</v>
      </c>
      <c r="F2563" s="22"/>
      <c r="H2563" s="5" t="e">
        <f ca="1">_xlfn.FORMULATEXT(표1[[#This Row],[Q''ty]])</f>
        <v>#N/A</v>
      </c>
    </row>
    <row r="2564" spans="1:8" ht="15" hidden="1" customHeight="1" thickBot="1" x14ac:dyDescent="0.45">
      <c r="A2564" s="15">
        <v>2026</v>
      </c>
      <c r="B2564" s="15">
        <f t="shared" si="323"/>
        <v>26</v>
      </c>
      <c r="C2564" s="16" t="s">
        <v>21</v>
      </c>
      <c r="D2564" s="17" t="s">
        <v>12</v>
      </c>
      <c r="E2564" s="18" t="str">
        <f t="shared" si="322"/>
        <v>C/W</v>
      </c>
      <c r="F2564" s="23"/>
      <c r="H2564" s="5" t="e">
        <f ca="1">_xlfn.FORMULATEXT(표1[[#This Row],[Q''ty]])</f>
        <v>#N/A</v>
      </c>
    </row>
    <row r="2565" spans="1:8" ht="15" hidden="1" customHeight="1" thickTop="1" x14ac:dyDescent="0.4">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hidden="1" customHeight="1" x14ac:dyDescent="0.4">
      <c r="A2566" s="6">
        <v>2026</v>
      </c>
      <c r="B2566" s="6">
        <f t="shared" si="323"/>
        <v>26</v>
      </c>
      <c r="C2566" s="13" t="s">
        <v>22</v>
      </c>
      <c r="D2566" s="2" t="s">
        <v>6</v>
      </c>
      <c r="E2566" s="14" t="str">
        <f t="shared" si="322"/>
        <v>Paint Booth</v>
      </c>
      <c r="F2566" s="22">
        <f t="shared" si="326"/>
        <v>6</v>
      </c>
      <c r="H2566" s="5" t="str">
        <f ca="1">_xlfn.FORMULATEXT(표1[[#This Row],[Q''ty]])</f>
        <v>=F2467</v>
      </c>
    </row>
    <row r="2567" spans="1:8" ht="15" hidden="1" customHeight="1" x14ac:dyDescent="0.4">
      <c r="A2567" s="6">
        <v>2026</v>
      </c>
      <c r="B2567" s="6">
        <f t="shared" si="323"/>
        <v>26</v>
      </c>
      <c r="C2567" s="13" t="s">
        <v>22</v>
      </c>
      <c r="D2567" s="2" t="s">
        <v>6</v>
      </c>
      <c r="E2567" s="14" t="str">
        <f t="shared" si="322"/>
        <v>Paint Line</v>
      </c>
      <c r="F2567" s="22">
        <f t="shared" si="326"/>
        <v>4</v>
      </c>
      <c r="H2567" s="5" t="str">
        <f ca="1">_xlfn.FORMULATEXT(표1[[#This Row],[Q''ty]])</f>
        <v>=F2468</v>
      </c>
    </row>
    <row r="2568" spans="1:8" ht="15" hidden="1" customHeight="1" x14ac:dyDescent="0.4">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hidden="1" customHeight="1" x14ac:dyDescent="0.4">
      <c r="A2569" s="6">
        <v>2026</v>
      </c>
      <c r="B2569" s="6">
        <f t="shared" si="323"/>
        <v>26</v>
      </c>
      <c r="C2569" s="13" t="s">
        <v>22</v>
      </c>
      <c r="D2569" s="2" t="s">
        <v>6</v>
      </c>
      <c r="E2569" s="14" t="str">
        <f t="shared" si="322"/>
        <v>L/W Machine</v>
      </c>
      <c r="F2569" s="22">
        <f t="shared" si="326"/>
        <v>7</v>
      </c>
      <c r="H2569" s="5" t="str">
        <f ca="1">_xlfn.FORMULATEXT(표1[[#This Row],[Q''ty]])</f>
        <v>=F2470</v>
      </c>
    </row>
    <row r="2570" spans="1:8" ht="15" hidden="1" customHeight="1" x14ac:dyDescent="0.4">
      <c r="A2570" s="6">
        <v>2026</v>
      </c>
      <c r="B2570" s="6">
        <f t="shared" si="323"/>
        <v>26</v>
      </c>
      <c r="C2570" s="13" t="s">
        <v>22</v>
      </c>
      <c r="D2570" s="2" t="s">
        <v>6</v>
      </c>
      <c r="E2570" s="14" t="str">
        <f t="shared" si="322"/>
        <v>C/W Machine</v>
      </c>
      <c r="F2570" s="22">
        <f t="shared" si="326"/>
        <v>12.5</v>
      </c>
      <c r="H2570" s="5" t="str">
        <f ca="1">_xlfn.FORMULATEXT(표1[[#This Row],[Q''ty]])</f>
        <v>=F2471</v>
      </c>
    </row>
    <row r="2571" spans="1:8" ht="15" hidden="1" customHeight="1" x14ac:dyDescent="0.4">
      <c r="A2571" s="6">
        <v>2026</v>
      </c>
      <c r="B2571" s="6">
        <f t="shared" si="323"/>
        <v>26</v>
      </c>
      <c r="C2571" s="13" t="s">
        <v>22</v>
      </c>
      <c r="D2571" s="2" t="s">
        <v>12</v>
      </c>
      <c r="E2571" s="14" t="str">
        <f t="shared" si="322"/>
        <v>BT GT</v>
      </c>
      <c r="F2571" s="22"/>
      <c r="H2571" s="5" t="e">
        <f ca="1">_xlfn.FORMULATEXT(표1[[#This Row],[Q''ty]])</f>
        <v>#N/A</v>
      </c>
    </row>
    <row r="2572" spans="1:8" ht="15" hidden="1" customHeight="1" x14ac:dyDescent="0.4">
      <c r="A2572" s="6">
        <v>2026</v>
      </c>
      <c r="B2572" s="6">
        <f t="shared" si="323"/>
        <v>26</v>
      </c>
      <c r="C2572" s="13" t="s">
        <v>22</v>
      </c>
      <c r="D2572" s="2" t="s">
        <v>12</v>
      </c>
      <c r="E2572" s="14" t="str">
        <f t="shared" si="322"/>
        <v>WT GT</v>
      </c>
      <c r="F2572" s="22"/>
      <c r="H2572" s="5" t="e">
        <f ca="1">_xlfn.FORMULATEXT(표1[[#This Row],[Q''ty]])</f>
        <v>#N/A</v>
      </c>
    </row>
    <row r="2573" spans="1:8" ht="15" hidden="1" customHeight="1" x14ac:dyDescent="0.4">
      <c r="A2573" s="6">
        <v>2026</v>
      </c>
      <c r="B2573" s="6">
        <f t="shared" si="323"/>
        <v>26</v>
      </c>
      <c r="C2573" s="13" t="s">
        <v>22</v>
      </c>
      <c r="D2573" s="2" t="s">
        <v>12</v>
      </c>
      <c r="E2573" s="14" t="str">
        <f t="shared" si="322"/>
        <v>Bending</v>
      </c>
      <c r="F2573" s="22"/>
      <c r="H2573" s="5" t="e">
        <f ca="1">_xlfn.FORMULATEXT(표1[[#This Row],[Q''ty]])</f>
        <v>#N/A</v>
      </c>
    </row>
    <row r="2574" spans="1:8" ht="15" hidden="1" customHeight="1" x14ac:dyDescent="0.4">
      <c r="A2574" s="6">
        <v>2026</v>
      </c>
      <c r="B2574" s="6">
        <f t="shared" si="323"/>
        <v>26</v>
      </c>
      <c r="C2574" s="13" t="s">
        <v>22</v>
      </c>
      <c r="D2574" s="2" t="s">
        <v>12</v>
      </c>
      <c r="E2574" s="14" t="str">
        <f t="shared" si="322"/>
        <v>L/W</v>
      </c>
      <c r="F2574" s="22"/>
      <c r="H2574" s="5" t="e">
        <f ca="1">_xlfn.FORMULATEXT(표1[[#This Row],[Q''ty]])</f>
        <v>#N/A</v>
      </c>
    </row>
    <row r="2575" spans="1:8" ht="15" hidden="1" customHeight="1" thickBot="1" x14ac:dyDescent="0.45">
      <c r="A2575" s="6">
        <v>2026</v>
      </c>
      <c r="B2575" s="6">
        <f t="shared" si="323"/>
        <v>26</v>
      </c>
      <c r="C2575" s="13" t="s">
        <v>22</v>
      </c>
      <c r="D2575" s="2" t="s">
        <v>12</v>
      </c>
      <c r="E2575" s="14" t="str">
        <f t="shared" si="322"/>
        <v>C/W</v>
      </c>
      <c r="F2575" s="22"/>
      <c r="H2575" s="5" t="e">
        <f ca="1">_xlfn.FORMULATEXT(표1[[#This Row],[Q''ty]])</f>
        <v>#N/A</v>
      </c>
    </row>
    <row r="2576" spans="1:8" ht="15" hidden="1" customHeight="1" thickTop="1" x14ac:dyDescent="0.4">
      <c r="A2576" s="9">
        <v>2026</v>
      </c>
      <c r="B2576" s="9">
        <f>B2477+1</f>
        <v>27</v>
      </c>
      <c r="C2576" s="10" t="s">
        <v>28</v>
      </c>
      <c r="D2576" s="11" t="s">
        <v>6</v>
      </c>
      <c r="E2576" s="12" t="s">
        <v>7</v>
      </c>
      <c r="F2576" s="21">
        <f t="shared" ref="F2576:F2581" si="327">F2477</f>
        <v>15</v>
      </c>
      <c r="H2576" s="5" t="str">
        <f ca="1">_xlfn.FORMULATEXT(표1[[#This Row],[Q''ty]])</f>
        <v>=F2477</v>
      </c>
    </row>
    <row r="2577" spans="1:10" s="2" customFormat="1" ht="15" hidden="1" customHeight="1" x14ac:dyDescent="0.4">
      <c r="A2577" s="6">
        <v>2026</v>
      </c>
      <c r="B2577" s="6">
        <f t="shared" ref="B2577:B2640" si="328">B2478+1</f>
        <v>27</v>
      </c>
      <c r="C2577" s="13" t="s">
        <v>23</v>
      </c>
      <c r="D2577" s="2" t="s">
        <v>6</v>
      </c>
      <c r="E2577" s="14" t="s">
        <v>8</v>
      </c>
      <c r="F2577" s="22">
        <f t="shared" si="327"/>
        <v>10</v>
      </c>
      <c r="H2577" s="5" t="str">
        <f ca="1">_xlfn.FORMULATEXT(표1[[#This Row],[Q''ty]])</f>
        <v>=F2478</v>
      </c>
      <c r="I2577" s="26"/>
      <c r="J2577" s="26"/>
    </row>
    <row r="2578" spans="1:10" s="2" customFormat="1" ht="15" hidden="1" customHeight="1" x14ac:dyDescent="0.4">
      <c r="A2578" s="6">
        <v>2026</v>
      </c>
      <c r="B2578" s="6">
        <f t="shared" si="328"/>
        <v>27</v>
      </c>
      <c r="C2578" s="13" t="s">
        <v>23</v>
      </c>
      <c r="D2578" s="2" t="s">
        <v>6</v>
      </c>
      <c r="E2578" s="14" t="s">
        <v>9</v>
      </c>
      <c r="F2578" s="22">
        <f t="shared" si="327"/>
        <v>5</v>
      </c>
      <c r="H2578" s="5" t="str">
        <f ca="1">_xlfn.FORMULATEXT(표1[[#This Row],[Q''ty]])</f>
        <v>=F2479</v>
      </c>
      <c r="I2578" s="26"/>
      <c r="J2578" s="26"/>
    </row>
    <row r="2579" spans="1:10" ht="15" hidden="1" customHeight="1" x14ac:dyDescent="0.4">
      <c r="A2579" s="6">
        <v>2026</v>
      </c>
      <c r="B2579" s="6">
        <f t="shared" si="328"/>
        <v>27</v>
      </c>
      <c r="C2579" s="13" t="s">
        <v>23</v>
      </c>
      <c r="D2579" s="2" t="s">
        <v>6</v>
      </c>
      <c r="E2579" s="14" t="s">
        <v>27</v>
      </c>
      <c r="F2579" s="22">
        <f t="shared" si="327"/>
        <v>6</v>
      </c>
      <c r="H2579" s="5" t="str">
        <f ca="1">_xlfn.FORMULATEXT(표1[[#This Row],[Q''ty]])</f>
        <v>=F2480</v>
      </c>
    </row>
    <row r="2580" spans="1:10" ht="15" hidden="1" customHeight="1" x14ac:dyDescent="0.4">
      <c r="A2580" s="6">
        <v>2026</v>
      </c>
      <c r="B2580" s="6">
        <f t="shared" si="328"/>
        <v>27</v>
      </c>
      <c r="C2580" s="13" t="s">
        <v>23</v>
      </c>
      <c r="D2580" s="2" t="s">
        <v>6</v>
      </c>
      <c r="E2580" s="14" t="s">
        <v>10</v>
      </c>
      <c r="F2580" s="22">
        <f t="shared" si="327"/>
        <v>10</v>
      </c>
      <c r="H2580" s="5" t="str">
        <f ca="1">_xlfn.FORMULATEXT(표1[[#This Row],[Q''ty]])</f>
        <v>=F2481</v>
      </c>
    </row>
    <row r="2581" spans="1:10" ht="15" hidden="1" customHeight="1" x14ac:dyDescent="0.4">
      <c r="A2581" s="6">
        <v>2026</v>
      </c>
      <c r="B2581" s="6">
        <f t="shared" si="328"/>
        <v>27</v>
      </c>
      <c r="C2581" s="13" t="s">
        <v>23</v>
      </c>
      <c r="D2581" s="2" t="s">
        <v>6</v>
      </c>
      <c r="E2581" s="14" t="s">
        <v>11</v>
      </c>
      <c r="F2581" s="22">
        <f t="shared" si="327"/>
        <v>10</v>
      </c>
      <c r="H2581" s="5" t="str">
        <f ca="1">_xlfn.FORMULATEXT(표1[[#This Row],[Q''ty]])</f>
        <v>=F2482</v>
      </c>
    </row>
    <row r="2582" spans="1:10" ht="15" hidden="1" customHeight="1" x14ac:dyDescent="0.4">
      <c r="A2582" s="6">
        <v>2026</v>
      </c>
      <c r="B2582" s="6">
        <f t="shared" si="328"/>
        <v>27</v>
      </c>
      <c r="C2582" s="13" t="s">
        <v>23</v>
      </c>
      <c r="D2582" s="2" t="s">
        <v>12</v>
      </c>
      <c r="E2582" s="14" t="s">
        <v>13</v>
      </c>
      <c r="F2582" s="22"/>
      <c r="H2582" s="5" t="e">
        <f ca="1">_xlfn.FORMULATEXT(표1[[#This Row],[Q''ty]])</f>
        <v>#N/A</v>
      </c>
    </row>
    <row r="2583" spans="1:10" s="2" customFormat="1" ht="15" hidden="1" customHeight="1" x14ac:dyDescent="0.4">
      <c r="A2583" s="6">
        <v>2026</v>
      </c>
      <c r="B2583" s="6">
        <f t="shared" si="328"/>
        <v>27</v>
      </c>
      <c r="C2583" s="13" t="s">
        <v>23</v>
      </c>
      <c r="D2583" s="2" t="s">
        <v>12</v>
      </c>
      <c r="E2583" s="14" t="s">
        <v>14</v>
      </c>
      <c r="F2583" s="22"/>
      <c r="H2583" s="5" t="e">
        <f ca="1">_xlfn.FORMULATEXT(표1[[#This Row],[Q''ty]])</f>
        <v>#N/A</v>
      </c>
      <c r="I2583" s="26"/>
      <c r="J2583" s="26"/>
    </row>
    <row r="2584" spans="1:10" ht="15" hidden="1" customHeight="1" x14ac:dyDescent="0.4">
      <c r="A2584" s="6">
        <v>2026</v>
      </c>
      <c r="B2584" s="6">
        <f t="shared" si="328"/>
        <v>27</v>
      </c>
      <c r="C2584" s="13" t="s">
        <v>23</v>
      </c>
      <c r="D2584" s="2" t="s">
        <v>12</v>
      </c>
      <c r="E2584" s="14" t="s">
        <v>15</v>
      </c>
      <c r="F2584" s="22"/>
      <c r="H2584" s="5" t="e">
        <f ca="1">_xlfn.FORMULATEXT(표1[[#This Row],[Q''ty]])</f>
        <v>#N/A</v>
      </c>
    </row>
    <row r="2585" spans="1:10" ht="15" hidden="1" customHeight="1" x14ac:dyDescent="0.4">
      <c r="A2585" s="6">
        <v>2026</v>
      </c>
      <c r="B2585" s="6">
        <f t="shared" si="328"/>
        <v>27</v>
      </c>
      <c r="C2585" s="13" t="s">
        <v>23</v>
      </c>
      <c r="D2585" s="2" t="s">
        <v>12</v>
      </c>
      <c r="E2585" s="14" t="s">
        <v>16</v>
      </c>
      <c r="F2585" s="22"/>
      <c r="H2585" s="5" t="e">
        <f ca="1">_xlfn.FORMULATEXT(표1[[#This Row],[Q''ty]])</f>
        <v>#N/A</v>
      </c>
    </row>
    <row r="2586" spans="1:10" ht="15" hidden="1" customHeight="1" thickBot="1" x14ac:dyDescent="0.45">
      <c r="A2586" s="15">
        <v>2026</v>
      </c>
      <c r="B2586" s="15">
        <f t="shared" si="328"/>
        <v>27</v>
      </c>
      <c r="C2586" s="16" t="s">
        <v>23</v>
      </c>
      <c r="D2586" s="17" t="s">
        <v>12</v>
      </c>
      <c r="E2586" s="18" t="s">
        <v>17</v>
      </c>
      <c r="F2586" s="23"/>
      <c r="H2586" s="5" t="e">
        <f ca="1">_xlfn.FORMULATEXT(표1[[#This Row],[Q''ty]])</f>
        <v>#N/A</v>
      </c>
    </row>
    <row r="2587" spans="1:10" ht="15" hidden="1" customHeight="1" thickTop="1" x14ac:dyDescent="0.4">
      <c r="A2587" s="9">
        <v>2026</v>
      </c>
      <c r="B2587" s="9">
        <f t="shared" si="328"/>
        <v>27</v>
      </c>
      <c r="C2587" s="10" t="s">
        <v>29</v>
      </c>
      <c r="D2587" s="11" t="s">
        <v>6</v>
      </c>
      <c r="E2587" s="12" t="s">
        <v>7</v>
      </c>
      <c r="F2587" s="21">
        <f t="shared" ref="F2587:F2592" si="329">F2488</f>
        <v>14</v>
      </c>
      <c r="H2587" s="5" t="str">
        <f ca="1">_xlfn.FORMULATEXT(표1[[#This Row],[Q''ty]])</f>
        <v>=F2488</v>
      </c>
    </row>
    <row r="2588" spans="1:10" s="2" customFormat="1" ht="15" hidden="1" customHeight="1" x14ac:dyDescent="0.4">
      <c r="A2588" s="6">
        <v>2026</v>
      </c>
      <c r="B2588" s="6">
        <f t="shared" si="328"/>
        <v>27</v>
      </c>
      <c r="C2588" s="13" t="s">
        <v>24</v>
      </c>
      <c r="D2588" s="2" t="s">
        <v>6</v>
      </c>
      <c r="E2588" s="14" t="s">
        <v>8</v>
      </c>
      <c r="F2588" s="22">
        <f t="shared" si="329"/>
        <v>8</v>
      </c>
      <c r="H2588" s="5" t="str">
        <f ca="1">_xlfn.FORMULATEXT(표1[[#This Row],[Q''ty]])</f>
        <v>=F2489</v>
      </c>
      <c r="I2588" s="26"/>
      <c r="J2588" s="26"/>
    </row>
    <row r="2589" spans="1:10" s="2" customFormat="1" ht="15" hidden="1" customHeight="1" x14ac:dyDescent="0.4">
      <c r="A2589" s="6">
        <v>2026</v>
      </c>
      <c r="B2589" s="6">
        <f t="shared" si="328"/>
        <v>27</v>
      </c>
      <c r="C2589" s="13" t="s">
        <v>24</v>
      </c>
      <c r="D2589" s="2" t="s">
        <v>6</v>
      </c>
      <c r="E2589" s="14" t="s">
        <v>9</v>
      </c>
      <c r="F2589" s="22">
        <f t="shared" si="329"/>
        <v>4</v>
      </c>
      <c r="H2589" s="5" t="str">
        <f ca="1">_xlfn.FORMULATEXT(표1[[#This Row],[Q''ty]])</f>
        <v>=F2490</v>
      </c>
      <c r="I2589" s="26"/>
      <c r="J2589" s="26"/>
    </row>
    <row r="2590" spans="1:10" ht="15" hidden="1" customHeight="1" x14ac:dyDescent="0.4">
      <c r="A2590" s="6">
        <v>2026</v>
      </c>
      <c r="B2590" s="6">
        <f t="shared" si="328"/>
        <v>27</v>
      </c>
      <c r="C2590" s="13" t="s">
        <v>24</v>
      </c>
      <c r="D2590" s="2" t="s">
        <v>6</v>
      </c>
      <c r="E2590" s="14" t="s">
        <v>27</v>
      </c>
      <c r="F2590" s="22">
        <f t="shared" si="329"/>
        <v>3</v>
      </c>
      <c r="H2590" s="5" t="str">
        <f ca="1">_xlfn.FORMULATEXT(표1[[#This Row],[Q''ty]])</f>
        <v>=F2491</v>
      </c>
    </row>
    <row r="2591" spans="1:10" ht="15" hidden="1" customHeight="1" x14ac:dyDescent="0.4">
      <c r="A2591" s="6">
        <v>2026</v>
      </c>
      <c r="B2591" s="6">
        <f t="shared" si="328"/>
        <v>27</v>
      </c>
      <c r="C2591" s="13" t="s">
        <v>24</v>
      </c>
      <c r="D2591" s="2" t="s">
        <v>6</v>
      </c>
      <c r="E2591" s="14" t="s">
        <v>10</v>
      </c>
      <c r="F2591" s="22">
        <f t="shared" si="329"/>
        <v>6</v>
      </c>
      <c r="H2591" s="5" t="str">
        <f ca="1">_xlfn.FORMULATEXT(표1[[#This Row],[Q''ty]])</f>
        <v>=F2492</v>
      </c>
    </row>
    <row r="2592" spans="1:10" ht="15" hidden="1" customHeight="1" x14ac:dyDescent="0.4">
      <c r="A2592" s="6">
        <v>2026</v>
      </c>
      <c r="B2592" s="6">
        <f t="shared" si="328"/>
        <v>27</v>
      </c>
      <c r="C2592" s="13" t="s">
        <v>24</v>
      </c>
      <c r="D2592" s="2" t="s">
        <v>6</v>
      </c>
      <c r="E2592" s="14" t="s">
        <v>11</v>
      </c>
      <c r="F2592" s="22">
        <f t="shared" si="329"/>
        <v>8.8000000000000007</v>
      </c>
      <c r="H2592" s="5" t="str">
        <f ca="1">_xlfn.FORMULATEXT(표1[[#This Row],[Q''ty]])</f>
        <v>=F2493</v>
      </c>
    </row>
    <row r="2593" spans="1:10" ht="15" hidden="1" customHeight="1" x14ac:dyDescent="0.4">
      <c r="A2593" s="6">
        <v>2026</v>
      </c>
      <c r="B2593" s="6">
        <f t="shared" si="328"/>
        <v>27</v>
      </c>
      <c r="C2593" s="13" t="s">
        <v>24</v>
      </c>
      <c r="D2593" s="2" t="s">
        <v>12</v>
      </c>
      <c r="E2593" s="14" t="s">
        <v>13</v>
      </c>
      <c r="F2593" s="22"/>
      <c r="H2593" s="5" t="e">
        <f ca="1">_xlfn.FORMULATEXT(표1[[#This Row],[Q''ty]])</f>
        <v>#N/A</v>
      </c>
    </row>
    <row r="2594" spans="1:10" s="2" customFormat="1" ht="15" hidden="1" customHeight="1" x14ac:dyDescent="0.4">
      <c r="A2594" s="6">
        <v>2026</v>
      </c>
      <c r="B2594" s="6">
        <f t="shared" si="328"/>
        <v>27</v>
      </c>
      <c r="C2594" s="13" t="s">
        <v>24</v>
      </c>
      <c r="D2594" s="2" t="s">
        <v>12</v>
      </c>
      <c r="E2594" s="14" t="s">
        <v>14</v>
      </c>
      <c r="F2594" s="22"/>
      <c r="H2594" s="5" t="e">
        <f ca="1">_xlfn.FORMULATEXT(표1[[#This Row],[Q''ty]])</f>
        <v>#N/A</v>
      </c>
      <c r="I2594" s="26"/>
      <c r="J2594" s="26"/>
    </row>
    <row r="2595" spans="1:10" ht="15" hidden="1" customHeight="1" x14ac:dyDescent="0.4">
      <c r="A2595" s="6">
        <v>2026</v>
      </c>
      <c r="B2595" s="6">
        <f t="shared" si="328"/>
        <v>27</v>
      </c>
      <c r="C2595" s="13" t="s">
        <v>24</v>
      </c>
      <c r="D2595" s="2" t="s">
        <v>12</v>
      </c>
      <c r="E2595" s="14" t="s">
        <v>15</v>
      </c>
      <c r="F2595" s="22"/>
      <c r="H2595" s="5" t="e">
        <f ca="1">_xlfn.FORMULATEXT(표1[[#This Row],[Q''ty]])</f>
        <v>#N/A</v>
      </c>
    </row>
    <row r="2596" spans="1:10" ht="15" hidden="1" customHeight="1" x14ac:dyDescent="0.4">
      <c r="A2596" s="6">
        <v>2026</v>
      </c>
      <c r="B2596" s="6">
        <f t="shared" si="328"/>
        <v>27</v>
      </c>
      <c r="C2596" s="13" t="s">
        <v>24</v>
      </c>
      <c r="D2596" s="2" t="s">
        <v>12</v>
      </c>
      <c r="E2596" s="14" t="s">
        <v>16</v>
      </c>
      <c r="F2596" s="22"/>
      <c r="H2596" s="5" t="e">
        <f ca="1">_xlfn.FORMULATEXT(표1[[#This Row],[Q''ty]])</f>
        <v>#N/A</v>
      </c>
    </row>
    <row r="2597" spans="1:10" ht="15" hidden="1" customHeight="1" thickBot="1" x14ac:dyDescent="0.45">
      <c r="A2597" s="15">
        <v>2026</v>
      </c>
      <c r="B2597" s="15">
        <f t="shared" si="328"/>
        <v>27</v>
      </c>
      <c r="C2597" s="16" t="s">
        <v>24</v>
      </c>
      <c r="D2597" s="17" t="s">
        <v>12</v>
      </c>
      <c r="E2597" s="18" t="s">
        <v>17</v>
      </c>
      <c r="F2597" s="23"/>
      <c r="H2597" s="5" t="e">
        <f ca="1">_xlfn.FORMULATEXT(표1[[#This Row],[Q''ty]])</f>
        <v>#N/A</v>
      </c>
    </row>
    <row r="2598" spans="1:10" ht="15" hidden="1" customHeight="1" thickTop="1" x14ac:dyDescent="0.4">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10" ht="15" hidden="1" customHeight="1" x14ac:dyDescent="0.4">
      <c r="A2599" s="6">
        <v>2026</v>
      </c>
      <c r="B2599" s="6">
        <f t="shared" si="328"/>
        <v>27</v>
      </c>
      <c r="C2599" s="13" t="s">
        <v>18</v>
      </c>
      <c r="D2599" s="2" t="s">
        <v>6</v>
      </c>
      <c r="E2599" s="14" t="str">
        <f t="shared" si="330"/>
        <v>Paint Booth</v>
      </c>
      <c r="F2599" s="22">
        <f t="shared" si="330"/>
        <v>3</v>
      </c>
      <c r="H2599" s="5" t="str">
        <f ca="1">_xlfn.FORMULATEXT(표1[[#This Row],[Q''ty]])</f>
        <v>=F2500</v>
      </c>
    </row>
    <row r="2600" spans="1:10" ht="15" hidden="1" customHeight="1" x14ac:dyDescent="0.4">
      <c r="A2600" s="6">
        <v>2026</v>
      </c>
      <c r="B2600" s="6">
        <f t="shared" si="328"/>
        <v>27</v>
      </c>
      <c r="C2600" s="13" t="s">
        <v>18</v>
      </c>
      <c r="D2600" s="2" t="s">
        <v>6</v>
      </c>
      <c r="E2600" s="14" t="str">
        <f t="shared" si="330"/>
        <v>Paint Line</v>
      </c>
      <c r="F2600" s="22">
        <f t="shared" si="330"/>
        <v>2</v>
      </c>
      <c r="H2600" s="5" t="str">
        <f ca="1">_xlfn.FORMULATEXT(표1[[#This Row],[Q''ty]])</f>
        <v>=F2501</v>
      </c>
    </row>
    <row r="2601" spans="1:10" ht="15" hidden="1" customHeight="1" x14ac:dyDescent="0.4">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10" ht="15" hidden="1" customHeight="1" x14ac:dyDescent="0.4">
      <c r="A2602" s="6">
        <v>2026</v>
      </c>
      <c r="B2602" s="6">
        <f t="shared" si="328"/>
        <v>27</v>
      </c>
      <c r="C2602" s="13" t="s">
        <v>18</v>
      </c>
      <c r="D2602" s="2" t="s">
        <v>6</v>
      </c>
      <c r="E2602" s="14" t="str">
        <f t="shared" si="330"/>
        <v>L/W Machine</v>
      </c>
      <c r="F2602" s="22">
        <f t="shared" si="330"/>
        <v>2</v>
      </c>
      <c r="H2602" s="5" t="str">
        <f ca="1">_xlfn.FORMULATEXT(표1[[#This Row],[Q''ty]])</f>
        <v>=F2503</v>
      </c>
    </row>
    <row r="2603" spans="1:10" ht="15" hidden="1" customHeight="1" x14ac:dyDescent="0.4">
      <c r="A2603" s="6">
        <v>2026</v>
      </c>
      <c r="B2603" s="6">
        <f t="shared" si="328"/>
        <v>27</v>
      </c>
      <c r="C2603" s="13" t="s">
        <v>18</v>
      </c>
      <c r="D2603" s="2" t="s">
        <v>6</v>
      </c>
      <c r="E2603" s="14" t="str">
        <f t="shared" si="330"/>
        <v>C/W Machine</v>
      </c>
      <c r="F2603" s="22">
        <f t="shared" si="330"/>
        <v>3</v>
      </c>
      <c r="H2603" s="5" t="str">
        <f ca="1">_xlfn.FORMULATEXT(표1[[#This Row],[Q''ty]])</f>
        <v>=F2504</v>
      </c>
    </row>
    <row r="2604" spans="1:10" ht="15" hidden="1" customHeight="1" x14ac:dyDescent="0.4">
      <c r="A2604" s="6">
        <v>2026</v>
      </c>
      <c r="B2604" s="6">
        <f t="shared" si="328"/>
        <v>27</v>
      </c>
      <c r="C2604" s="13" t="s">
        <v>18</v>
      </c>
      <c r="D2604" s="2" t="s">
        <v>12</v>
      </c>
      <c r="E2604" s="14" t="str">
        <f t="shared" ref="E2604:E2619" si="331">E2505</f>
        <v>BT GT</v>
      </c>
      <c r="F2604" s="22"/>
      <c r="H2604" s="5" t="e">
        <f ca="1">_xlfn.FORMULATEXT(표1[[#This Row],[Q''ty]])</f>
        <v>#N/A</v>
      </c>
    </row>
    <row r="2605" spans="1:10" ht="15" hidden="1" customHeight="1" x14ac:dyDescent="0.4">
      <c r="A2605" s="6">
        <v>2026</v>
      </c>
      <c r="B2605" s="6">
        <f t="shared" si="328"/>
        <v>27</v>
      </c>
      <c r="C2605" s="13" t="s">
        <v>18</v>
      </c>
      <c r="D2605" s="2" t="s">
        <v>12</v>
      </c>
      <c r="E2605" s="14" t="str">
        <f t="shared" si="331"/>
        <v>WT GT</v>
      </c>
      <c r="F2605" s="22"/>
      <c r="H2605" s="5" t="e">
        <f ca="1">_xlfn.FORMULATEXT(표1[[#This Row],[Q''ty]])</f>
        <v>#N/A</v>
      </c>
    </row>
    <row r="2606" spans="1:10" ht="15" hidden="1" customHeight="1" x14ac:dyDescent="0.4">
      <c r="A2606" s="6">
        <v>2026</v>
      </c>
      <c r="B2606" s="6">
        <f t="shared" si="328"/>
        <v>27</v>
      </c>
      <c r="C2606" s="13" t="s">
        <v>18</v>
      </c>
      <c r="D2606" s="2" t="s">
        <v>12</v>
      </c>
      <c r="E2606" s="14" t="str">
        <f t="shared" si="331"/>
        <v>Bending</v>
      </c>
      <c r="F2606" s="22"/>
      <c r="H2606" s="5" t="e">
        <f ca="1">_xlfn.FORMULATEXT(표1[[#This Row],[Q''ty]])</f>
        <v>#N/A</v>
      </c>
    </row>
    <row r="2607" spans="1:10" ht="15" hidden="1" customHeight="1" x14ac:dyDescent="0.4">
      <c r="A2607" s="6">
        <v>2026</v>
      </c>
      <c r="B2607" s="6">
        <f t="shared" si="328"/>
        <v>27</v>
      </c>
      <c r="C2607" s="13" t="s">
        <v>18</v>
      </c>
      <c r="D2607" s="2" t="s">
        <v>12</v>
      </c>
      <c r="E2607" s="14" t="str">
        <f t="shared" si="331"/>
        <v>L/W</v>
      </c>
      <c r="F2607" s="22"/>
      <c r="H2607" s="5" t="e">
        <f ca="1">_xlfn.FORMULATEXT(표1[[#This Row],[Q''ty]])</f>
        <v>#N/A</v>
      </c>
    </row>
    <row r="2608" spans="1:10" ht="15" hidden="1" customHeight="1" thickBot="1" x14ac:dyDescent="0.45">
      <c r="A2608" s="15">
        <v>2026</v>
      </c>
      <c r="B2608" s="15">
        <f t="shared" si="328"/>
        <v>27</v>
      </c>
      <c r="C2608" s="16" t="s">
        <v>18</v>
      </c>
      <c r="D2608" s="17" t="s">
        <v>12</v>
      </c>
      <c r="E2608" s="18" t="str">
        <f t="shared" si="331"/>
        <v>C/W</v>
      </c>
      <c r="F2608" s="23"/>
      <c r="H2608" s="5" t="e">
        <f ca="1">_xlfn.FORMULATEXT(표1[[#This Row],[Q''ty]])</f>
        <v>#N/A</v>
      </c>
    </row>
    <row r="2609" spans="1:8" ht="15" hidden="1" customHeight="1" thickTop="1" x14ac:dyDescent="0.4">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hidden="1" customHeight="1" x14ac:dyDescent="0.4">
      <c r="A2610" s="6">
        <v>2026</v>
      </c>
      <c r="B2610" s="6">
        <f t="shared" si="328"/>
        <v>27</v>
      </c>
      <c r="C2610" s="13" t="s">
        <v>19</v>
      </c>
      <c r="D2610" s="2" t="s">
        <v>6</v>
      </c>
      <c r="E2610" s="14" t="str">
        <f t="shared" si="331"/>
        <v>Paint Booth</v>
      </c>
      <c r="F2610" s="22">
        <f t="shared" si="332"/>
        <v>22</v>
      </c>
      <c r="H2610" s="5" t="str">
        <f ca="1">_xlfn.FORMULATEXT(표1[[#This Row],[Q''ty]])</f>
        <v>=F2511</v>
      </c>
    </row>
    <row r="2611" spans="1:8" ht="15" hidden="1" customHeight="1" x14ac:dyDescent="0.4">
      <c r="A2611" s="6">
        <v>2026</v>
      </c>
      <c r="B2611" s="6">
        <f t="shared" si="328"/>
        <v>27</v>
      </c>
      <c r="C2611" s="13" t="s">
        <v>19</v>
      </c>
      <c r="D2611" s="2" t="s">
        <v>6</v>
      </c>
      <c r="E2611" s="14" t="str">
        <f t="shared" si="331"/>
        <v>Paint Line</v>
      </c>
      <c r="F2611" s="22">
        <f t="shared" si="332"/>
        <v>6</v>
      </c>
      <c r="H2611" s="5" t="str">
        <f ca="1">_xlfn.FORMULATEXT(표1[[#This Row],[Q''ty]])</f>
        <v>=F2512</v>
      </c>
    </row>
    <row r="2612" spans="1:8" ht="15" hidden="1" customHeight="1" x14ac:dyDescent="0.4">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hidden="1" customHeight="1" x14ac:dyDescent="0.4">
      <c r="A2613" s="6">
        <v>2026</v>
      </c>
      <c r="B2613" s="6">
        <f t="shared" si="328"/>
        <v>27</v>
      </c>
      <c r="C2613" s="13" t="s">
        <v>19</v>
      </c>
      <c r="D2613" s="2" t="s">
        <v>6</v>
      </c>
      <c r="E2613" s="14" t="str">
        <f t="shared" si="331"/>
        <v>L/W Machine</v>
      </c>
      <c r="F2613" s="22">
        <f t="shared" si="332"/>
        <v>10</v>
      </c>
      <c r="H2613" s="5" t="str">
        <f ca="1">_xlfn.FORMULATEXT(표1[[#This Row],[Q''ty]])</f>
        <v>=F2514</v>
      </c>
    </row>
    <row r="2614" spans="1:8" ht="15" hidden="1" customHeight="1" x14ac:dyDescent="0.4">
      <c r="A2614" s="6">
        <v>2026</v>
      </c>
      <c r="B2614" s="6">
        <f t="shared" si="328"/>
        <v>27</v>
      </c>
      <c r="C2614" s="13" t="s">
        <v>19</v>
      </c>
      <c r="D2614" s="2" t="s">
        <v>6</v>
      </c>
      <c r="E2614" s="14" t="str">
        <f t="shared" si="331"/>
        <v>C/W Machine</v>
      </c>
      <c r="F2614" s="22">
        <f t="shared" si="332"/>
        <v>12</v>
      </c>
      <c r="H2614" s="5" t="str">
        <f ca="1">_xlfn.FORMULATEXT(표1[[#This Row],[Q''ty]])</f>
        <v>=F2515</v>
      </c>
    </row>
    <row r="2615" spans="1:8" ht="15" hidden="1" customHeight="1" x14ac:dyDescent="0.4">
      <c r="A2615" s="6">
        <v>2026</v>
      </c>
      <c r="B2615" s="6">
        <f t="shared" si="328"/>
        <v>27</v>
      </c>
      <c r="C2615" s="13" t="s">
        <v>19</v>
      </c>
      <c r="D2615" s="2" t="s">
        <v>12</v>
      </c>
      <c r="E2615" s="14" t="str">
        <f t="shared" si="331"/>
        <v>BT GT</v>
      </c>
      <c r="F2615" s="22"/>
      <c r="H2615" s="5" t="e">
        <f ca="1">_xlfn.FORMULATEXT(표1[[#This Row],[Q''ty]])</f>
        <v>#N/A</v>
      </c>
    </row>
    <row r="2616" spans="1:8" ht="15" hidden="1" customHeight="1" x14ac:dyDescent="0.4">
      <c r="A2616" s="6">
        <v>2026</v>
      </c>
      <c r="B2616" s="6">
        <f t="shared" si="328"/>
        <v>27</v>
      </c>
      <c r="C2616" s="13" t="s">
        <v>19</v>
      </c>
      <c r="D2616" s="2" t="s">
        <v>12</v>
      </c>
      <c r="E2616" s="14" t="str">
        <f t="shared" si="331"/>
        <v>WT GT</v>
      </c>
      <c r="F2616" s="22"/>
      <c r="H2616" s="5" t="e">
        <f ca="1">_xlfn.FORMULATEXT(표1[[#This Row],[Q''ty]])</f>
        <v>#N/A</v>
      </c>
    </row>
    <row r="2617" spans="1:8" ht="15" hidden="1" customHeight="1" x14ac:dyDescent="0.4">
      <c r="A2617" s="6">
        <v>2026</v>
      </c>
      <c r="B2617" s="6">
        <f t="shared" si="328"/>
        <v>27</v>
      </c>
      <c r="C2617" s="13" t="s">
        <v>19</v>
      </c>
      <c r="D2617" s="2" t="s">
        <v>12</v>
      </c>
      <c r="E2617" s="14" t="str">
        <f t="shared" si="331"/>
        <v>Bending</v>
      </c>
      <c r="F2617" s="22"/>
      <c r="H2617" s="5" t="e">
        <f ca="1">_xlfn.FORMULATEXT(표1[[#This Row],[Q''ty]])</f>
        <v>#N/A</v>
      </c>
    </row>
    <row r="2618" spans="1:8" ht="15" hidden="1" customHeight="1" x14ac:dyDescent="0.4">
      <c r="A2618" s="6">
        <v>2026</v>
      </c>
      <c r="B2618" s="6">
        <f t="shared" si="328"/>
        <v>27</v>
      </c>
      <c r="C2618" s="13" t="s">
        <v>19</v>
      </c>
      <c r="D2618" s="2" t="s">
        <v>12</v>
      </c>
      <c r="E2618" s="14" t="str">
        <f t="shared" si="331"/>
        <v>L/W</v>
      </c>
      <c r="F2618" s="22"/>
      <c r="H2618" s="5" t="e">
        <f ca="1">_xlfn.FORMULATEXT(표1[[#This Row],[Q''ty]])</f>
        <v>#N/A</v>
      </c>
    </row>
    <row r="2619" spans="1:8" ht="15" hidden="1" customHeight="1" thickBot="1" x14ac:dyDescent="0.45">
      <c r="A2619" s="15">
        <v>2026</v>
      </c>
      <c r="B2619" s="15">
        <f t="shared" si="328"/>
        <v>27</v>
      </c>
      <c r="C2619" s="16" t="s">
        <v>19</v>
      </c>
      <c r="D2619" s="17" t="s">
        <v>12</v>
      </c>
      <c r="E2619" s="18" t="str">
        <f t="shared" si="331"/>
        <v>C/W</v>
      </c>
      <c r="F2619" s="23"/>
      <c r="H2619" s="5" t="e">
        <f ca="1">_xlfn.FORMULATEXT(표1[[#This Row],[Q''ty]])</f>
        <v>#N/A</v>
      </c>
    </row>
    <row r="2620" spans="1:8" ht="15" hidden="1" customHeight="1" thickTop="1" x14ac:dyDescent="0.4">
      <c r="A2620" s="6">
        <v>2026</v>
      </c>
      <c r="B2620" s="6">
        <f t="shared" si="328"/>
        <v>27</v>
      </c>
      <c r="C2620" s="13" t="s">
        <v>25</v>
      </c>
      <c r="D2620" s="2" t="s">
        <v>6</v>
      </c>
      <c r="E2620" s="14" t="s">
        <v>7</v>
      </c>
      <c r="F2620" s="22">
        <f t="shared" ref="F2620:F2625" si="333">F2521</f>
        <v>3</v>
      </c>
      <c r="H2620" s="5" t="str">
        <f ca="1">_xlfn.FORMULATEXT(표1[[#This Row],[Q''ty]])</f>
        <v>=F2521</v>
      </c>
    </row>
    <row r="2621" spans="1:8" ht="15" hidden="1" customHeight="1" x14ac:dyDescent="0.4">
      <c r="A2621" s="6">
        <v>2026</v>
      </c>
      <c r="B2621" s="6">
        <f t="shared" si="328"/>
        <v>27</v>
      </c>
      <c r="C2621" s="13" t="s">
        <v>25</v>
      </c>
      <c r="D2621" s="2" t="s">
        <v>6</v>
      </c>
      <c r="E2621" s="14" t="s">
        <v>8</v>
      </c>
      <c r="F2621" s="22">
        <f t="shared" si="333"/>
        <v>3</v>
      </c>
      <c r="H2621" s="5" t="str">
        <f ca="1">_xlfn.FORMULATEXT(표1[[#This Row],[Q''ty]])</f>
        <v>=F2522</v>
      </c>
    </row>
    <row r="2622" spans="1:8" ht="15" hidden="1" customHeight="1" x14ac:dyDescent="0.4">
      <c r="A2622" s="6">
        <v>2026</v>
      </c>
      <c r="B2622" s="6">
        <f t="shared" si="328"/>
        <v>27</v>
      </c>
      <c r="C2622" s="13" t="s">
        <v>25</v>
      </c>
      <c r="D2622" s="2" t="s">
        <v>6</v>
      </c>
      <c r="E2622" s="14" t="s">
        <v>9</v>
      </c>
      <c r="F2622" s="22">
        <f t="shared" si="333"/>
        <v>2</v>
      </c>
      <c r="H2622" s="5" t="str">
        <f ca="1">_xlfn.FORMULATEXT(표1[[#This Row],[Q''ty]])</f>
        <v>=F2523</v>
      </c>
    </row>
    <row r="2623" spans="1:8" ht="15" hidden="1" customHeight="1" x14ac:dyDescent="0.4">
      <c r="A2623" s="6">
        <v>2026</v>
      </c>
      <c r="B2623" s="6">
        <f t="shared" si="328"/>
        <v>27</v>
      </c>
      <c r="C2623" s="13" t="s">
        <v>25</v>
      </c>
      <c r="D2623" s="2" t="s">
        <v>6</v>
      </c>
      <c r="E2623" s="14" t="s">
        <v>27</v>
      </c>
      <c r="F2623" s="22">
        <f t="shared" si="333"/>
        <v>2</v>
      </c>
      <c r="H2623" s="5" t="str">
        <f ca="1">_xlfn.FORMULATEXT(표1[[#This Row],[Q''ty]])</f>
        <v>=F2524</v>
      </c>
    </row>
    <row r="2624" spans="1:8" ht="15" hidden="1" customHeight="1" x14ac:dyDescent="0.4">
      <c r="A2624" s="6">
        <v>2026</v>
      </c>
      <c r="B2624" s="6">
        <f t="shared" si="328"/>
        <v>27</v>
      </c>
      <c r="C2624" s="13" t="s">
        <v>25</v>
      </c>
      <c r="D2624" s="2" t="s">
        <v>6</v>
      </c>
      <c r="E2624" s="14" t="s">
        <v>10</v>
      </c>
      <c r="F2624" s="22">
        <f t="shared" si="333"/>
        <v>3</v>
      </c>
      <c r="H2624" s="5" t="str">
        <f ca="1">_xlfn.FORMULATEXT(표1[[#This Row],[Q''ty]])</f>
        <v>=F2525</v>
      </c>
    </row>
    <row r="2625" spans="1:8" ht="15" hidden="1" customHeight="1" x14ac:dyDescent="0.4">
      <c r="A2625" s="6">
        <v>2026</v>
      </c>
      <c r="B2625" s="6">
        <f t="shared" si="328"/>
        <v>27</v>
      </c>
      <c r="C2625" s="13" t="s">
        <v>25</v>
      </c>
      <c r="D2625" s="2" t="s">
        <v>6</v>
      </c>
      <c r="E2625" s="14" t="s">
        <v>11</v>
      </c>
      <c r="F2625" s="22">
        <f t="shared" si="333"/>
        <v>4</v>
      </c>
      <c r="H2625" s="5" t="str">
        <f ca="1">_xlfn.FORMULATEXT(표1[[#This Row],[Q''ty]])</f>
        <v>=F2526</v>
      </c>
    </row>
    <row r="2626" spans="1:8" ht="15" hidden="1" customHeight="1" x14ac:dyDescent="0.4">
      <c r="A2626" s="6">
        <v>2026</v>
      </c>
      <c r="B2626" s="6">
        <f t="shared" si="328"/>
        <v>27</v>
      </c>
      <c r="C2626" s="13" t="s">
        <v>25</v>
      </c>
      <c r="D2626" s="2" t="s">
        <v>12</v>
      </c>
      <c r="E2626" s="14" t="s">
        <v>13</v>
      </c>
      <c r="F2626" s="22"/>
      <c r="H2626" s="5" t="e">
        <f ca="1">_xlfn.FORMULATEXT(표1[[#This Row],[Q''ty]])</f>
        <v>#N/A</v>
      </c>
    </row>
    <row r="2627" spans="1:8" ht="15" hidden="1" customHeight="1" x14ac:dyDescent="0.4">
      <c r="A2627" s="6">
        <v>2026</v>
      </c>
      <c r="B2627" s="6">
        <f t="shared" si="328"/>
        <v>27</v>
      </c>
      <c r="C2627" s="13" t="s">
        <v>25</v>
      </c>
      <c r="D2627" s="2" t="s">
        <v>12</v>
      </c>
      <c r="E2627" s="14" t="s">
        <v>14</v>
      </c>
      <c r="F2627" s="22"/>
      <c r="H2627" s="5" t="e">
        <f ca="1">_xlfn.FORMULATEXT(표1[[#This Row],[Q''ty]])</f>
        <v>#N/A</v>
      </c>
    </row>
    <row r="2628" spans="1:8" ht="15" hidden="1" customHeight="1" x14ac:dyDescent="0.4">
      <c r="A2628" s="6">
        <v>2026</v>
      </c>
      <c r="B2628" s="6">
        <f t="shared" si="328"/>
        <v>27</v>
      </c>
      <c r="C2628" s="13" t="s">
        <v>25</v>
      </c>
      <c r="D2628" s="2" t="s">
        <v>12</v>
      </c>
      <c r="E2628" s="14" t="s">
        <v>15</v>
      </c>
      <c r="F2628" s="22"/>
      <c r="H2628" s="5" t="e">
        <f ca="1">_xlfn.FORMULATEXT(표1[[#This Row],[Q''ty]])</f>
        <v>#N/A</v>
      </c>
    </row>
    <row r="2629" spans="1:8" ht="15" hidden="1" customHeight="1" x14ac:dyDescent="0.4">
      <c r="A2629" s="6">
        <v>2026</v>
      </c>
      <c r="B2629" s="6">
        <f t="shared" si="328"/>
        <v>27</v>
      </c>
      <c r="C2629" s="13" t="s">
        <v>25</v>
      </c>
      <c r="D2629" s="2" t="s">
        <v>12</v>
      </c>
      <c r="E2629" s="14" t="s">
        <v>16</v>
      </c>
      <c r="F2629" s="22"/>
      <c r="H2629" s="5" t="e">
        <f ca="1">_xlfn.FORMULATEXT(표1[[#This Row],[Q''ty]])</f>
        <v>#N/A</v>
      </c>
    </row>
    <row r="2630" spans="1:8" ht="15" hidden="1" customHeight="1" thickBot="1" x14ac:dyDescent="0.45">
      <c r="A2630" s="15">
        <v>2026</v>
      </c>
      <c r="B2630" s="15">
        <f t="shared" si="328"/>
        <v>27</v>
      </c>
      <c r="C2630" s="16" t="s">
        <v>25</v>
      </c>
      <c r="D2630" s="17" t="s">
        <v>12</v>
      </c>
      <c r="E2630" s="18" t="s">
        <v>17</v>
      </c>
      <c r="F2630" s="23"/>
      <c r="H2630" s="5" t="e">
        <f ca="1">_xlfn.FORMULATEXT(표1[[#This Row],[Q''ty]])</f>
        <v>#N/A</v>
      </c>
    </row>
    <row r="2631" spans="1:8" ht="15" hidden="1" customHeight="1" thickTop="1" x14ac:dyDescent="0.4">
      <c r="A2631" s="6">
        <v>2026</v>
      </c>
      <c r="B2631" s="6">
        <f t="shared" si="328"/>
        <v>27</v>
      </c>
      <c r="C2631" s="13" t="s">
        <v>26</v>
      </c>
      <c r="D2631" s="2" t="s">
        <v>6</v>
      </c>
      <c r="E2631" s="14" t="s">
        <v>7</v>
      </c>
      <c r="F2631" s="22">
        <f t="shared" ref="F2631:F2636" si="334">F2532</f>
        <v>6</v>
      </c>
      <c r="H2631" s="5" t="str">
        <f ca="1">_xlfn.FORMULATEXT(표1[[#This Row],[Q''ty]])</f>
        <v>=F2532</v>
      </c>
    </row>
    <row r="2632" spans="1:8" ht="15" hidden="1" customHeight="1" x14ac:dyDescent="0.4">
      <c r="A2632" s="6">
        <v>2026</v>
      </c>
      <c r="B2632" s="6">
        <f t="shared" si="328"/>
        <v>27</v>
      </c>
      <c r="C2632" s="13" t="s">
        <v>26</v>
      </c>
      <c r="D2632" s="2" t="s">
        <v>6</v>
      </c>
      <c r="E2632" s="14" t="s">
        <v>8</v>
      </c>
      <c r="F2632" s="22">
        <f t="shared" si="334"/>
        <v>4</v>
      </c>
      <c r="H2632" s="5" t="str">
        <f ca="1">_xlfn.FORMULATEXT(표1[[#This Row],[Q''ty]])</f>
        <v>=F2533</v>
      </c>
    </row>
    <row r="2633" spans="1:8" ht="15" hidden="1" customHeight="1" x14ac:dyDescent="0.4">
      <c r="A2633" s="6">
        <v>2026</v>
      </c>
      <c r="B2633" s="6">
        <f t="shared" si="328"/>
        <v>27</v>
      </c>
      <c r="C2633" s="13" t="s">
        <v>26</v>
      </c>
      <c r="D2633" s="2" t="s">
        <v>6</v>
      </c>
      <c r="E2633" s="14" t="s">
        <v>9</v>
      </c>
      <c r="F2633" s="22">
        <f t="shared" si="334"/>
        <v>2</v>
      </c>
      <c r="H2633" s="5" t="str">
        <f ca="1">_xlfn.FORMULATEXT(표1[[#This Row],[Q''ty]])</f>
        <v>=F2534</v>
      </c>
    </row>
    <row r="2634" spans="1:8" ht="15" hidden="1" customHeight="1" x14ac:dyDescent="0.4">
      <c r="A2634" s="6">
        <v>2026</v>
      </c>
      <c r="B2634" s="6">
        <f t="shared" si="328"/>
        <v>27</v>
      </c>
      <c r="C2634" s="13" t="s">
        <v>26</v>
      </c>
      <c r="D2634" s="2" t="s">
        <v>6</v>
      </c>
      <c r="E2634" s="14" t="s">
        <v>27</v>
      </c>
      <c r="F2634" s="22">
        <f t="shared" si="334"/>
        <v>3</v>
      </c>
      <c r="H2634" s="5" t="str">
        <f ca="1">_xlfn.FORMULATEXT(표1[[#This Row],[Q''ty]])</f>
        <v>=F2535</v>
      </c>
    </row>
    <row r="2635" spans="1:8" ht="15" hidden="1" customHeight="1" x14ac:dyDescent="0.4">
      <c r="A2635" s="6">
        <v>2026</v>
      </c>
      <c r="B2635" s="6">
        <f t="shared" si="328"/>
        <v>27</v>
      </c>
      <c r="C2635" s="13" t="s">
        <v>26</v>
      </c>
      <c r="D2635" s="2" t="s">
        <v>6</v>
      </c>
      <c r="E2635" s="14" t="s">
        <v>10</v>
      </c>
      <c r="F2635" s="22">
        <f t="shared" si="334"/>
        <v>4</v>
      </c>
      <c r="H2635" s="5" t="str">
        <f ca="1">_xlfn.FORMULATEXT(표1[[#This Row],[Q''ty]])</f>
        <v>=F2536</v>
      </c>
    </row>
    <row r="2636" spans="1:8" ht="15" hidden="1" customHeight="1" x14ac:dyDescent="0.4">
      <c r="A2636" s="6">
        <v>2026</v>
      </c>
      <c r="B2636" s="6">
        <f t="shared" si="328"/>
        <v>27</v>
      </c>
      <c r="C2636" s="13" t="s">
        <v>26</v>
      </c>
      <c r="D2636" s="2" t="s">
        <v>6</v>
      </c>
      <c r="E2636" s="14" t="s">
        <v>11</v>
      </c>
      <c r="F2636" s="22">
        <f t="shared" si="334"/>
        <v>6</v>
      </c>
      <c r="H2636" s="5" t="str">
        <f ca="1">_xlfn.FORMULATEXT(표1[[#This Row],[Q''ty]])</f>
        <v>=F2537</v>
      </c>
    </row>
    <row r="2637" spans="1:8" ht="15" hidden="1" customHeight="1" x14ac:dyDescent="0.4">
      <c r="A2637" s="6">
        <v>2026</v>
      </c>
      <c r="B2637" s="6">
        <f t="shared" si="328"/>
        <v>27</v>
      </c>
      <c r="C2637" s="13" t="s">
        <v>26</v>
      </c>
      <c r="D2637" s="2" t="s">
        <v>12</v>
      </c>
      <c r="E2637" s="14" t="str">
        <f t="shared" ref="E2637:E2674" si="335">E2538</f>
        <v>BT GT</v>
      </c>
      <c r="F2637" s="22"/>
      <c r="H2637" s="5" t="e">
        <f ca="1">_xlfn.FORMULATEXT(표1[[#This Row],[Q''ty]])</f>
        <v>#N/A</v>
      </c>
    </row>
    <row r="2638" spans="1:8" ht="15" hidden="1" customHeight="1" x14ac:dyDescent="0.4">
      <c r="A2638" s="6">
        <v>2026</v>
      </c>
      <c r="B2638" s="6">
        <f t="shared" si="328"/>
        <v>27</v>
      </c>
      <c r="C2638" s="13" t="s">
        <v>26</v>
      </c>
      <c r="D2638" s="2" t="s">
        <v>12</v>
      </c>
      <c r="E2638" s="14" t="str">
        <f t="shared" si="335"/>
        <v>WT GT</v>
      </c>
      <c r="F2638" s="22"/>
      <c r="H2638" s="5" t="e">
        <f ca="1">_xlfn.FORMULATEXT(표1[[#This Row],[Q''ty]])</f>
        <v>#N/A</v>
      </c>
    </row>
    <row r="2639" spans="1:8" ht="15" hidden="1" customHeight="1" x14ac:dyDescent="0.4">
      <c r="A2639" s="6">
        <v>2026</v>
      </c>
      <c r="B2639" s="6">
        <f t="shared" si="328"/>
        <v>27</v>
      </c>
      <c r="C2639" s="13" t="s">
        <v>26</v>
      </c>
      <c r="D2639" s="2" t="s">
        <v>12</v>
      </c>
      <c r="E2639" s="14" t="str">
        <f t="shared" si="335"/>
        <v>Bending</v>
      </c>
      <c r="F2639" s="22"/>
      <c r="H2639" s="5" t="e">
        <f ca="1">_xlfn.FORMULATEXT(표1[[#This Row],[Q''ty]])</f>
        <v>#N/A</v>
      </c>
    </row>
    <row r="2640" spans="1:8" ht="15" hidden="1" customHeight="1" x14ac:dyDescent="0.4">
      <c r="A2640" s="6">
        <v>2026</v>
      </c>
      <c r="B2640" s="6">
        <f t="shared" si="328"/>
        <v>27</v>
      </c>
      <c r="C2640" s="13" t="s">
        <v>26</v>
      </c>
      <c r="D2640" s="2" t="s">
        <v>12</v>
      </c>
      <c r="E2640" s="14" t="str">
        <f t="shared" si="335"/>
        <v>L/W</v>
      </c>
      <c r="F2640" s="22"/>
      <c r="H2640" s="5" t="e">
        <f ca="1">_xlfn.FORMULATEXT(표1[[#This Row],[Q''ty]])</f>
        <v>#N/A</v>
      </c>
    </row>
    <row r="2641" spans="1:8" ht="15" hidden="1" customHeight="1" thickBot="1" x14ac:dyDescent="0.45">
      <c r="A2641" s="15">
        <v>2026</v>
      </c>
      <c r="B2641" s="15">
        <f t="shared" ref="B2641:B2674" si="336">B2542+1</f>
        <v>27</v>
      </c>
      <c r="C2641" s="16" t="s">
        <v>26</v>
      </c>
      <c r="D2641" s="17" t="s">
        <v>12</v>
      </c>
      <c r="E2641" s="18" t="str">
        <f t="shared" si="335"/>
        <v>C/W</v>
      </c>
      <c r="F2641" s="23"/>
      <c r="H2641" s="5" t="e">
        <f ca="1">_xlfn.FORMULATEXT(표1[[#This Row],[Q''ty]])</f>
        <v>#N/A</v>
      </c>
    </row>
    <row r="2642" spans="1:8" ht="15" hidden="1" customHeight="1" thickTop="1" x14ac:dyDescent="0.4">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hidden="1" customHeight="1" x14ac:dyDescent="0.4">
      <c r="A2643" s="6">
        <v>2026</v>
      </c>
      <c r="B2643" s="6">
        <f t="shared" si="336"/>
        <v>27</v>
      </c>
      <c r="C2643" s="13" t="s">
        <v>20</v>
      </c>
      <c r="D2643" s="2" t="s">
        <v>6</v>
      </c>
      <c r="E2643" s="14" t="str">
        <f t="shared" si="335"/>
        <v>Paint Booth</v>
      </c>
      <c r="F2643" s="22">
        <f t="shared" si="337"/>
        <v>16</v>
      </c>
      <c r="H2643" s="5" t="str">
        <f ca="1">_xlfn.FORMULATEXT(표1[[#This Row],[Q''ty]])</f>
        <v>=F2544</v>
      </c>
    </row>
    <row r="2644" spans="1:8" ht="15" hidden="1" customHeight="1" x14ac:dyDescent="0.4">
      <c r="A2644" s="6">
        <v>2026</v>
      </c>
      <c r="B2644" s="6">
        <f t="shared" si="336"/>
        <v>27</v>
      </c>
      <c r="C2644" s="13" t="s">
        <v>20</v>
      </c>
      <c r="D2644" s="2" t="s">
        <v>6</v>
      </c>
      <c r="E2644" s="14" t="str">
        <f t="shared" si="335"/>
        <v>Paint Line</v>
      </c>
      <c r="F2644" s="22">
        <f t="shared" si="337"/>
        <v>8</v>
      </c>
      <c r="H2644" s="5" t="str">
        <f ca="1">_xlfn.FORMULATEXT(표1[[#This Row],[Q''ty]])</f>
        <v>=F2545</v>
      </c>
    </row>
    <row r="2645" spans="1:8" ht="15" hidden="1" customHeight="1" x14ac:dyDescent="0.4">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hidden="1" customHeight="1" x14ac:dyDescent="0.4">
      <c r="A2646" s="6">
        <v>2026</v>
      </c>
      <c r="B2646" s="6">
        <f t="shared" si="336"/>
        <v>27</v>
      </c>
      <c r="C2646" s="13" t="s">
        <v>20</v>
      </c>
      <c r="D2646" s="2" t="s">
        <v>6</v>
      </c>
      <c r="E2646" s="14" t="str">
        <f t="shared" si="335"/>
        <v>L/W Machine</v>
      </c>
      <c r="F2646" s="22">
        <f t="shared" si="337"/>
        <v>11</v>
      </c>
      <c r="H2646" s="5" t="str">
        <f ca="1">_xlfn.FORMULATEXT(표1[[#This Row],[Q''ty]])</f>
        <v>=F2547</v>
      </c>
    </row>
    <row r="2647" spans="1:8" ht="15" hidden="1" customHeight="1" x14ac:dyDescent="0.4">
      <c r="A2647" s="6">
        <v>2026</v>
      </c>
      <c r="B2647" s="6">
        <f t="shared" si="336"/>
        <v>27</v>
      </c>
      <c r="C2647" s="13" t="s">
        <v>20</v>
      </c>
      <c r="D2647" s="2" t="s">
        <v>6</v>
      </c>
      <c r="E2647" s="14" t="str">
        <f t="shared" si="335"/>
        <v>C/W Machine</v>
      </c>
      <c r="F2647" s="22">
        <f t="shared" si="337"/>
        <v>15</v>
      </c>
      <c r="H2647" s="5" t="str">
        <f ca="1">_xlfn.FORMULATEXT(표1[[#This Row],[Q''ty]])</f>
        <v>=F2548</v>
      </c>
    </row>
    <row r="2648" spans="1:8" ht="15" hidden="1" customHeight="1" x14ac:dyDescent="0.4">
      <c r="A2648" s="6">
        <v>2026</v>
      </c>
      <c r="B2648" s="6">
        <f t="shared" si="336"/>
        <v>27</v>
      </c>
      <c r="C2648" s="13" t="s">
        <v>20</v>
      </c>
      <c r="D2648" s="2" t="s">
        <v>12</v>
      </c>
      <c r="E2648" s="14" t="str">
        <f t="shared" si="335"/>
        <v>BT GT</v>
      </c>
      <c r="F2648" s="22"/>
      <c r="H2648" s="5" t="e">
        <f ca="1">_xlfn.FORMULATEXT(표1[[#This Row],[Q''ty]])</f>
        <v>#N/A</v>
      </c>
    </row>
    <row r="2649" spans="1:8" ht="15" hidden="1" customHeight="1" x14ac:dyDescent="0.4">
      <c r="A2649" s="6">
        <v>2026</v>
      </c>
      <c r="B2649" s="6">
        <f t="shared" si="336"/>
        <v>27</v>
      </c>
      <c r="C2649" s="13" t="s">
        <v>20</v>
      </c>
      <c r="D2649" s="2" t="s">
        <v>12</v>
      </c>
      <c r="E2649" s="14" t="str">
        <f t="shared" si="335"/>
        <v>WT GT</v>
      </c>
      <c r="F2649" s="22"/>
      <c r="H2649" s="5" t="e">
        <f ca="1">_xlfn.FORMULATEXT(표1[[#This Row],[Q''ty]])</f>
        <v>#N/A</v>
      </c>
    </row>
    <row r="2650" spans="1:8" ht="15" hidden="1" customHeight="1" x14ac:dyDescent="0.4">
      <c r="A2650" s="6">
        <v>2026</v>
      </c>
      <c r="B2650" s="6">
        <f t="shared" si="336"/>
        <v>27</v>
      </c>
      <c r="C2650" s="13" t="s">
        <v>20</v>
      </c>
      <c r="D2650" s="2" t="s">
        <v>12</v>
      </c>
      <c r="E2650" s="14" t="str">
        <f t="shared" si="335"/>
        <v>Bending</v>
      </c>
      <c r="F2650" s="22"/>
      <c r="H2650" s="5" t="e">
        <f ca="1">_xlfn.FORMULATEXT(표1[[#This Row],[Q''ty]])</f>
        <v>#N/A</v>
      </c>
    </row>
    <row r="2651" spans="1:8" ht="15" hidden="1" customHeight="1" x14ac:dyDescent="0.4">
      <c r="A2651" s="6">
        <v>2026</v>
      </c>
      <c r="B2651" s="6">
        <f t="shared" si="336"/>
        <v>27</v>
      </c>
      <c r="C2651" s="13" t="s">
        <v>20</v>
      </c>
      <c r="D2651" s="2" t="s">
        <v>12</v>
      </c>
      <c r="E2651" s="14" t="str">
        <f t="shared" si="335"/>
        <v>L/W</v>
      </c>
      <c r="F2651" s="22"/>
      <c r="H2651" s="5" t="e">
        <f ca="1">_xlfn.FORMULATEXT(표1[[#This Row],[Q''ty]])</f>
        <v>#N/A</v>
      </c>
    </row>
    <row r="2652" spans="1:8" ht="15" hidden="1" customHeight="1" thickBot="1" x14ac:dyDescent="0.45">
      <c r="A2652" s="15">
        <v>2026</v>
      </c>
      <c r="B2652" s="15">
        <f t="shared" si="336"/>
        <v>27</v>
      </c>
      <c r="C2652" s="16" t="s">
        <v>20</v>
      </c>
      <c r="D2652" s="17" t="s">
        <v>12</v>
      </c>
      <c r="E2652" s="18" t="str">
        <f t="shared" si="335"/>
        <v>C/W</v>
      </c>
      <c r="F2652" s="23"/>
      <c r="H2652" s="5" t="e">
        <f ca="1">_xlfn.FORMULATEXT(표1[[#This Row],[Q''ty]])</f>
        <v>#N/A</v>
      </c>
    </row>
    <row r="2653" spans="1:8" ht="15" hidden="1" customHeight="1" thickTop="1" x14ac:dyDescent="0.4">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hidden="1" customHeight="1" x14ac:dyDescent="0.4">
      <c r="A2654" s="6">
        <v>2026</v>
      </c>
      <c r="B2654" s="6">
        <f t="shared" si="336"/>
        <v>27</v>
      </c>
      <c r="C2654" s="13" t="s">
        <v>21</v>
      </c>
      <c r="D2654" s="2" t="s">
        <v>6</v>
      </c>
      <c r="E2654" s="14" t="str">
        <f t="shared" si="335"/>
        <v>Paint Booth</v>
      </c>
      <c r="F2654" s="22">
        <f t="shared" si="338"/>
        <v>4</v>
      </c>
      <c r="H2654" s="5" t="str">
        <f ca="1">_xlfn.FORMULATEXT(표1[[#This Row],[Q''ty]])</f>
        <v>=F2555</v>
      </c>
    </row>
    <row r="2655" spans="1:8" ht="15" hidden="1" customHeight="1" x14ac:dyDescent="0.4">
      <c r="A2655" s="6">
        <v>2026</v>
      </c>
      <c r="B2655" s="6">
        <f t="shared" si="336"/>
        <v>27</v>
      </c>
      <c r="C2655" s="13" t="s">
        <v>21</v>
      </c>
      <c r="D2655" s="2" t="s">
        <v>6</v>
      </c>
      <c r="E2655" s="14" t="str">
        <f t="shared" si="335"/>
        <v>Paint Line</v>
      </c>
      <c r="F2655" s="22">
        <f t="shared" si="338"/>
        <v>4</v>
      </c>
      <c r="H2655" s="5" t="str">
        <f ca="1">_xlfn.FORMULATEXT(표1[[#This Row],[Q''ty]])</f>
        <v>=F2556</v>
      </c>
    </row>
    <row r="2656" spans="1:8" ht="15" hidden="1" customHeight="1" x14ac:dyDescent="0.4">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hidden="1" customHeight="1" x14ac:dyDescent="0.4">
      <c r="A2657" s="6">
        <v>2026</v>
      </c>
      <c r="B2657" s="6">
        <f t="shared" si="336"/>
        <v>27</v>
      </c>
      <c r="C2657" s="13" t="s">
        <v>21</v>
      </c>
      <c r="D2657" s="2" t="s">
        <v>6</v>
      </c>
      <c r="E2657" s="14" t="str">
        <f t="shared" si="335"/>
        <v>L/W Machine</v>
      </c>
      <c r="F2657" s="22">
        <f t="shared" si="338"/>
        <v>4</v>
      </c>
      <c r="H2657" s="5" t="str">
        <f ca="1">_xlfn.FORMULATEXT(표1[[#This Row],[Q''ty]])</f>
        <v>=F2558</v>
      </c>
    </row>
    <row r="2658" spans="1:8" ht="15" hidden="1" customHeight="1" x14ac:dyDescent="0.4">
      <c r="A2658" s="6">
        <v>2026</v>
      </c>
      <c r="B2658" s="6">
        <f t="shared" si="336"/>
        <v>27</v>
      </c>
      <c r="C2658" s="13" t="s">
        <v>21</v>
      </c>
      <c r="D2658" s="2" t="s">
        <v>6</v>
      </c>
      <c r="E2658" s="14" t="str">
        <f t="shared" si="335"/>
        <v>C/W Machine</v>
      </c>
      <c r="F2658" s="22">
        <f t="shared" si="338"/>
        <v>6.5</v>
      </c>
      <c r="H2658" s="5" t="str">
        <f ca="1">_xlfn.FORMULATEXT(표1[[#This Row],[Q''ty]])</f>
        <v>=F2559</v>
      </c>
    </row>
    <row r="2659" spans="1:8" ht="15" hidden="1" customHeight="1" x14ac:dyDescent="0.4">
      <c r="A2659" s="6">
        <v>2026</v>
      </c>
      <c r="B2659" s="6">
        <f t="shared" si="336"/>
        <v>27</v>
      </c>
      <c r="C2659" s="13" t="s">
        <v>21</v>
      </c>
      <c r="D2659" s="2" t="s">
        <v>12</v>
      </c>
      <c r="E2659" s="14" t="str">
        <f t="shared" si="335"/>
        <v>BT GT</v>
      </c>
      <c r="F2659" s="22"/>
      <c r="H2659" s="5" t="e">
        <f ca="1">_xlfn.FORMULATEXT(표1[[#This Row],[Q''ty]])</f>
        <v>#N/A</v>
      </c>
    </row>
    <row r="2660" spans="1:8" ht="15" hidden="1" customHeight="1" x14ac:dyDescent="0.4">
      <c r="A2660" s="6">
        <v>2026</v>
      </c>
      <c r="B2660" s="6">
        <f t="shared" si="336"/>
        <v>27</v>
      </c>
      <c r="C2660" s="13" t="s">
        <v>21</v>
      </c>
      <c r="D2660" s="2" t="s">
        <v>12</v>
      </c>
      <c r="E2660" s="14" t="str">
        <f t="shared" si="335"/>
        <v>WT GT</v>
      </c>
      <c r="F2660" s="22"/>
      <c r="H2660" s="5" t="e">
        <f ca="1">_xlfn.FORMULATEXT(표1[[#This Row],[Q''ty]])</f>
        <v>#N/A</v>
      </c>
    </row>
    <row r="2661" spans="1:8" ht="15" hidden="1" customHeight="1" x14ac:dyDescent="0.4">
      <c r="A2661" s="6">
        <v>2026</v>
      </c>
      <c r="B2661" s="6">
        <f t="shared" si="336"/>
        <v>27</v>
      </c>
      <c r="C2661" s="13" t="s">
        <v>21</v>
      </c>
      <c r="D2661" s="2" t="s">
        <v>12</v>
      </c>
      <c r="E2661" s="14" t="str">
        <f t="shared" si="335"/>
        <v>Bending</v>
      </c>
      <c r="F2661" s="22"/>
      <c r="H2661" s="5" t="e">
        <f ca="1">_xlfn.FORMULATEXT(표1[[#This Row],[Q''ty]])</f>
        <v>#N/A</v>
      </c>
    </row>
    <row r="2662" spans="1:8" ht="15" hidden="1" customHeight="1" x14ac:dyDescent="0.4">
      <c r="A2662" s="6">
        <v>2026</v>
      </c>
      <c r="B2662" s="6">
        <f t="shared" si="336"/>
        <v>27</v>
      </c>
      <c r="C2662" s="13" t="s">
        <v>21</v>
      </c>
      <c r="D2662" s="2" t="s">
        <v>12</v>
      </c>
      <c r="E2662" s="14" t="str">
        <f t="shared" si="335"/>
        <v>L/W</v>
      </c>
      <c r="F2662" s="22"/>
      <c r="H2662" s="5" t="e">
        <f ca="1">_xlfn.FORMULATEXT(표1[[#This Row],[Q''ty]])</f>
        <v>#N/A</v>
      </c>
    </row>
    <row r="2663" spans="1:8" ht="15" hidden="1" customHeight="1" thickBot="1" x14ac:dyDescent="0.45">
      <c r="A2663" s="15">
        <v>2026</v>
      </c>
      <c r="B2663" s="15">
        <f t="shared" si="336"/>
        <v>27</v>
      </c>
      <c r="C2663" s="16" t="s">
        <v>21</v>
      </c>
      <c r="D2663" s="17" t="s">
        <v>12</v>
      </c>
      <c r="E2663" s="18" t="str">
        <f t="shared" si="335"/>
        <v>C/W</v>
      </c>
      <c r="F2663" s="23"/>
      <c r="H2663" s="5" t="e">
        <f ca="1">_xlfn.FORMULATEXT(표1[[#This Row],[Q''ty]])</f>
        <v>#N/A</v>
      </c>
    </row>
    <row r="2664" spans="1:8" ht="15" hidden="1" customHeight="1" thickTop="1" x14ac:dyDescent="0.4">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hidden="1" customHeight="1" x14ac:dyDescent="0.4">
      <c r="A2665" s="6">
        <v>2026</v>
      </c>
      <c r="B2665" s="6">
        <f t="shared" si="336"/>
        <v>27</v>
      </c>
      <c r="C2665" s="13" t="s">
        <v>22</v>
      </c>
      <c r="D2665" s="2" t="s">
        <v>6</v>
      </c>
      <c r="E2665" s="14" t="str">
        <f t="shared" si="335"/>
        <v>Paint Booth</v>
      </c>
      <c r="F2665" s="22">
        <f t="shared" si="339"/>
        <v>6</v>
      </c>
      <c r="H2665" s="5" t="str">
        <f ca="1">_xlfn.FORMULATEXT(표1[[#This Row],[Q''ty]])</f>
        <v>=F2566</v>
      </c>
    </row>
    <row r="2666" spans="1:8" ht="15" hidden="1" customHeight="1" x14ac:dyDescent="0.4">
      <c r="A2666" s="6">
        <v>2026</v>
      </c>
      <c r="B2666" s="6">
        <f t="shared" si="336"/>
        <v>27</v>
      </c>
      <c r="C2666" s="13" t="s">
        <v>22</v>
      </c>
      <c r="D2666" s="2" t="s">
        <v>6</v>
      </c>
      <c r="E2666" s="14" t="str">
        <f t="shared" si="335"/>
        <v>Paint Line</v>
      </c>
      <c r="F2666" s="22">
        <f t="shared" si="339"/>
        <v>4</v>
      </c>
      <c r="H2666" s="5" t="str">
        <f ca="1">_xlfn.FORMULATEXT(표1[[#This Row],[Q''ty]])</f>
        <v>=F2567</v>
      </c>
    </row>
    <row r="2667" spans="1:8" ht="15" hidden="1" customHeight="1" x14ac:dyDescent="0.4">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hidden="1" customHeight="1" x14ac:dyDescent="0.4">
      <c r="A2668" s="6">
        <v>2026</v>
      </c>
      <c r="B2668" s="6">
        <f t="shared" si="336"/>
        <v>27</v>
      </c>
      <c r="C2668" s="13" t="s">
        <v>22</v>
      </c>
      <c r="D2668" s="2" t="s">
        <v>6</v>
      </c>
      <c r="E2668" s="14" t="str">
        <f t="shared" si="335"/>
        <v>L/W Machine</v>
      </c>
      <c r="F2668" s="22">
        <f t="shared" si="339"/>
        <v>7</v>
      </c>
      <c r="H2668" s="5" t="str">
        <f ca="1">_xlfn.FORMULATEXT(표1[[#This Row],[Q''ty]])</f>
        <v>=F2569</v>
      </c>
    </row>
    <row r="2669" spans="1:8" ht="15" hidden="1" customHeight="1" x14ac:dyDescent="0.4">
      <c r="A2669" s="6">
        <v>2026</v>
      </c>
      <c r="B2669" s="6">
        <f t="shared" si="336"/>
        <v>27</v>
      </c>
      <c r="C2669" s="13" t="s">
        <v>22</v>
      </c>
      <c r="D2669" s="2" t="s">
        <v>6</v>
      </c>
      <c r="E2669" s="14" t="str">
        <f t="shared" si="335"/>
        <v>C/W Machine</v>
      </c>
      <c r="F2669" s="22">
        <f t="shared" si="339"/>
        <v>12.5</v>
      </c>
      <c r="H2669" s="5" t="str">
        <f ca="1">_xlfn.FORMULATEXT(표1[[#This Row],[Q''ty]])</f>
        <v>=F2570</v>
      </c>
    </row>
    <row r="2670" spans="1:8" ht="15" hidden="1" customHeight="1" x14ac:dyDescent="0.4">
      <c r="A2670" s="6">
        <v>2026</v>
      </c>
      <c r="B2670" s="6">
        <f t="shared" si="336"/>
        <v>27</v>
      </c>
      <c r="C2670" s="13" t="s">
        <v>22</v>
      </c>
      <c r="D2670" s="2" t="s">
        <v>12</v>
      </c>
      <c r="E2670" s="14" t="str">
        <f t="shared" si="335"/>
        <v>BT GT</v>
      </c>
      <c r="F2670" s="22"/>
      <c r="H2670" s="5" t="e">
        <f ca="1">_xlfn.FORMULATEXT(표1[[#This Row],[Q''ty]])</f>
        <v>#N/A</v>
      </c>
    </row>
    <row r="2671" spans="1:8" ht="15" hidden="1" customHeight="1" x14ac:dyDescent="0.4">
      <c r="A2671" s="6">
        <v>2026</v>
      </c>
      <c r="B2671" s="6">
        <f t="shared" si="336"/>
        <v>27</v>
      </c>
      <c r="C2671" s="13" t="s">
        <v>22</v>
      </c>
      <c r="D2671" s="2" t="s">
        <v>12</v>
      </c>
      <c r="E2671" s="14" t="str">
        <f t="shared" si="335"/>
        <v>WT GT</v>
      </c>
      <c r="F2671" s="22"/>
      <c r="H2671" s="5" t="e">
        <f ca="1">_xlfn.FORMULATEXT(표1[[#This Row],[Q''ty]])</f>
        <v>#N/A</v>
      </c>
    </row>
    <row r="2672" spans="1:8" ht="15" hidden="1" customHeight="1" x14ac:dyDescent="0.4">
      <c r="A2672" s="6">
        <v>2026</v>
      </c>
      <c r="B2672" s="6">
        <f t="shared" si="336"/>
        <v>27</v>
      </c>
      <c r="C2672" s="13" t="s">
        <v>22</v>
      </c>
      <c r="D2672" s="2" t="s">
        <v>12</v>
      </c>
      <c r="E2672" s="14" t="str">
        <f t="shared" si="335"/>
        <v>Bending</v>
      </c>
      <c r="F2672" s="22"/>
      <c r="H2672" s="5" t="e">
        <f ca="1">_xlfn.FORMULATEXT(표1[[#This Row],[Q''ty]])</f>
        <v>#N/A</v>
      </c>
    </row>
    <row r="2673" spans="1:10" ht="15" hidden="1" customHeight="1" x14ac:dyDescent="0.4">
      <c r="A2673" s="6">
        <v>2026</v>
      </c>
      <c r="B2673" s="6">
        <f t="shared" si="336"/>
        <v>27</v>
      </c>
      <c r="C2673" s="13" t="s">
        <v>22</v>
      </c>
      <c r="D2673" s="2" t="s">
        <v>12</v>
      </c>
      <c r="E2673" s="14" t="str">
        <f t="shared" si="335"/>
        <v>L/W</v>
      </c>
      <c r="F2673" s="22"/>
      <c r="H2673" s="5" t="e">
        <f ca="1">_xlfn.FORMULATEXT(표1[[#This Row],[Q''ty]])</f>
        <v>#N/A</v>
      </c>
    </row>
    <row r="2674" spans="1:10" ht="15" hidden="1" customHeight="1" thickBot="1" x14ac:dyDescent="0.45">
      <c r="A2674" s="6">
        <v>2026</v>
      </c>
      <c r="B2674" s="6">
        <f t="shared" si="336"/>
        <v>27</v>
      </c>
      <c r="C2674" s="13" t="s">
        <v>22</v>
      </c>
      <c r="D2674" s="2" t="s">
        <v>12</v>
      </c>
      <c r="E2674" s="14" t="str">
        <f t="shared" si="335"/>
        <v>C/W</v>
      </c>
      <c r="F2674" s="22"/>
      <c r="H2674" s="5" t="e">
        <f ca="1">_xlfn.FORMULATEXT(표1[[#This Row],[Q''ty]])</f>
        <v>#N/A</v>
      </c>
    </row>
    <row r="2675" spans="1:10" ht="15" hidden="1" customHeight="1" thickTop="1" x14ac:dyDescent="0.4">
      <c r="A2675" s="9">
        <v>2026</v>
      </c>
      <c r="B2675" s="9">
        <f>B2576+1</f>
        <v>28</v>
      </c>
      <c r="C2675" s="10" t="s">
        <v>28</v>
      </c>
      <c r="D2675" s="11" t="s">
        <v>6</v>
      </c>
      <c r="E2675" s="12" t="s">
        <v>7</v>
      </c>
      <c r="F2675" s="21">
        <f t="shared" ref="F2675:F2680" si="340">F2576</f>
        <v>15</v>
      </c>
      <c r="H2675" s="5" t="str">
        <f ca="1">_xlfn.FORMULATEXT(표1[[#This Row],[Q''ty]])</f>
        <v>=F2576</v>
      </c>
    </row>
    <row r="2676" spans="1:10" s="2" customFormat="1" ht="15" hidden="1" customHeight="1" x14ac:dyDescent="0.4">
      <c r="A2676" s="6">
        <v>2026</v>
      </c>
      <c r="B2676" s="6">
        <f t="shared" ref="B2676:B2739" si="341">B2577+1</f>
        <v>28</v>
      </c>
      <c r="C2676" s="13" t="s">
        <v>23</v>
      </c>
      <c r="D2676" s="2" t="s">
        <v>6</v>
      </c>
      <c r="E2676" s="14" t="s">
        <v>8</v>
      </c>
      <c r="F2676" s="22">
        <f t="shared" si="340"/>
        <v>10</v>
      </c>
      <c r="H2676" s="5" t="str">
        <f ca="1">_xlfn.FORMULATEXT(표1[[#This Row],[Q''ty]])</f>
        <v>=F2577</v>
      </c>
      <c r="I2676" s="26"/>
      <c r="J2676" s="26"/>
    </row>
    <row r="2677" spans="1:10" s="2" customFormat="1" ht="15" hidden="1" customHeight="1" x14ac:dyDescent="0.4">
      <c r="A2677" s="6">
        <v>2026</v>
      </c>
      <c r="B2677" s="6">
        <f t="shared" si="341"/>
        <v>28</v>
      </c>
      <c r="C2677" s="13" t="s">
        <v>23</v>
      </c>
      <c r="D2677" s="2" t="s">
        <v>6</v>
      </c>
      <c r="E2677" s="14" t="s">
        <v>9</v>
      </c>
      <c r="F2677" s="22">
        <f t="shared" si="340"/>
        <v>5</v>
      </c>
      <c r="H2677" s="5" t="str">
        <f ca="1">_xlfn.FORMULATEXT(표1[[#This Row],[Q''ty]])</f>
        <v>=F2578</v>
      </c>
      <c r="I2677" s="26"/>
      <c r="J2677" s="26"/>
    </row>
    <row r="2678" spans="1:10" ht="15" hidden="1" customHeight="1" x14ac:dyDescent="0.4">
      <c r="A2678" s="6">
        <v>2026</v>
      </c>
      <c r="B2678" s="6">
        <f t="shared" si="341"/>
        <v>28</v>
      </c>
      <c r="C2678" s="13" t="s">
        <v>23</v>
      </c>
      <c r="D2678" s="2" t="s">
        <v>6</v>
      </c>
      <c r="E2678" s="14" t="s">
        <v>27</v>
      </c>
      <c r="F2678" s="22">
        <f t="shared" si="340"/>
        <v>6</v>
      </c>
      <c r="H2678" s="5" t="str">
        <f ca="1">_xlfn.FORMULATEXT(표1[[#This Row],[Q''ty]])</f>
        <v>=F2579</v>
      </c>
    </row>
    <row r="2679" spans="1:10" ht="15" hidden="1" customHeight="1" x14ac:dyDescent="0.4">
      <c r="A2679" s="6">
        <v>2026</v>
      </c>
      <c r="B2679" s="6">
        <f t="shared" si="341"/>
        <v>28</v>
      </c>
      <c r="C2679" s="13" t="s">
        <v>23</v>
      </c>
      <c r="D2679" s="2" t="s">
        <v>6</v>
      </c>
      <c r="E2679" s="14" t="s">
        <v>10</v>
      </c>
      <c r="F2679" s="22">
        <f t="shared" si="340"/>
        <v>10</v>
      </c>
      <c r="H2679" s="5" t="str">
        <f ca="1">_xlfn.FORMULATEXT(표1[[#This Row],[Q''ty]])</f>
        <v>=F2580</v>
      </c>
    </row>
    <row r="2680" spans="1:10" ht="15" hidden="1" customHeight="1" x14ac:dyDescent="0.4">
      <c r="A2680" s="6">
        <v>2026</v>
      </c>
      <c r="B2680" s="6">
        <f t="shared" si="341"/>
        <v>28</v>
      </c>
      <c r="C2680" s="13" t="s">
        <v>23</v>
      </c>
      <c r="D2680" s="2" t="s">
        <v>6</v>
      </c>
      <c r="E2680" s="14" t="s">
        <v>11</v>
      </c>
      <c r="F2680" s="22">
        <f t="shared" si="340"/>
        <v>10</v>
      </c>
      <c r="H2680" s="5" t="str">
        <f ca="1">_xlfn.FORMULATEXT(표1[[#This Row],[Q''ty]])</f>
        <v>=F2581</v>
      </c>
    </row>
    <row r="2681" spans="1:10" ht="15" hidden="1" customHeight="1" x14ac:dyDescent="0.4">
      <c r="A2681" s="6">
        <v>2026</v>
      </c>
      <c r="B2681" s="6">
        <f t="shared" si="341"/>
        <v>28</v>
      </c>
      <c r="C2681" s="13" t="s">
        <v>23</v>
      </c>
      <c r="D2681" s="2" t="s">
        <v>12</v>
      </c>
      <c r="E2681" s="14" t="s">
        <v>13</v>
      </c>
      <c r="F2681" s="22"/>
      <c r="H2681" s="5" t="e">
        <f ca="1">_xlfn.FORMULATEXT(표1[[#This Row],[Q''ty]])</f>
        <v>#N/A</v>
      </c>
    </row>
    <row r="2682" spans="1:10" s="2" customFormat="1" ht="15" hidden="1" customHeight="1" x14ac:dyDescent="0.4">
      <c r="A2682" s="6">
        <v>2026</v>
      </c>
      <c r="B2682" s="6">
        <f t="shared" si="341"/>
        <v>28</v>
      </c>
      <c r="C2682" s="13" t="s">
        <v>23</v>
      </c>
      <c r="D2682" s="2" t="s">
        <v>12</v>
      </c>
      <c r="E2682" s="14" t="s">
        <v>14</v>
      </c>
      <c r="F2682" s="22"/>
      <c r="H2682" s="5" t="e">
        <f ca="1">_xlfn.FORMULATEXT(표1[[#This Row],[Q''ty]])</f>
        <v>#N/A</v>
      </c>
      <c r="I2682" s="26"/>
      <c r="J2682" s="26"/>
    </row>
    <row r="2683" spans="1:10" ht="15" hidden="1" customHeight="1" x14ac:dyDescent="0.4">
      <c r="A2683" s="6">
        <v>2026</v>
      </c>
      <c r="B2683" s="6">
        <f t="shared" si="341"/>
        <v>28</v>
      </c>
      <c r="C2683" s="13" t="s">
        <v>23</v>
      </c>
      <c r="D2683" s="2" t="s">
        <v>12</v>
      </c>
      <c r="E2683" s="14" t="s">
        <v>15</v>
      </c>
      <c r="F2683" s="22"/>
      <c r="H2683" s="5" t="e">
        <f ca="1">_xlfn.FORMULATEXT(표1[[#This Row],[Q''ty]])</f>
        <v>#N/A</v>
      </c>
    </row>
    <row r="2684" spans="1:10" ht="15" hidden="1" customHeight="1" x14ac:dyDescent="0.4">
      <c r="A2684" s="6">
        <v>2026</v>
      </c>
      <c r="B2684" s="6">
        <f t="shared" si="341"/>
        <v>28</v>
      </c>
      <c r="C2684" s="13" t="s">
        <v>23</v>
      </c>
      <c r="D2684" s="2" t="s">
        <v>12</v>
      </c>
      <c r="E2684" s="14" t="s">
        <v>16</v>
      </c>
      <c r="F2684" s="22"/>
      <c r="H2684" s="5" t="e">
        <f ca="1">_xlfn.FORMULATEXT(표1[[#This Row],[Q''ty]])</f>
        <v>#N/A</v>
      </c>
    </row>
    <row r="2685" spans="1:10" ht="15" hidden="1" customHeight="1" thickBot="1" x14ac:dyDescent="0.45">
      <c r="A2685" s="15">
        <v>2026</v>
      </c>
      <c r="B2685" s="15">
        <f t="shared" si="341"/>
        <v>28</v>
      </c>
      <c r="C2685" s="16" t="s">
        <v>23</v>
      </c>
      <c r="D2685" s="17" t="s">
        <v>12</v>
      </c>
      <c r="E2685" s="18" t="s">
        <v>17</v>
      </c>
      <c r="F2685" s="23"/>
      <c r="H2685" s="5" t="e">
        <f ca="1">_xlfn.FORMULATEXT(표1[[#This Row],[Q''ty]])</f>
        <v>#N/A</v>
      </c>
    </row>
    <row r="2686" spans="1:10" ht="15" hidden="1" customHeight="1" thickTop="1" x14ac:dyDescent="0.4">
      <c r="A2686" s="9">
        <v>2026</v>
      </c>
      <c r="B2686" s="9">
        <f t="shared" si="341"/>
        <v>28</v>
      </c>
      <c r="C2686" s="10" t="s">
        <v>29</v>
      </c>
      <c r="D2686" s="11" t="s">
        <v>6</v>
      </c>
      <c r="E2686" s="12" t="s">
        <v>7</v>
      </c>
      <c r="F2686" s="21">
        <f t="shared" ref="F2686:F2691" si="342">F2587</f>
        <v>14</v>
      </c>
      <c r="H2686" s="5" t="str">
        <f ca="1">_xlfn.FORMULATEXT(표1[[#This Row],[Q''ty]])</f>
        <v>=F2587</v>
      </c>
    </row>
    <row r="2687" spans="1:10" s="2" customFormat="1" ht="15" hidden="1" customHeight="1" x14ac:dyDescent="0.4">
      <c r="A2687" s="6">
        <v>2026</v>
      </c>
      <c r="B2687" s="6">
        <f t="shared" si="341"/>
        <v>28</v>
      </c>
      <c r="C2687" s="13" t="s">
        <v>24</v>
      </c>
      <c r="D2687" s="2" t="s">
        <v>6</v>
      </c>
      <c r="E2687" s="14" t="s">
        <v>8</v>
      </c>
      <c r="F2687" s="22">
        <f t="shared" si="342"/>
        <v>8</v>
      </c>
      <c r="H2687" s="5" t="str">
        <f ca="1">_xlfn.FORMULATEXT(표1[[#This Row],[Q''ty]])</f>
        <v>=F2588</v>
      </c>
      <c r="I2687" s="26"/>
      <c r="J2687" s="26"/>
    </row>
    <row r="2688" spans="1:10" s="2" customFormat="1" ht="15" hidden="1" customHeight="1" x14ac:dyDescent="0.4">
      <c r="A2688" s="6">
        <v>2026</v>
      </c>
      <c r="B2688" s="6">
        <f t="shared" si="341"/>
        <v>28</v>
      </c>
      <c r="C2688" s="13" t="s">
        <v>24</v>
      </c>
      <c r="D2688" s="2" t="s">
        <v>6</v>
      </c>
      <c r="E2688" s="14" t="s">
        <v>9</v>
      </c>
      <c r="F2688" s="22">
        <f t="shared" si="342"/>
        <v>4</v>
      </c>
      <c r="H2688" s="5" t="str">
        <f ca="1">_xlfn.FORMULATEXT(표1[[#This Row],[Q''ty]])</f>
        <v>=F2589</v>
      </c>
      <c r="I2688" s="26"/>
      <c r="J2688" s="26"/>
    </row>
    <row r="2689" spans="1:10" ht="15" hidden="1" customHeight="1" x14ac:dyDescent="0.4">
      <c r="A2689" s="6">
        <v>2026</v>
      </c>
      <c r="B2689" s="6">
        <f t="shared" si="341"/>
        <v>28</v>
      </c>
      <c r="C2689" s="13" t="s">
        <v>24</v>
      </c>
      <c r="D2689" s="2" t="s">
        <v>6</v>
      </c>
      <c r="E2689" s="14" t="s">
        <v>27</v>
      </c>
      <c r="F2689" s="22">
        <f t="shared" si="342"/>
        <v>3</v>
      </c>
      <c r="H2689" s="5" t="str">
        <f ca="1">_xlfn.FORMULATEXT(표1[[#This Row],[Q''ty]])</f>
        <v>=F2590</v>
      </c>
    </row>
    <row r="2690" spans="1:10" ht="15" hidden="1" customHeight="1" x14ac:dyDescent="0.4">
      <c r="A2690" s="6">
        <v>2026</v>
      </c>
      <c r="B2690" s="6">
        <f t="shared" si="341"/>
        <v>28</v>
      </c>
      <c r="C2690" s="13" t="s">
        <v>24</v>
      </c>
      <c r="D2690" s="2" t="s">
        <v>6</v>
      </c>
      <c r="E2690" s="14" t="s">
        <v>10</v>
      </c>
      <c r="F2690" s="22">
        <f t="shared" si="342"/>
        <v>6</v>
      </c>
      <c r="H2690" s="5" t="str">
        <f ca="1">_xlfn.FORMULATEXT(표1[[#This Row],[Q''ty]])</f>
        <v>=F2591</v>
      </c>
    </row>
    <row r="2691" spans="1:10" ht="15" hidden="1" customHeight="1" x14ac:dyDescent="0.4">
      <c r="A2691" s="6">
        <v>2026</v>
      </c>
      <c r="B2691" s="6">
        <f t="shared" si="341"/>
        <v>28</v>
      </c>
      <c r="C2691" s="13" t="s">
        <v>24</v>
      </c>
      <c r="D2691" s="2" t="s">
        <v>6</v>
      </c>
      <c r="E2691" s="14" t="s">
        <v>11</v>
      </c>
      <c r="F2691" s="22">
        <f t="shared" si="342"/>
        <v>8.8000000000000007</v>
      </c>
      <c r="H2691" s="5" t="str">
        <f ca="1">_xlfn.FORMULATEXT(표1[[#This Row],[Q''ty]])</f>
        <v>=F2592</v>
      </c>
    </row>
    <row r="2692" spans="1:10" ht="15" hidden="1" customHeight="1" x14ac:dyDescent="0.4">
      <c r="A2692" s="6">
        <v>2026</v>
      </c>
      <c r="B2692" s="6">
        <f t="shared" si="341"/>
        <v>28</v>
      </c>
      <c r="C2692" s="13" t="s">
        <v>24</v>
      </c>
      <c r="D2692" s="2" t="s">
        <v>12</v>
      </c>
      <c r="E2692" s="14" t="s">
        <v>13</v>
      </c>
      <c r="F2692" s="22"/>
      <c r="H2692" s="5" t="e">
        <f ca="1">_xlfn.FORMULATEXT(표1[[#This Row],[Q''ty]])</f>
        <v>#N/A</v>
      </c>
    </row>
    <row r="2693" spans="1:10" s="2" customFormat="1" ht="15" hidden="1" customHeight="1" x14ac:dyDescent="0.4">
      <c r="A2693" s="6">
        <v>2026</v>
      </c>
      <c r="B2693" s="6">
        <f t="shared" si="341"/>
        <v>28</v>
      </c>
      <c r="C2693" s="13" t="s">
        <v>24</v>
      </c>
      <c r="D2693" s="2" t="s">
        <v>12</v>
      </c>
      <c r="E2693" s="14" t="s">
        <v>14</v>
      </c>
      <c r="F2693" s="22"/>
      <c r="H2693" s="5" t="e">
        <f ca="1">_xlfn.FORMULATEXT(표1[[#This Row],[Q''ty]])</f>
        <v>#N/A</v>
      </c>
      <c r="I2693" s="26"/>
      <c r="J2693" s="26"/>
    </row>
    <row r="2694" spans="1:10" ht="15" hidden="1" customHeight="1" x14ac:dyDescent="0.4">
      <c r="A2694" s="6">
        <v>2026</v>
      </c>
      <c r="B2694" s="6">
        <f t="shared" si="341"/>
        <v>28</v>
      </c>
      <c r="C2694" s="13" t="s">
        <v>24</v>
      </c>
      <c r="D2694" s="2" t="s">
        <v>12</v>
      </c>
      <c r="E2694" s="14" t="s">
        <v>15</v>
      </c>
      <c r="F2694" s="22"/>
      <c r="H2694" s="5" t="e">
        <f ca="1">_xlfn.FORMULATEXT(표1[[#This Row],[Q''ty]])</f>
        <v>#N/A</v>
      </c>
    </row>
    <row r="2695" spans="1:10" ht="15" hidden="1" customHeight="1" x14ac:dyDescent="0.4">
      <c r="A2695" s="6">
        <v>2026</v>
      </c>
      <c r="B2695" s="6">
        <f t="shared" si="341"/>
        <v>28</v>
      </c>
      <c r="C2695" s="13" t="s">
        <v>24</v>
      </c>
      <c r="D2695" s="2" t="s">
        <v>12</v>
      </c>
      <c r="E2695" s="14" t="s">
        <v>16</v>
      </c>
      <c r="F2695" s="22"/>
      <c r="H2695" s="5" t="e">
        <f ca="1">_xlfn.FORMULATEXT(표1[[#This Row],[Q''ty]])</f>
        <v>#N/A</v>
      </c>
    </row>
    <row r="2696" spans="1:10" ht="15" hidden="1" customHeight="1" thickBot="1" x14ac:dyDescent="0.45">
      <c r="A2696" s="15">
        <v>2026</v>
      </c>
      <c r="B2696" s="15">
        <f t="shared" si="341"/>
        <v>28</v>
      </c>
      <c r="C2696" s="16" t="s">
        <v>24</v>
      </c>
      <c r="D2696" s="17" t="s">
        <v>12</v>
      </c>
      <c r="E2696" s="18" t="s">
        <v>17</v>
      </c>
      <c r="F2696" s="23"/>
      <c r="H2696" s="5" t="e">
        <f ca="1">_xlfn.FORMULATEXT(표1[[#This Row],[Q''ty]])</f>
        <v>#N/A</v>
      </c>
    </row>
    <row r="2697" spans="1:10" ht="15" hidden="1" customHeight="1" thickTop="1" x14ac:dyDescent="0.4">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10" ht="15" hidden="1" customHeight="1" x14ac:dyDescent="0.4">
      <c r="A2698" s="6">
        <v>2026</v>
      </c>
      <c r="B2698" s="6">
        <f t="shared" si="341"/>
        <v>28</v>
      </c>
      <c r="C2698" s="13" t="s">
        <v>18</v>
      </c>
      <c r="D2698" s="2" t="s">
        <v>6</v>
      </c>
      <c r="E2698" s="14" t="str">
        <f t="shared" si="343"/>
        <v>Paint Booth</v>
      </c>
      <c r="F2698" s="22">
        <f t="shared" si="343"/>
        <v>3</v>
      </c>
      <c r="H2698" s="5" t="str">
        <f ca="1">_xlfn.FORMULATEXT(표1[[#This Row],[Q''ty]])</f>
        <v>=F2599</v>
      </c>
    </row>
    <row r="2699" spans="1:10" ht="15" hidden="1" customHeight="1" x14ac:dyDescent="0.4">
      <c r="A2699" s="6">
        <v>2026</v>
      </c>
      <c r="B2699" s="6">
        <f t="shared" si="341"/>
        <v>28</v>
      </c>
      <c r="C2699" s="13" t="s">
        <v>18</v>
      </c>
      <c r="D2699" s="2" t="s">
        <v>6</v>
      </c>
      <c r="E2699" s="14" t="str">
        <f t="shared" si="343"/>
        <v>Paint Line</v>
      </c>
      <c r="F2699" s="22">
        <f t="shared" si="343"/>
        <v>2</v>
      </c>
      <c r="H2699" s="5" t="str">
        <f ca="1">_xlfn.FORMULATEXT(표1[[#This Row],[Q''ty]])</f>
        <v>=F2600</v>
      </c>
    </row>
    <row r="2700" spans="1:10" ht="15" hidden="1" customHeight="1" x14ac:dyDescent="0.4">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10" ht="15" hidden="1" customHeight="1" x14ac:dyDescent="0.4">
      <c r="A2701" s="6">
        <v>2026</v>
      </c>
      <c r="B2701" s="6">
        <f t="shared" si="341"/>
        <v>28</v>
      </c>
      <c r="C2701" s="13" t="s">
        <v>18</v>
      </c>
      <c r="D2701" s="2" t="s">
        <v>6</v>
      </c>
      <c r="E2701" s="14" t="str">
        <f t="shared" si="343"/>
        <v>L/W Machine</v>
      </c>
      <c r="F2701" s="22">
        <f t="shared" si="343"/>
        <v>2</v>
      </c>
      <c r="H2701" s="5" t="str">
        <f ca="1">_xlfn.FORMULATEXT(표1[[#This Row],[Q''ty]])</f>
        <v>=F2602</v>
      </c>
    </row>
    <row r="2702" spans="1:10" ht="15" hidden="1" customHeight="1" x14ac:dyDescent="0.4">
      <c r="A2702" s="6">
        <v>2026</v>
      </c>
      <c r="B2702" s="6">
        <f t="shared" si="341"/>
        <v>28</v>
      </c>
      <c r="C2702" s="13" t="s">
        <v>18</v>
      </c>
      <c r="D2702" s="2" t="s">
        <v>6</v>
      </c>
      <c r="E2702" s="14" t="str">
        <f t="shared" si="343"/>
        <v>C/W Machine</v>
      </c>
      <c r="F2702" s="22">
        <f t="shared" si="343"/>
        <v>3</v>
      </c>
      <c r="H2702" s="5" t="str">
        <f ca="1">_xlfn.FORMULATEXT(표1[[#This Row],[Q''ty]])</f>
        <v>=F2603</v>
      </c>
    </row>
    <row r="2703" spans="1:10" ht="15" hidden="1" customHeight="1" x14ac:dyDescent="0.4">
      <c r="A2703" s="6">
        <v>2026</v>
      </c>
      <c r="B2703" s="6">
        <f t="shared" si="341"/>
        <v>28</v>
      </c>
      <c r="C2703" s="13" t="s">
        <v>18</v>
      </c>
      <c r="D2703" s="2" t="s">
        <v>12</v>
      </c>
      <c r="E2703" s="14" t="str">
        <f t="shared" ref="E2703:E2718" si="344">E2604</f>
        <v>BT GT</v>
      </c>
      <c r="F2703" s="22"/>
      <c r="H2703" s="5" t="e">
        <f ca="1">_xlfn.FORMULATEXT(표1[[#This Row],[Q''ty]])</f>
        <v>#N/A</v>
      </c>
    </row>
    <row r="2704" spans="1:10" ht="15" hidden="1" customHeight="1" x14ac:dyDescent="0.4">
      <c r="A2704" s="6">
        <v>2026</v>
      </c>
      <c r="B2704" s="6">
        <f t="shared" si="341"/>
        <v>28</v>
      </c>
      <c r="C2704" s="13" t="s">
        <v>18</v>
      </c>
      <c r="D2704" s="2" t="s">
        <v>12</v>
      </c>
      <c r="E2704" s="14" t="str">
        <f t="shared" si="344"/>
        <v>WT GT</v>
      </c>
      <c r="F2704" s="22"/>
      <c r="H2704" s="5" t="e">
        <f ca="1">_xlfn.FORMULATEXT(표1[[#This Row],[Q''ty]])</f>
        <v>#N/A</v>
      </c>
    </row>
    <row r="2705" spans="1:8" ht="15" hidden="1" customHeight="1" x14ac:dyDescent="0.4">
      <c r="A2705" s="6">
        <v>2026</v>
      </c>
      <c r="B2705" s="6">
        <f t="shared" si="341"/>
        <v>28</v>
      </c>
      <c r="C2705" s="13" t="s">
        <v>18</v>
      </c>
      <c r="D2705" s="2" t="s">
        <v>12</v>
      </c>
      <c r="E2705" s="14" t="str">
        <f t="shared" si="344"/>
        <v>Bending</v>
      </c>
      <c r="F2705" s="22"/>
      <c r="H2705" s="5" t="e">
        <f ca="1">_xlfn.FORMULATEXT(표1[[#This Row],[Q''ty]])</f>
        <v>#N/A</v>
      </c>
    </row>
    <row r="2706" spans="1:8" ht="15" hidden="1" customHeight="1" x14ac:dyDescent="0.4">
      <c r="A2706" s="6">
        <v>2026</v>
      </c>
      <c r="B2706" s="6">
        <f t="shared" si="341"/>
        <v>28</v>
      </c>
      <c r="C2706" s="13" t="s">
        <v>18</v>
      </c>
      <c r="D2706" s="2" t="s">
        <v>12</v>
      </c>
      <c r="E2706" s="14" t="str">
        <f t="shared" si="344"/>
        <v>L/W</v>
      </c>
      <c r="F2706" s="22"/>
      <c r="H2706" s="5" t="e">
        <f ca="1">_xlfn.FORMULATEXT(표1[[#This Row],[Q''ty]])</f>
        <v>#N/A</v>
      </c>
    </row>
    <row r="2707" spans="1:8" ht="15" hidden="1" customHeight="1" thickBot="1" x14ac:dyDescent="0.45">
      <c r="A2707" s="15">
        <v>2026</v>
      </c>
      <c r="B2707" s="15">
        <f t="shared" si="341"/>
        <v>28</v>
      </c>
      <c r="C2707" s="16" t="s">
        <v>18</v>
      </c>
      <c r="D2707" s="17" t="s">
        <v>12</v>
      </c>
      <c r="E2707" s="18" t="str">
        <f t="shared" si="344"/>
        <v>C/W</v>
      </c>
      <c r="F2707" s="23"/>
      <c r="H2707" s="5" t="e">
        <f ca="1">_xlfn.FORMULATEXT(표1[[#This Row],[Q''ty]])</f>
        <v>#N/A</v>
      </c>
    </row>
    <row r="2708" spans="1:8" ht="15" hidden="1" customHeight="1" thickTop="1" x14ac:dyDescent="0.4">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hidden="1" customHeight="1" x14ac:dyDescent="0.4">
      <c r="A2709" s="6">
        <v>2026</v>
      </c>
      <c r="B2709" s="6">
        <f t="shared" si="341"/>
        <v>28</v>
      </c>
      <c r="C2709" s="13" t="s">
        <v>19</v>
      </c>
      <c r="D2709" s="2" t="s">
        <v>6</v>
      </c>
      <c r="E2709" s="14" t="str">
        <f t="shared" si="344"/>
        <v>Paint Booth</v>
      </c>
      <c r="F2709" s="22">
        <f t="shared" si="345"/>
        <v>22</v>
      </c>
      <c r="H2709" s="5" t="str">
        <f ca="1">_xlfn.FORMULATEXT(표1[[#This Row],[Q''ty]])</f>
        <v>=F2610</v>
      </c>
    </row>
    <row r="2710" spans="1:8" ht="15" hidden="1" customHeight="1" x14ac:dyDescent="0.4">
      <c r="A2710" s="6">
        <v>2026</v>
      </c>
      <c r="B2710" s="6">
        <f t="shared" si="341"/>
        <v>28</v>
      </c>
      <c r="C2710" s="13" t="s">
        <v>19</v>
      </c>
      <c r="D2710" s="2" t="s">
        <v>6</v>
      </c>
      <c r="E2710" s="14" t="str">
        <f t="shared" si="344"/>
        <v>Paint Line</v>
      </c>
      <c r="F2710" s="22">
        <f t="shared" si="345"/>
        <v>6</v>
      </c>
      <c r="H2710" s="5" t="str">
        <f ca="1">_xlfn.FORMULATEXT(표1[[#This Row],[Q''ty]])</f>
        <v>=F2611</v>
      </c>
    </row>
    <row r="2711" spans="1:8" ht="15" hidden="1" customHeight="1" x14ac:dyDescent="0.4">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hidden="1" customHeight="1" x14ac:dyDescent="0.4">
      <c r="A2712" s="6">
        <v>2026</v>
      </c>
      <c r="B2712" s="6">
        <f t="shared" si="341"/>
        <v>28</v>
      </c>
      <c r="C2712" s="13" t="s">
        <v>19</v>
      </c>
      <c r="D2712" s="2" t="s">
        <v>6</v>
      </c>
      <c r="E2712" s="14" t="str">
        <f t="shared" si="344"/>
        <v>L/W Machine</v>
      </c>
      <c r="F2712" s="22">
        <f t="shared" si="345"/>
        <v>10</v>
      </c>
      <c r="H2712" s="5" t="str">
        <f ca="1">_xlfn.FORMULATEXT(표1[[#This Row],[Q''ty]])</f>
        <v>=F2613</v>
      </c>
    </row>
    <row r="2713" spans="1:8" ht="15" hidden="1" customHeight="1" x14ac:dyDescent="0.4">
      <c r="A2713" s="6">
        <v>2026</v>
      </c>
      <c r="B2713" s="6">
        <f t="shared" si="341"/>
        <v>28</v>
      </c>
      <c r="C2713" s="13" t="s">
        <v>19</v>
      </c>
      <c r="D2713" s="2" t="s">
        <v>6</v>
      </c>
      <c r="E2713" s="14" t="str">
        <f t="shared" si="344"/>
        <v>C/W Machine</v>
      </c>
      <c r="F2713" s="22">
        <f t="shared" si="345"/>
        <v>12</v>
      </c>
      <c r="H2713" s="5" t="str">
        <f ca="1">_xlfn.FORMULATEXT(표1[[#This Row],[Q''ty]])</f>
        <v>=F2614</v>
      </c>
    </row>
    <row r="2714" spans="1:8" ht="15" hidden="1" customHeight="1" x14ac:dyDescent="0.4">
      <c r="A2714" s="6">
        <v>2026</v>
      </c>
      <c r="B2714" s="6">
        <f t="shared" si="341"/>
        <v>28</v>
      </c>
      <c r="C2714" s="13" t="s">
        <v>19</v>
      </c>
      <c r="D2714" s="2" t="s">
        <v>12</v>
      </c>
      <c r="E2714" s="14" t="str">
        <f t="shared" si="344"/>
        <v>BT GT</v>
      </c>
      <c r="F2714" s="22"/>
      <c r="H2714" s="5" t="e">
        <f ca="1">_xlfn.FORMULATEXT(표1[[#This Row],[Q''ty]])</f>
        <v>#N/A</v>
      </c>
    </row>
    <row r="2715" spans="1:8" ht="15" hidden="1" customHeight="1" x14ac:dyDescent="0.4">
      <c r="A2715" s="6">
        <v>2026</v>
      </c>
      <c r="B2715" s="6">
        <f t="shared" si="341"/>
        <v>28</v>
      </c>
      <c r="C2715" s="13" t="s">
        <v>19</v>
      </c>
      <c r="D2715" s="2" t="s">
        <v>12</v>
      </c>
      <c r="E2715" s="14" t="str">
        <f t="shared" si="344"/>
        <v>WT GT</v>
      </c>
      <c r="F2715" s="22"/>
      <c r="H2715" s="5" t="e">
        <f ca="1">_xlfn.FORMULATEXT(표1[[#This Row],[Q''ty]])</f>
        <v>#N/A</v>
      </c>
    </row>
    <row r="2716" spans="1:8" ht="15" hidden="1" customHeight="1" x14ac:dyDescent="0.4">
      <c r="A2716" s="6">
        <v>2026</v>
      </c>
      <c r="B2716" s="6">
        <f t="shared" si="341"/>
        <v>28</v>
      </c>
      <c r="C2716" s="13" t="s">
        <v>19</v>
      </c>
      <c r="D2716" s="2" t="s">
        <v>12</v>
      </c>
      <c r="E2716" s="14" t="str">
        <f t="shared" si="344"/>
        <v>Bending</v>
      </c>
      <c r="F2716" s="22"/>
      <c r="H2716" s="5" t="e">
        <f ca="1">_xlfn.FORMULATEXT(표1[[#This Row],[Q''ty]])</f>
        <v>#N/A</v>
      </c>
    </row>
    <row r="2717" spans="1:8" ht="15" hidden="1" customHeight="1" x14ac:dyDescent="0.4">
      <c r="A2717" s="6">
        <v>2026</v>
      </c>
      <c r="B2717" s="6">
        <f t="shared" si="341"/>
        <v>28</v>
      </c>
      <c r="C2717" s="13" t="s">
        <v>19</v>
      </c>
      <c r="D2717" s="2" t="s">
        <v>12</v>
      </c>
      <c r="E2717" s="14" t="str">
        <f t="shared" si="344"/>
        <v>L/W</v>
      </c>
      <c r="F2717" s="22"/>
      <c r="H2717" s="5" t="e">
        <f ca="1">_xlfn.FORMULATEXT(표1[[#This Row],[Q''ty]])</f>
        <v>#N/A</v>
      </c>
    </row>
    <row r="2718" spans="1:8" ht="15" hidden="1" customHeight="1" thickBot="1" x14ac:dyDescent="0.45">
      <c r="A2718" s="15">
        <v>2026</v>
      </c>
      <c r="B2718" s="15">
        <f t="shared" si="341"/>
        <v>28</v>
      </c>
      <c r="C2718" s="16" t="s">
        <v>19</v>
      </c>
      <c r="D2718" s="17" t="s">
        <v>12</v>
      </c>
      <c r="E2718" s="18" t="str">
        <f t="shared" si="344"/>
        <v>C/W</v>
      </c>
      <c r="F2718" s="23"/>
      <c r="H2718" s="5" t="e">
        <f ca="1">_xlfn.FORMULATEXT(표1[[#This Row],[Q''ty]])</f>
        <v>#N/A</v>
      </c>
    </row>
    <row r="2719" spans="1:8" ht="15" hidden="1" customHeight="1" thickTop="1" x14ac:dyDescent="0.4">
      <c r="A2719" s="6">
        <v>2026</v>
      </c>
      <c r="B2719" s="6">
        <f t="shared" si="341"/>
        <v>28</v>
      </c>
      <c r="C2719" s="13" t="s">
        <v>25</v>
      </c>
      <c r="D2719" s="2" t="s">
        <v>6</v>
      </c>
      <c r="E2719" s="14" t="s">
        <v>7</v>
      </c>
      <c r="F2719" s="22">
        <f t="shared" ref="F2719:F2724" si="346">F2620</f>
        <v>3</v>
      </c>
      <c r="H2719" s="5" t="str">
        <f ca="1">_xlfn.FORMULATEXT(표1[[#This Row],[Q''ty]])</f>
        <v>=F2620</v>
      </c>
    </row>
    <row r="2720" spans="1:8" ht="15" hidden="1" customHeight="1" x14ac:dyDescent="0.4">
      <c r="A2720" s="6">
        <v>2026</v>
      </c>
      <c r="B2720" s="6">
        <f t="shared" si="341"/>
        <v>28</v>
      </c>
      <c r="C2720" s="13" t="s">
        <v>25</v>
      </c>
      <c r="D2720" s="2" t="s">
        <v>6</v>
      </c>
      <c r="E2720" s="14" t="s">
        <v>8</v>
      </c>
      <c r="F2720" s="22">
        <f t="shared" si="346"/>
        <v>3</v>
      </c>
      <c r="H2720" s="5" t="str">
        <f ca="1">_xlfn.FORMULATEXT(표1[[#This Row],[Q''ty]])</f>
        <v>=F2621</v>
      </c>
    </row>
    <row r="2721" spans="1:8" ht="15" hidden="1" customHeight="1" x14ac:dyDescent="0.4">
      <c r="A2721" s="6">
        <v>2026</v>
      </c>
      <c r="B2721" s="6">
        <f t="shared" si="341"/>
        <v>28</v>
      </c>
      <c r="C2721" s="13" t="s">
        <v>25</v>
      </c>
      <c r="D2721" s="2" t="s">
        <v>6</v>
      </c>
      <c r="E2721" s="14" t="s">
        <v>9</v>
      </c>
      <c r="F2721" s="22">
        <f t="shared" si="346"/>
        <v>2</v>
      </c>
      <c r="H2721" s="5" t="str">
        <f ca="1">_xlfn.FORMULATEXT(표1[[#This Row],[Q''ty]])</f>
        <v>=F2622</v>
      </c>
    </row>
    <row r="2722" spans="1:8" ht="15" hidden="1" customHeight="1" x14ac:dyDescent="0.4">
      <c r="A2722" s="6">
        <v>2026</v>
      </c>
      <c r="B2722" s="6">
        <f t="shared" si="341"/>
        <v>28</v>
      </c>
      <c r="C2722" s="13" t="s">
        <v>25</v>
      </c>
      <c r="D2722" s="2" t="s">
        <v>6</v>
      </c>
      <c r="E2722" s="14" t="s">
        <v>27</v>
      </c>
      <c r="F2722" s="22">
        <f t="shared" si="346"/>
        <v>2</v>
      </c>
      <c r="H2722" s="5" t="str">
        <f ca="1">_xlfn.FORMULATEXT(표1[[#This Row],[Q''ty]])</f>
        <v>=F2623</v>
      </c>
    </row>
    <row r="2723" spans="1:8" ht="15" hidden="1" customHeight="1" x14ac:dyDescent="0.4">
      <c r="A2723" s="6">
        <v>2026</v>
      </c>
      <c r="B2723" s="6">
        <f t="shared" si="341"/>
        <v>28</v>
      </c>
      <c r="C2723" s="13" t="s">
        <v>25</v>
      </c>
      <c r="D2723" s="2" t="s">
        <v>6</v>
      </c>
      <c r="E2723" s="14" t="s">
        <v>10</v>
      </c>
      <c r="F2723" s="22">
        <f t="shared" si="346"/>
        <v>3</v>
      </c>
      <c r="H2723" s="5" t="str">
        <f ca="1">_xlfn.FORMULATEXT(표1[[#This Row],[Q''ty]])</f>
        <v>=F2624</v>
      </c>
    </row>
    <row r="2724" spans="1:8" ht="15" hidden="1" customHeight="1" x14ac:dyDescent="0.4">
      <c r="A2724" s="6">
        <v>2026</v>
      </c>
      <c r="B2724" s="6">
        <f t="shared" si="341"/>
        <v>28</v>
      </c>
      <c r="C2724" s="13" t="s">
        <v>25</v>
      </c>
      <c r="D2724" s="2" t="s">
        <v>6</v>
      </c>
      <c r="E2724" s="14" t="s">
        <v>11</v>
      </c>
      <c r="F2724" s="22">
        <f t="shared" si="346"/>
        <v>4</v>
      </c>
      <c r="H2724" s="5" t="str">
        <f ca="1">_xlfn.FORMULATEXT(표1[[#This Row],[Q''ty]])</f>
        <v>=F2625</v>
      </c>
    </row>
    <row r="2725" spans="1:8" ht="15" hidden="1" customHeight="1" x14ac:dyDescent="0.4">
      <c r="A2725" s="6">
        <v>2026</v>
      </c>
      <c r="B2725" s="6">
        <f t="shared" si="341"/>
        <v>28</v>
      </c>
      <c r="C2725" s="13" t="s">
        <v>25</v>
      </c>
      <c r="D2725" s="2" t="s">
        <v>12</v>
      </c>
      <c r="E2725" s="14" t="s">
        <v>13</v>
      </c>
      <c r="F2725" s="22"/>
      <c r="H2725" s="5" t="e">
        <f ca="1">_xlfn.FORMULATEXT(표1[[#This Row],[Q''ty]])</f>
        <v>#N/A</v>
      </c>
    </row>
    <row r="2726" spans="1:8" ht="15" hidden="1" customHeight="1" x14ac:dyDescent="0.4">
      <c r="A2726" s="6">
        <v>2026</v>
      </c>
      <c r="B2726" s="6">
        <f t="shared" si="341"/>
        <v>28</v>
      </c>
      <c r="C2726" s="13" t="s">
        <v>25</v>
      </c>
      <c r="D2726" s="2" t="s">
        <v>12</v>
      </c>
      <c r="E2726" s="14" t="s">
        <v>14</v>
      </c>
      <c r="F2726" s="22"/>
      <c r="H2726" s="5" t="e">
        <f ca="1">_xlfn.FORMULATEXT(표1[[#This Row],[Q''ty]])</f>
        <v>#N/A</v>
      </c>
    </row>
    <row r="2727" spans="1:8" ht="15" hidden="1" customHeight="1" x14ac:dyDescent="0.4">
      <c r="A2727" s="6">
        <v>2026</v>
      </c>
      <c r="B2727" s="6">
        <f t="shared" si="341"/>
        <v>28</v>
      </c>
      <c r="C2727" s="13" t="s">
        <v>25</v>
      </c>
      <c r="D2727" s="2" t="s">
        <v>12</v>
      </c>
      <c r="E2727" s="14" t="s">
        <v>15</v>
      </c>
      <c r="F2727" s="22"/>
      <c r="H2727" s="5" t="e">
        <f ca="1">_xlfn.FORMULATEXT(표1[[#This Row],[Q''ty]])</f>
        <v>#N/A</v>
      </c>
    </row>
    <row r="2728" spans="1:8" ht="15" hidden="1" customHeight="1" x14ac:dyDescent="0.4">
      <c r="A2728" s="6">
        <v>2026</v>
      </c>
      <c r="B2728" s="6">
        <f t="shared" si="341"/>
        <v>28</v>
      </c>
      <c r="C2728" s="13" t="s">
        <v>25</v>
      </c>
      <c r="D2728" s="2" t="s">
        <v>12</v>
      </c>
      <c r="E2728" s="14" t="s">
        <v>16</v>
      </c>
      <c r="F2728" s="22"/>
      <c r="H2728" s="5" t="e">
        <f ca="1">_xlfn.FORMULATEXT(표1[[#This Row],[Q''ty]])</f>
        <v>#N/A</v>
      </c>
    </row>
    <row r="2729" spans="1:8" ht="15" hidden="1" customHeight="1" thickBot="1" x14ac:dyDescent="0.45">
      <c r="A2729" s="15">
        <v>2026</v>
      </c>
      <c r="B2729" s="15">
        <f t="shared" si="341"/>
        <v>28</v>
      </c>
      <c r="C2729" s="16" t="s">
        <v>25</v>
      </c>
      <c r="D2729" s="17" t="s">
        <v>12</v>
      </c>
      <c r="E2729" s="18" t="s">
        <v>17</v>
      </c>
      <c r="F2729" s="23"/>
      <c r="H2729" s="5" t="e">
        <f ca="1">_xlfn.FORMULATEXT(표1[[#This Row],[Q''ty]])</f>
        <v>#N/A</v>
      </c>
    </row>
    <row r="2730" spans="1:8" ht="15" hidden="1" customHeight="1" thickTop="1" x14ac:dyDescent="0.4">
      <c r="A2730" s="6">
        <v>2026</v>
      </c>
      <c r="B2730" s="6">
        <f t="shared" si="341"/>
        <v>28</v>
      </c>
      <c r="C2730" s="13" t="s">
        <v>26</v>
      </c>
      <c r="D2730" s="2" t="s">
        <v>6</v>
      </c>
      <c r="E2730" s="14" t="s">
        <v>7</v>
      </c>
      <c r="F2730" s="22">
        <f t="shared" ref="F2730:F2735" si="347">F2631</f>
        <v>6</v>
      </c>
      <c r="H2730" s="5" t="str">
        <f ca="1">_xlfn.FORMULATEXT(표1[[#This Row],[Q''ty]])</f>
        <v>=F2631</v>
      </c>
    </row>
    <row r="2731" spans="1:8" ht="15" hidden="1" customHeight="1" x14ac:dyDescent="0.4">
      <c r="A2731" s="6">
        <v>2026</v>
      </c>
      <c r="B2731" s="6">
        <f t="shared" si="341"/>
        <v>28</v>
      </c>
      <c r="C2731" s="13" t="s">
        <v>26</v>
      </c>
      <c r="D2731" s="2" t="s">
        <v>6</v>
      </c>
      <c r="E2731" s="14" t="s">
        <v>8</v>
      </c>
      <c r="F2731" s="22">
        <f t="shared" si="347"/>
        <v>4</v>
      </c>
      <c r="H2731" s="5" t="str">
        <f ca="1">_xlfn.FORMULATEXT(표1[[#This Row],[Q''ty]])</f>
        <v>=F2632</v>
      </c>
    </row>
    <row r="2732" spans="1:8" ht="15" hidden="1" customHeight="1" x14ac:dyDescent="0.4">
      <c r="A2732" s="6">
        <v>2026</v>
      </c>
      <c r="B2732" s="6">
        <f t="shared" si="341"/>
        <v>28</v>
      </c>
      <c r="C2732" s="13" t="s">
        <v>26</v>
      </c>
      <c r="D2732" s="2" t="s">
        <v>6</v>
      </c>
      <c r="E2732" s="14" t="s">
        <v>9</v>
      </c>
      <c r="F2732" s="22">
        <f t="shared" si="347"/>
        <v>2</v>
      </c>
      <c r="H2732" s="5" t="str">
        <f ca="1">_xlfn.FORMULATEXT(표1[[#This Row],[Q''ty]])</f>
        <v>=F2633</v>
      </c>
    </row>
    <row r="2733" spans="1:8" ht="15" hidden="1" customHeight="1" x14ac:dyDescent="0.4">
      <c r="A2733" s="6">
        <v>2026</v>
      </c>
      <c r="B2733" s="6">
        <f t="shared" si="341"/>
        <v>28</v>
      </c>
      <c r="C2733" s="13" t="s">
        <v>26</v>
      </c>
      <c r="D2733" s="2" t="s">
        <v>6</v>
      </c>
      <c r="E2733" s="14" t="s">
        <v>27</v>
      </c>
      <c r="F2733" s="22">
        <f t="shared" si="347"/>
        <v>3</v>
      </c>
      <c r="H2733" s="5" t="str">
        <f ca="1">_xlfn.FORMULATEXT(표1[[#This Row],[Q''ty]])</f>
        <v>=F2634</v>
      </c>
    </row>
    <row r="2734" spans="1:8" ht="15" hidden="1" customHeight="1" x14ac:dyDescent="0.4">
      <c r="A2734" s="6">
        <v>2026</v>
      </c>
      <c r="B2734" s="6">
        <f t="shared" si="341"/>
        <v>28</v>
      </c>
      <c r="C2734" s="13" t="s">
        <v>26</v>
      </c>
      <c r="D2734" s="2" t="s">
        <v>6</v>
      </c>
      <c r="E2734" s="14" t="s">
        <v>10</v>
      </c>
      <c r="F2734" s="22">
        <f t="shared" si="347"/>
        <v>4</v>
      </c>
      <c r="H2734" s="5" t="str">
        <f ca="1">_xlfn.FORMULATEXT(표1[[#This Row],[Q''ty]])</f>
        <v>=F2635</v>
      </c>
    </row>
    <row r="2735" spans="1:8" ht="15" hidden="1" customHeight="1" x14ac:dyDescent="0.4">
      <c r="A2735" s="6">
        <v>2026</v>
      </c>
      <c r="B2735" s="6">
        <f t="shared" si="341"/>
        <v>28</v>
      </c>
      <c r="C2735" s="13" t="s">
        <v>26</v>
      </c>
      <c r="D2735" s="2" t="s">
        <v>6</v>
      </c>
      <c r="E2735" s="14" t="s">
        <v>11</v>
      </c>
      <c r="F2735" s="22">
        <f t="shared" si="347"/>
        <v>6</v>
      </c>
      <c r="H2735" s="5" t="str">
        <f ca="1">_xlfn.FORMULATEXT(표1[[#This Row],[Q''ty]])</f>
        <v>=F2636</v>
      </c>
    </row>
    <row r="2736" spans="1:8" ht="15" hidden="1" customHeight="1" x14ac:dyDescent="0.4">
      <c r="A2736" s="6">
        <v>2026</v>
      </c>
      <c r="B2736" s="6">
        <f t="shared" si="341"/>
        <v>28</v>
      </c>
      <c r="C2736" s="13" t="s">
        <v>26</v>
      </c>
      <c r="D2736" s="2" t="s">
        <v>12</v>
      </c>
      <c r="E2736" s="14" t="str">
        <f t="shared" ref="E2736:E2773" si="348">E2637</f>
        <v>BT GT</v>
      </c>
      <c r="F2736" s="22"/>
      <c r="H2736" s="5" t="e">
        <f ca="1">_xlfn.FORMULATEXT(표1[[#This Row],[Q''ty]])</f>
        <v>#N/A</v>
      </c>
    </row>
    <row r="2737" spans="1:8" ht="15" hidden="1" customHeight="1" x14ac:dyDescent="0.4">
      <c r="A2737" s="6">
        <v>2026</v>
      </c>
      <c r="B2737" s="6">
        <f t="shared" si="341"/>
        <v>28</v>
      </c>
      <c r="C2737" s="13" t="s">
        <v>26</v>
      </c>
      <c r="D2737" s="2" t="s">
        <v>12</v>
      </c>
      <c r="E2737" s="14" t="str">
        <f t="shared" si="348"/>
        <v>WT GT</v>
      </c>
      <c r="F2737" s="22"/>
      <c r="H2737" s="5" t="e">
        <f ca="1">_xlfn.FORMULATEXT(표1[[#This Row],[Q''ty]])</f>
        <v>#N/A</v>
      </c>
    </row>
    <row r="2738" spans="1:8" ht="15" hidden="1" customHeight="1" x14ac:dyDescent="0.4">
      <c r="A2738" s="6">
        <v>2026</v>
      </c>
      <c r="B2738" s="6">
        <f t="shared" si="341"/>
        <v>28</v>
      </c>
      <c r="C2738" s="13" t="s">
        <v>26</v>
      </c>
      <c r="D2738" s="2" t="s">
        <v>12</v>
      </c>
      <c r="E2738" s="14" t="str">
        <f t="shared" si="348"/>
        <v>Bending</v>
      </c>
      <c r="F2738" s="22"/>
      <c r="H2738" s="5" t="e">
        <f ca="1">_xlfn.FORMULATEXT(표1[[#This Row],[Q''ty]])</f>
        <v>#N/A</v>
      </c>
    </row>
    <row r="2739" spans="1:8" ht="15" hidden="1" customHeight="1" x14ac:dyDescent="0.4">
      <c r="A2739" s="6">
        <v>2026</v>
      </c>
      <c r="B2739" s="6">
        <f t="shared" si="341"/>
        <v>28</v>
      </c>
      <c r="C2739" s="13" t="s">
        <v>26</v>
      </c>
      <c r="D2739" s="2" t="s">
        <v>12</v>
      </c>
      <c r="E2739" s="14" t="str">
        <f t="shared" si="348"/>
        <v>L/W</v>
      </c>
      <c r="F2739" s="22"/>
      <c r="H2739" s="5" t="e">
        <f ca="1">_xlfn.FORMULATEXT(표1[[#This Row],[Q''ty]])</f>
        <v>#N/A</v>
      </c>
    </row>
    <row r="2740" spans="1:8" ht="15" hidden="1" customHeight="1" thickBot="1" x14ac:dyDescent="0.45">
      <c r="A2740" s="15">
        <v>2026</v>
      </c>
      <c r="B2740" s="15">
        <f t="shared" ref="B2740:B2773" si="349">B2641+1</f>
        <v>28</v>
      </c>
      <c r="C2740" s="16" t="s">
        <v>26</v>
      </c>
      <c r="D2740" s="17" t="s">
        <v>12</v>
      </c>
      <c r="E2740" s="18" t="str">
        <f t="shared" si="348"/>
        <v>C/W</v>
      </c>
      <c r="F2740" s="23"/>
      <c r="H2740" s="5" t="e">
        <f ca="1">_xlfn.FORMULATEXT(표1[[#This Row],[Q''ty]])</f>
        <v>#N/A</v>
      </c>
    </row>
    <row r="2741" spans="1:8" ht="15" hidden="1" customHeight="1" thickTop="1" x14ac:dyDescent="0.4">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hidden="1" customHeight="1" x14ac:dyDescent="0.4">
      <c r="A2742" s="6">
        <v>2026</v>
      </c>
      <c r="B2742" s="6">
        <f t="shared" si="349"/>
        <v>28</v>
      </c>
      <c r="C2742" s="13" t="s">
        <v>20</v>
      </c>
      <c r="D2742" s="2" t="s">
        <v>6</v>
      </c>
      <c r="E2742" s="14" t="str">
        <f t="shared" si="348"/>
        <v>Paint Booth</v>
      </c>
      <c r="F2742" s="22">
        <f t="shared" si="350"/>
        <v>16</v>
      </c>
      <c r="H2742" s="5" t="str">
        <f ca="1">_xlfn.FORMULATEXT(표1[[#This Row],[Q''ty]])</f>
        <v>=F2643</v>
      </c>
    </row>
    <row r="2743" spans="1:8" ht="15" hidden="1" customHeight="1" x14ac:dyDescent="0.4">
      <c r="A2743" s="6">
        <v>2026</v>
      </c>
      <c r="B2743" s="6">
        <f t="shared" si="349"/>
        <v>28</v>
      </c>
      <c r="C2743" s="13" t="s">
        <v>20</v>
      </c>
      <c r="D2743" s="2" t="s">
        <v>6</v>
      </c>
      <c r="E2743" s="14" t="str">
        <f t="shared" si="348"/>
        <v>Paint Line</v>
      </c>
      <c r="F2743" s="22">
        <f t="shared" si="350"/>
        <v>8</v>
      </c>
      <c r="H2743" s="5" t="str">
        <f ca="1">_xlfn.FORMULATEXT(표1[[#This Row],[Q''ty]])</f>
        <v>=F2644</v>
      </c>
    </row>
    <row r="2744" spans="1:8" ht="15" hidden="1" customHeight="1" x14ac:dyDescent="0.4">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hidden="1" customHeight="1" x14ac:dyDescent="0.4">
      <c r="A2745" s="6">
        <v>2026</v>
      </c>
      <c r="B2745" s="6">
        <f t="shared" si="349"/>
        <v>28</v>
      </c>
      <c r="C2745" s="13" t="s">
        <v>20</v>
      </c>
      <c r="D2745" s="2" t="s">
        <v>6</v>
      </c>
      <c r="E2745" s="14" t="str">
        <f t="shared" si="348"/>
        <v>L/W Machine</v>
      </c>
      <c r="F2745" s="22">
        <f t="shared" si="350"/>
        <v>11</v>
      </c>
      <c r="H2745" s="5" t="str">
        <f ca="1">_xlfn.FORMULATEXT(표1[[#This Row],[Q''ty]])</f>
        <v>=F2646</v>
      </c>
    </row>
    <row r="2746" spans="1:8" ht="15" hidden="1" customHeight="1" x14ac:dyDescent="0.4">
      <c r="A2746" s="6">
        <v>2026</v>
      </c>
      <c r="B2746" s="6">
        <f t="shared" si="349"/>
        <v>28</v>
      </c>
      <c r="C2746" s="13" t="s">
        <v>20</v>
      </c>
      <c r="D2746" s="2" t="s">
        <v>6</v>
      </c>
      <c r="E2746" s="14" t="str">
        <f t="shared" si="348"/>
        <v>C/W Machine</v>
      </c>
      <c r="F2746" s="22">
        <f t="shared" si="350"/>
        <v>15</v>
      </c>
      <c r="H2746" s="5" t="str">
        <f ca="1">_xlfn.FORMULATEXT(표1[[#This Row],[Q''ty]])</f>
        <v>=F2647</v>
      </c>
    </row>
    <row r="2747" spans="1:8" ht="15" hidden="1" customHeight="1" x14ac:dyDescent="0.4">
      <c r="A2747" s="6">
        <v>2026</v>
      </c>
      <c r="B2747" s="6">
        <f t="shared" si="349"/>
        <v>28</v>
      </c>
      <c r="C2747" s="13" t="s">
        <v>20</v>
      </c>
      <c r="D2747" s="2" t="s">
        <v>12</v>
      </c>
      <c r="E2747" s="14" t="str">
        <f t="shared" si="348"/>
        <v>BT GT</v>
      </c>
      <c r="F2747" s="22"/>
      <c r="H2747" s="5" t="e">
        <f ca="1">_xlfn.FORMULATEXT(표1[[#This Row],[Q''ty]])</f>
        <v>#N/A</v>
      </c>
    </row>
    <row r="2748" spans="1:8" ht="15" hidden="1" customHeight="1" x14ac:dyDescent="0.4">
      <c r="A2748" s="6">
        <v>2026</v>
      </c>
      <c r="B2748" s="6">
        <f t="shared" si="349"/>
        <v>28</v>
      </c>
      <c r="C2748" s="13" t="s">
        <v>20</v>
      </c>
      <c r="D2748" s="2" t="s">
        <v>12</v>
      </c>
      <c r="E2748" s="14" t="str">
        <f t="shared" si="348"/>
        <v>WT GT</v>
      </c>
      <c r="F2748" s="22"/>
      <c r="H2748" s="5" t="e">
        <f ca="1">_xlfn.FORMULATEXT(표1[[#This Row],[Q''ty]])</f>
        <v>#N/A</v>
      </c>
    </row>
    <row r="2749" spans="1:8" ht="15" hidden="1" customHeight="1" x14ac:dyDescent="0.4">
      <c r="A2749" s="6">
        <v>2026</v>
      </c>
      <c r="B2749" s="6">
        <f t="shared" si="349"/>
        <v>28</v>
      </c>
      <c r="C2749" s="13" t="s">
        <v>20</v>
      </c>
      <c r="D2749" s="2" t="s">
        <v>12</v>
      </c>
      <c r="E2749" s="14" t="str">
        <f t="shared" si="348"/>
        <v>Bending</v>
      </c>
      <c r="F2749" s="22"/>
      <c r="H2749" s="5" t="e">
        <f ca="1">_xlfn.FORMULATEXT(표1[[#This Row],[Q''ty]])</f>
        <v>#N/A</v>
      </c>
    </row>
    <row r="2750" spans="1:8" ht="15" hidden="1" customHeight="1" x14ac:dyDescent="0.4">
      <c r="A2750" s="6">
        <v>2026</v>
      </c>
      <c r="B2750" s="6">
        <f t="shared" si="349"/>
        <v>28</v>
      </c>
      <c r="C2750" s="13" t="s">
        <v>20</v>
      </c>
      <c r="D2750" s="2" t="s">
        <v>12</v>
      </c>
      <c r="E2750" s="14" t="str">
        <f t="shared" si="348"/>
        <v>L/W</v>
      </c>
      <c r="F2750" s="22"/>
      <c r="H2750" s="5" t="e">
        <f ca="1">_xlfn.FORMULATEXT(표1[[#This Row],[Q''ty]])</f>
        <v>#N/A</v>
      </c>
    </row>
    <row r="2751" spans="1:8" ht="15" hidden="1" customHeight="1" thickBot="1" x14ac:dyDescent="0.45">
      <c r="A2751" s="15">
        <v>2026</v>
      </c>
      <c r="B2751" s="15">
        <f t="shared" si="349"/>
        <v>28</v>
      </c>
      <c r="C2751" s="16" t="s">
        <v>20</v>
      </c>
      <c r="D2751" s="17" t="s">
        <v>12</v>
      </c>
      <c r="E2751" s="18" t="str">
        <f t="shared" si="348"/>
        <v>C/W</v>
      </c>
      <c r="F2751" s="23"/>
      <c r="H2751" s="5" t="e">
        <f ca="1">_xlfn.FORMULATEXT(표1[[#This Row],[Q''ty]])</f>
        <v>#N/A</v>
      </c>
    </row>
    <row r="2752" spans="1:8" ht="15" hidden="1" customHeight="1" thickTop="1" x14ac:dyDescent="0.4">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hidden="1" customHeight="1" x14ac:dyDescent="0.4">
      <c r="A2753" s="6">
        <v>2026</v>
      </c>
      <c r="B2753" s="6">
        <f t="shared" si="349"/>
        <v>28</v>
      </c>
      <c r="C2753" s="13" t="s">
        <v>21</v>
      </c>
      <c r="D2753" s="2" t="s">
        <v>6</v>
      </c>
      <c r="E2753" s="14" t="str">
        <f t="shared" si="348"/>
        <v>Paint Booth</v>
      </c>
      <c r="F2753" s="22">
        <f t="shared" si="351"/>
        <v>4</v>
      </c>
      <c r="H2753" s="5" t="str">
        <f ca="1">_xlfn.FORMULATEXT(표1[[#This Row],[Q''ty]])</f>
        <v>=F2654</v>
      </c>
    </row>
    <row r="2754" spans="1:8" ht="15" hidden="1" customHeight="1" x14ac:dyDescent="0.4">
      <c r="A2754" s="6">
        <v>2026</v>
      </c>
      <c r="B2754" s="6">
        <f t="shared" si="349"/>
        <v>28</v>
      </c>
      <c r="C2754" s="13" t="s">
        <v>21</v>
      </c>
      <c r="D2754" s="2" t="s">
        <v>6</v>
      </c>
      <c r="E2754" s="14" t="str">
        <f t="shared" si="348"/>
        <v>Paint Line</v>
      </c>
      <c r="F2754" s="22">
        <f t="shared" si="351"/>
        <v>4</v>
      </c>
      <c r="H2754" s="5" t="str">
        <f ca="1">_xlfn.FORMULATEXT(표1[[#This Row],[Q''ty]])</f>
        <v>=F2655</v>
      </c>
    </row>
    <row r="2755" spans="1:8" ht="15" hidden="1" customHeight="1" x14ac:dyDescent="0.4">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hidden="1" customHeight="1" x14ac:dyDescent="0.4">
      <c r="A2756" s="6">
        <v>2026</v>
      </c>
      <c r="B2756" s="6">
        <f t="shared" si="349"/>
        <v>28</v>
      </c>
      <c r="C2756" s="13" t="s">
        <v>21</v>
      </c>
      <c r="D2756" s="2" t="s">
        <v>6</v>
      </c>
      <c r="E2756" s="14" t="str">
        <f t="shared" si="348"/>
        <v>L/W Machine</v>
      </c>
      <c r="F2756" s="22">
        <f t="shared" si="351"/>
        <v>4</v>
      </c>
      <c r="H2756" s="5" t="str">
        <f ca="1">_xlfn.FORMULATEXT(표1[[#This Row],[Q''ty]])</f>
        <v>=F2657</v>
      </c>
    </row>
    <row r="2757" spans="1:8" ht="15" hidden="1" customHeight="1" x14ac:dyDescent="0.4">
      <c r="A2757" s="6">
        <v>2026</v>
      </c>
      <c r="B2757" s="6">
        <f t="shared" si="349"/>
        <v>28</v>
      </c>
      <c r="C2757" s="13" t="s">
        <v>21</v>
      </c>
      <c r="D2757" s="2" t="s">
        <v>6</v>
      </c>
      <c r="E2757" s="14" t="str">
        <f t="shared" si="348"/>
        <v>C/W Machine</v>
      </c>
      <c r="F2757" s="22">
        <f t="shared" si="351"/>
        <v>6.5</v>
      </c>
      <c r="H2757" s="5" t="str">
        <f ca="1">_xlfn.FORMULATEXT(표1[[#This Row],[Q''ty]])</f>
        <v>=F2658</v>
      </c>
    </row>
    <row r="2758" spans="1:8" ht="15" hidden="1" customHeight="1" x14ac:dyDescent="0.4">
      <c r="A2758" s="6">
        <v>2026</v>
      </c>
      <c r="B2758" s="6">
        <f t="shared" si="349"/>
        <v>28</v>
      </c>
      <c r="C2758" s="13" t="s">
        <v>21</v>
      </c>
      <c r="D2758" s="2" t="s">
        <v>12</v>
      </c>
      <c r="E2758" s="14" t="str">
        <f t="shared" si="348"/>
        <v>BT GT</v>
      </c>
      <c r="F2758" s="22"/>
      <c r="H2758" s="5" t="e">
        <f ca="1">_xlfn.FORMULATEXT(표1[[#This Row],[Q''ty]])</f>
        <v>#N/A</v>
      </c>
    </row>
    <row r="2759" spans="1:8" ht="15" hidden="1" customHeight="1" x14ac:dyDescent="0.4">
      <c r="A2759" s="6">
        <v>2026</v>
      </c>
      <c r="B2759" s="6">
        <f t="shared" si="349"/>
        <v>28</v>
      </c>
      <c r="C2759" s="13" t="s">
        <v>21</v>
      </c>
      <c r="D2759" s="2" t="s">
        <v>12</v>
      </c>
      <c r="E2759" s="14" t="str">
        <f t="shared" si="348"/>
        <v>WT GT</v>
      </c>
      <c r="F2759" s="22"/>
      <c r="H2759" s="5" t="e">
        <f ca="1">_xlfn.FORMULATEXT(표1[[#This Row],[Q''ty]])</f>
        <v>#N/A</v>
      </c>
    </row>
    <row r="2760" spans="1:8" ht="15" hidden="1" customHeight="1" x14ac:dyDescent="0.4">
      <c r="A2760" s="6">
        <v>2026</v>
      </c>
      <c r="B2760" s="6">
        <f t="shared" si="349"/>
        <v>28</v>
      </c>
      <c r="C2760" s="13" t="s">
        <v>21</v>
      </c>
      <c r="D2760" s="2" t="s">
        <v>12</v>
      </c>
      <c r="E2760" s="14" t="str">
        <f t="shared" si="348"/>
        <v>Bending</v>
      </c>
      <c r="F2760" s="22"/>
      <c r="H2760" s="5" t="e">
        <f ca="1">_xlfn.FORMULATEXT(표1[[#This Row],[Q''ty]])</f>
        <v>#N/A</v>
      </c>
    </row>
    <row r="2761" spans="1:8" ht="15" hidden="1" customHeight="1" x14ac:dyDescent="0.4">
      <c r="A2761" s="6">
        <v>2026</v>
      </c>
      <c r="B2761" s="6">
        <f t="shared" si="349"/>
        <v>28</v>
      </c>
      <c r="C2761" s="13" t="s">
        <v>21</v>
      </c>
      <c r="D2761" s="2" t="s">
        <v>12</v>
      </c>
      <c r="E2761" s="14" t="str">
        <f t="shared" si="348"/>
        <v>L/W</v>
      </c>
      <c r="F2761" s="22"/>
      <c r="H2761" s="5" t="e">
        <f ca="1">_xlfn.FORMULATEXT(표1[[#This Row],[Q''ty]])</f>
        <v>#N/A</v>
      </c>
    </row>
    <row r="2762" spans="1:8" ht="15" hidden="1" customHeight="1" thickBot="1" x14ac:dyDescent="0.45">
      <c r="A2762" s="15">
        <v>2026</v>
      </c>
      <c r="B2762" s="15">
        <f t="shared" si="349"/>
        <v>28</v>
      </c>
      <c r="C2762" s="16" t="s">
        <v>21</v>
      </c>
      <c r="D2762" s="17" t="s">
        <v>12</v>
      </c>
      <c r="E2762" s="18" t="str">
        <f t="shared" si="348"/>
        <v>C/W</v>
      </c>
      <c r="F2762" s="23"/>
      <c r="H2762" s="5" t="e">
        <f ca="1">_xlfn.FORMULATEXT(표1[[#This Row],[Q''ty]])</f>
        <v>#N/A</v>
      </c>
    </row>
    <row r="2763" spans="1:8" ht="15" hidden="1" customHeight="1" thickTop="1" x14ac:dyDescent="0.4">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hidden="1" customHeight="1" x14ac:dyDescent="0.4">
      <c r="A2764" s="6">
        <v>2026</v>
      </c>
      <c r="B2764" s="6">
        <f t="shared" si="349"/>
        <v>28</v>
      </c>
      <c r="C2764" s="13" t="s">
        <v>22</v>
      </c>
      <c r="D2764" s="2" t="s">
        <v>6</v>
      </c>
      <c r="E2764" s="14" t="str">
        <f t="shared" si="348"/>
        <v>Paint Booth</v>
      </c>
      <c r="F2764" s="22">
        <f t="shared" si="352"/>
        <v>6</v>
      </c>
      <c r="H2764" s="5" t="str">
        <f ca="1">_xlfn.FORMULATEXT(표1[[#This Row],[Q''ty]])</f>
        <v>=F2665</v>
      </c>
    </row>
    <row r="2765" spans="1:8" ht="15" hidden="1" customHeight="1" x14ac:dyDescent="0.4">
      <c r="A2765" s="6">
        <v>2026</v>
      </c>
      <c r="B2765" s="6">
        <f t="shared" si="349"/>
        <v>28</v>
      </c>
      <c r="C2765" s="13" t="s">
        <v>22</v>
      </c>
      <c r="D2765" s="2" t="s">
        <v>6</v>
      </c>
      <c r="E2765" s="14" t="str">
        <f t="shared" si="348"/>
        <v>Paint Line</v>
      </c>
      <c r="F2765" s="22">
        <f t="shared" si="352"/>
        <v>4</v>
      </c>
      <c r="H2765" s="5" t="str">
        <f ca="1">_xlfn.FORMULATEXT(표1[[#This Row],[Q''ty]])</f>
        <v>=F2666</v>
      </c>
    </row>
    <row r="2766" spans="1:8" ht="15" hidden="1" customHeight="1" x14ac:dyDescent="0.4">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hidden="1" customHeight="1" x14ac:dyDescent="0.4">
      <c r="A2767" s="6">
        <v>2026</v>
      </c>
      <c r="B2767" s="6">
        <f t="shared" si="349"/>
        <v>28</v>
      </c>
      <c r="C2767" s="13" t="s">
        <v>22</v>
      </c>
      <c r="D2767" s="2" t="s">
        <v>6</v>
      </c>
      <c r="E2767" s="14" t="str">
        <f t="shared" si="348"/>
        <v>L/W Machine</v>
      </c>
      <c r="F2767" s="22">
        <f t="shared" si="352"/>
        <v>7</v>
      </c>
      <c r="H2767" s="5" t="str">
        <f ca="1">_xlfn.FORMULATEXT(표1[[#This Row],[Q''ty]])</f>
        <v>=F2668</v>
      </c>
    </row>
    <row r="2768" spans="1:8" ht="15" hidden="1" customHeight="1" x14ac:dyDescent="0.4">
      <c r="A2768" s="6">
        <v>2026</v>
      </c>
      <c r="B2768" s="6">
        <f t="shared" si="349"/>
        <v>28</v>
      </c>
      <c r="C2768" s="13" t="s">
        <v>22</v>
      </c>
      <c r="D2768" s="2" t="s">
        <v>6</v>
      </c>
      <c r="E2768" s="14" t="str">
        <f t="shared" si="348"/>
        <v>C/W Machine</v>
      </c>
      <c r="F2768" s="22">
        <f t="shared" si="352"/>
        <v>12.5</v>
      </c>
      <c r="H2768" s="5" t="str">
        <f ca="1">_xlfn.FORMULATEXT(표1[[#This Row],[Q''ty]])</f>
        <v>=F2669</v>
      </c>
    </row>
    <row r="2769" spans="1:10" ht="15" hidden="1" customHeight="1" x14ac:dyDescent="0.4">
      <c r="A2769" s="6">
        <v>2026</v>
      </c>
      <c r="B2769" s="6">
        <f t="shared" si="349"/>
        <v>28</v>
      </c>
      <c r="C2769" s="13" t="s">
        <v>22</v>
      </c>
      <c r="D2769" s="2" t="s">
        <v>12</v>
      </c>
      <c r="E2769" s="14" t="str">
        <f t="shared" si="348"/>
        <v>BT GT</v>
      </c>
      <c r="F2769" s="22"/>
      <c r="H2769" s="5" t="e">
        <f ca="1">_xlfn.FORMULATEXT(표1[[#This Row],[Q''ty]])</f>
        <v>#N/A</v>
      </c>
    </row>
    <row r="2770" spans="1:10" ht="15" hidden="1" customHeight="1" x14ac:dyDescent="0.4">
      <c r="A2770" s="6">
        <v>2026</v>
      </c>
      <c r="B2770" s="6">
        <f t="shared" si="349"/>
        <v>28</v>
      </c>
      <c r="C2770" s="13" t="s">
        <v>22</v>
      </c>
      <c r="D2770" s="2" t="s">
        <v>12</v>
      </c>
      <c r="E2770" s="14" t="str">
        <f t="shared" si="348"/>
        <v>WT GT</v>
      </c>
      <c r="F2770" s="22"/>
      <c r="H2770" s="5" t="e">
        <f ca="1">_xlfn.FORMULATEXT(표1[[#This Row],[Q''ty]])</f>
        <v>#N/A</v>
      </c>
    </row>
    <row r="2771" spans="1:10" ht="15" hidden="1" customHeight="1" x14ac:dyDescent="0.4">
      <c r="A2771" s="6">
        <v>2026</v>
      </c>
      <c r="B2771" s="6">
        <f t="shared" si="349"/>
        <v>28</v>
      </c>
      <c r="C2771" s="13" t="s">
        <v>22</v>
      </c>
      <c r="D2771" s="2" t="s">
        <v>12</v>
      </c>
      <c r="E2771" s="14" t="str">
        <f t="shared" si="348"/>
        <v>Bending</v>
      </c>
      <c r="F2771" s="22"/>
      <c r="H2771" s="5" t="e">
        <f ca="1">_xlfn.FORMULATEXT(표1[[#This Row],[Q''ty]])</f>
        <v>#N/A</v>
      </c>
    </row>
    <row r="2772" spans="1:10" ht="15" hidden="1" customHeight="1" x14ac:dyDescent="0.4">
      <c r="A2772" s="6">
        <v>2026</v>
      </c>
      <c r="B2772" s="6">
        <f t="shared" si="349"/>
        <v>28</v>
      </c>
      <c r="C2772" s="13" t="s">
        <v>22</v>
      </c>
      <c r="D2772" s="2" t="s">
        <v>12</v>
      </c>
      <c r="E2772" s="14" t="str">
        <f t="shared" si="348"/>
        <v>L/W</v>
      </c>
      <c r="F2772" s="22"/>
      <c r="H2772" s="5" t="e">
        <f ca="1">_xlfn.FORMULATEXT(표1[[#This Row],[Q''ty]])</f>
        <v>#N/A</v>
      </c>
    </row>
    <row r="2773" spans="1:10" ht="15" hidden="1" customHeight="1" thickBot="1" x14ac:dyDescent="0.45">
      <c r="A2773" s="6">
        <v>2026</v>
      </c>
      <c r="B2773" s="6">
        <f t="shared" si="349"/>
        <v>28</v>
      </c>
      <c r="C2773" s="13" t="s">
        <v>22</v>
      </c>
      <c r="D2773" s="2" t="s">
        <v>12</v>
      </c>
      <c r="E2773" s="14" t="str">
        <f t="shared" si="348"/>
        <v>C/W</v>
      </c>
      <c r="F2773" s="22"/>
      <c r="H2773" s="5" t="e">
        <f ca="1">_xlfn.FORMULATEXT(표1[[#This Row],[Q''ty]])</f>
        <v>#N/A</v>
      </c>
    </row>
    <row r="2774" spans="1:10" ht="15" hidden="1" customHeight="1" thickTop="1" x14ac:dyDescent="0.4">
      <c r="A2774" s="9">
        <v>2026</v>
      </c>
      <c r="B2774" s="9">
        <f>B2675+1</f>
        <v>29</v>
      </c>
      <c r="C2774" s="10" t="s">
        <v>28</v>
      </c>
      <c r="D2774" s="11" t="s">
        <v>6</v>
      </c>
      <c r="E2774" s="12" t="s">
        <v>7</v>
      </c>
      <c r="F2774" s="21">
        <f t="shared" ref="F2774:F2779" si="353">F2675</f>
        <v>15</v>
      </c>
      <c r="H2774" s="5" t="str">
        <f ca="1">_xlfn.FORMULATEXT(표1[[#This Row],[Q''ty]])</f>
        <v>=F2675</v>
      </c>
    </row>
    <row r="2775" spans="1:10" s="2" customFormat="1" ht="15" hidden="1" customHeight="1" x14ac:dyDescent="0.4">
      <c r="A2775" s="6">
        <v>2026</v>
      </c>
      <c r="B2775" s="6">
        <f t="shared" ref="B2775:B2838" si="354">B2676+1</f>
        <v>29</v>
      </c>
      <c r="C2775" s="13" t="s">
        <v>23</v>
      </c>
      <c r="D2775" s="2" t="s">
        <v>6</v>
      </c>
      <c r="E2775" s="14" t="s">
        <v>8</v>
      </c>
      <c r="F2775" s="22">
        <f t="shared" si="353"/>
        <v>10</v>
      </c>
      <c r="H2775" s="5" t="str">
        <f ca="1">_xlfn.FORMULATEXT(표1[[#This Row],[Q''ty]])</f>
        <v>=F2676</v>
      </c>
      <c r="I2775" s="26"/>
      <c r="J2775" s="26"/>
    </row>
    <row r="2776" spans="1:10" s="2" customFormat="1" ht="15" hidden="1" customHeight="1" x14ac:dyDescent="0.4">
      <c r="A2776" s="6">
        <v>2026</v>
      </c>
      <c r="B2776" s="6">
        <f t="shared" si="354"/>
        <v>29</v>
      </c>
      <c r="C2776" s="13" t="s">
        <v>23</v>
      </c>
      <c r="D2776" s="2" t="s">
        <v>6</v>
      </c>
      <c r="E2776" s="14" t="s">
        <v>9</v>
      </c>
      <c r="F2776" s="22">
        <f t="shared" si="353"/>
        <v>5</v>
      </c>
      <c r="H2776" s="5" t="str">
        <f ca="1">_xlfn.FORMULATEXT(표1[[#This Row],[Q''ty]])</f>
        <v>=F2677</v>
      </c>
      <c r="I2776" s="26"/>
      <c r="J2776" s="26"/>
    </row>
    <row r="2777" spans="1:10" ht="15" hidden="1" customHeight="1" x14ac:dyDescent="0.4">
      <c r="A2777" s="6">
        <v>2026</v>
      </c>
      <c r="B2777" s="6">
        <f t="shared" si="354"/>
        <v>29</v>
      </c>
      <c r="C2777" s="13" t="s">
        <v>23</v>
      </c>
      <c r="D2777" s="2" t="s">
        <v>6</v>
      </c>
      <c r="E2777" s="14" t="s">
        <v>27</v>
      </c>
      <c r="F2777" s="22">
        <f t="shared" si="353"/>
        <v>6</v>
      </c>
      <c r="H2777" s="5" t="str">
        <f ca="1">_xlfn.FORMULATEXT(표1[[#This Row],[Q''ty]])</f>
        <v>=F2678</v>
      </c>
    </row>
    <row r="2778" spans="1:10" ht="15" hidden="1" customHeight="1" x14ac:dyDescent="0.4">
      <c r="A2778" s="6">
        <v>2026</v>
      </c>
      <c r="B2778" s="6">
        <f t="shared" si="354"/>
        <v>29</v>
      </c>
      <c r="C2778" s="13" t="s">
        <v>23</v>
      </c>
      <c r="D2778" s="2" t="s">
        <v>6</v>
      </c>
      <c r="E2778" s="14" t="s">
        <v>10</v>
      </c>
      <c r="F2778" s="22">
        <f t="shared" si="353"/>
        <v>10</v>
      </c>
      <c r="H2778" s="5" t="str">
        <f ca="1">_xlfn.FORMULATEXT(표1[[#This Row],[Q''ty]])</f>
        <v>=F2679</v>
      </c>
    </row>
    <row r="2779" spans="1:10" ht="15" hidden="1" customHeight="1" x14ac:dyDescent="0.4">
      <c r="A2779" s="6">
        <v>2026</v>
      </c>
      <c r="B2779" s="6">
        <f t="shared" si="354"/>
        <v>29</v>
      </c>
      <c r="C2779" s="13" t="s">
        <v>23</v>
      </c>
      <c r="D2779" s="2" t="s">
        <v>6</v>
      </c>
      <c r="E2779" s="14" t="s">
        <v>11</v>
      </c>
      <c r="F2779" s="22">
        <f t="shared" si="353"/>
        <v>10</v>
      </c>
      <c r="H2779" s="5" t="str">
        <f ca="1">_xlfn.FORMULATEXT(표1[[#This Row],[Q''ty]])</f>
        <v>=F2680</v>
      </c>
    </row>
    <row r="2780" spans="1:10" ht="15" hidden="1" customHeight="1" x14ac:dyDescent="0.4">
      <c r="A2780" s="6">
        <v>2026</v>
      </c>
      <c r="B2780" s="6">
        <f t="shared" si="354"/>
        <v>29</v>
      </c>
      <c r="C2780" s="13" t="s">
        <v>23</v>
      </c>
      <c r="D2780" s="2" t="s">
        <v>12</v>
      </c>
      <c r="E2780" s="14" t="s">
        <v>13</v>
      </c>
      <c r="F2780" s="22"/>
      <c r="H2780" s="5" t="e">
        <f ca="1">_xlfn.FORMULATEXT(표1[[#This Row],[Q''ty]])</f>
        <v>#N/A</v>
      </c>
    </row>
    <row r="2781" spans="1:10" s="2" customFormat="1" ht="15" hidden="1" customHeight="1" x14ac:dyDescent="0.4">
      <c r="A2781" s="6">
        <v>2026</v>
      </c>
      <c r="B2781" s="6">
        <f t="shared" si="354"/>
        <v>29</v>
      </c>
      <c r="C2781" s="13" t="s">
        <v>23</v>
      </c>
      <c r="D2781" s="2" t="s">
        <v>12</v>
      </c>
      <c r="E2781" s="14" t="s">
        <v>14</v>
      </c>
      <c r="F2781" s="22"/>
      <c r="H2781" s="5" t="e">
        <f ca="1">_xlfn.FORMULATEXT(표1[[#This Row],[Q''ty]])</f>
        <v>#N/A</v>
      </c>
      <c r="I2781" s="26"/>
      <c r="J2781" s="26"/>
    </row>
    <row r="2782" spans="1:10" ht="15" hidden="1" customHeight="1" x14ac:dyDescent="0.4">
      <c r="A2782" s="6">
        <v>2026</v>
      </c>
      <c r="B2782" s="6">
        <f t="shared" si="354"/>
        <v>29</v>
      </c>
      <c r="C2782" s="13" t="s">
        <v>23</v>
      </c>
      <c r="D2782" s="2" t="s">
        <v>12</v>
      </c>
      <c r="E2782" s="14" t="s">
        <v>15</v>
      </c>
      <c r="F2782" s="22"/>
      <c r="H2782" s="5" t="e">
        <f ca="1">_xlfn.FORMULATEXT(표1[[#This Row],[Q''ty]])</f>
        <v>#N/A</v>
      </c>
    </row>
    <row r="2783" spans="1:10" ht="15" hidden="1" customHeight="1" x14ac:dyDescent="0.4">
      <c r="A2783" s="6">
        <v>2026</v>
      </c>
      <c r="B2783" s="6">
        <f t="shared" si="354"/>
        <v>29</v>
      </c>
      <c r="C2783" s="13" t="s">
        <v>23</v>
      </c>
      <c r="D2783" s="2" t="s">
        <v>12</v>
      </c>
      <c r="E2783" s="14" t="s">
        <v>16</v>
      </c>
      <c r="F2783" s="22"/>
      <c r="H2783" s="5" t="e">
        <f ca="1">_xlfn.FORMULATEXT(표1[[#This Row],[Q''ty]])</f>
        <v>#N/A</v>
      </c>
    </row>
    <row r="2784" spans="1:10" ht="15" hidden="1" customHeight="1" thickBot="1" x14ac:dyDescent="0.45">
      <c r="A2784" s="15">
        <v>2026</v>
      </c>
      <c r="B2784" s="15">
        <f t="shared" si="354"/>
        <v>29</v>
      </c>
      <c r="C2784" s="16" t="s">
        <v>23</v>
      </c>
      <c r="D2784" s="17" t="s">
        <v>12</v>
      </c>
      <c r="E2784" s="18" t="s">
        <v>17</v>
      </c>
      <c r="F2784" s="23"/>
      <c r="H2784" s="5" t="e">
        <f ca="1">_xlfn.FORMULATEXT(표1[[#This Row],[Q''ty]])</f>
        <v>#N/A</v>
      </c>
    </row>
    <row r="2785" spans="1:10" ht="15" hidden="1" customHeight="1" thickTop="1" x14ac:dyDescent="0.4">
      <c r="A2785" s="9">
        <v>2026</v>
      </c>
      <c r="B2785" s="9">
        <f t="shared" si="354"/>
        <v>29</v>
      </c>
      <c r="C2785" s="10" t="s">
        <v>29</v>
      </c>
      <c r="D2785" s="11" t="s">
        <v>6</v>
      </c>
      <c r="E2785" s="12" t="s">
        <v>7</v>
      </c>
      <c r="F2785" s="21">
        <f t="shared" ref="F2785:F2790" si="355">F2686</f>
        <v>14</v>
      </c>
      <c r="H2785" s="5" t="str">
        <f ca="1">_xlfn.FORMULATEXT(표1[[#This Row],[Q''ty]])</f>
        <v>=F2686</v>
      </c>
    </row>
    <row r="2786" spans="1:10" s="2" customFormat="1" ht="15" hidden="1" customHeight="1" x14ac:dyDescent="0.4">
      <c r="A2786" s="6">
        <v>2026</v>
      </c>
      <c r="B2786" s="6">
        <f t="shared" si="354"/>
        <v>29</v>
      </c>
      <c r="C2786" s="13" t="s">
        <v>24</v>
      </c>
      <c r="D2786" s="2" t="s">
        <v>6</v>
      </c>
      <c r="E2786" s="14" t="s">
        <v>8</v>
      </c>
      <c r="F2786" s="22">
        <f t="shared" si="355"/>
        <v>8</v>
      </c>
      <c r="H2786" s="5" t="str">
        <f ca="1">_xlfn.FORMULATEXT(표1[[#This Row],[Q''ty]])</f>
        <v>=F2687</v>
      </c>
      <c r="I2786" s="26"/>
      <c r="J2786" s="26"/>
    </row>
    <row r="2787" spans="1:10" s="2" customFormat="1" ht="15" hidden="1" customHeight="1" x14ac:dyDescent="0.4">
      <c r="A2787" s="6">
        <v>2026</v>
      </c>
      <c r="B2787" s="6">
        <f t="shared" si="354"/>
        <v>29</v>
      </c>
      <c r="C2787" s="13" t="s">
        <v>24</v>
      </c>
      <c r="D2787" s="2" t="s">
        <v>6</v>
      </c>
      <c r="E2787" s="14" t="s">
        <v>9</v>
      </c>
      <c r="F2787" s="22">
        <f t="shared" si="355"/>
        <v>4</v>
      </c>
      <c r="H2787" s="5" t="str">
        <f ca="1">_xlfn.FORMULATEXT(표1[[#This Row],[Q''ty]])</f>
        <v>=F2688</v>
      </c>
      <c r="I2787" s="26"/>
      <c r="J2787" s="26"/>
    </row>
    <row r="2788" spans="1:10" ht="15" hidden="1" customHeight="1" x14ac:dyDescent="0.4">
      <c r="A2788" s="6">
        <v>2026</v>
      </c>
      <c r="B2788" s="6">
        <f t="shared" si="354"/>
        <v>29</v>
      </c>
      <c r="C2788" s="13" t="s">
        <v>24</v>
      </c>
      <c r="D2788" s="2" t="s">
        <v>6</v>
      </c>
      <c r="E2788" s="14" t="s">
        <v>27</v>
      </c>
      <c r="F2788" s="22">
        <f t="shared" si="355"/>
        <v>3</v>
      </c>
      <c r="H2788" s="5" t="str">
        <f ca="1">_xlfn.FORMULATEXT(표1[[#This Row],[Q''ty]])</f>
        <v>=F2689</v>
      </c>
    </row>
    <row r="2789" spans="1:10" ht="15" hidden="1" customHeight="1" x14ac:dyDescent="0.4">
      <c r="A2789" s="6">
        <v>2026</v>
      </c>
      <c r="B2789" s="6">
        <f t="shared" si="354"/>
        <v>29</v>
      </c>
      <c r="C2789" s="13" t="s">
        <v>24</v>
      </c>
      <c r="D2789" s="2" t="s">
        <v>6</v>
      </c>
      <c r="E2789" s="14" t="s">
        <v>10</v>
      </c>
      <c r="F2789" s="22">
        <f t="shared" si="355"/>
        <v>6</v>
      </c>
      <c r="H2789" s="5" t="str">
        <f ca="1">_xlfn.FORMULATEXT(표1[[#This Row],[Q''ty]])</f>
        <v>=F2690</v>
      </c>
    </row>
    <row r="2790" spans="1:10" ht="15" hidden="1" customHeight="1" x14ac:dyDescent="0.4">
      <c r="A2790" s="6">
        <v>2026</v>
      </c>
      <c r="B2790" s="6">
        <f t="shared" si="354"/>
        <v>29</v>
      </c>
      <c r="C2790" s="13" t="s">
        <v>24</v>
      </c>
      <c r="D2790" s="2" t="s">
        <v>6</v>
      </c>
      <c r="E2790" s="14" t="s">
        <v>11</v>
      </c>
      <c r="F2790" s="22">
        <f t="shared" si="355"/>
        <v>8.8000000000000007</v>
      </c>
      <c r="H2790" s="5" t="str">
        <f ca="1">_xlfn.FORMULATEXT(표1[[#This Row],[Q''ty]])</f>
        <v>=F2691</v>
      </c>
    </row>
    <row r="2791" spans="1:10" ht="15" hidden="1" customHeight="1" x14ac:dyDescent="0.4">
      <c r="A2791" s="6">
        <v>2026</v>
      </c>
      <c r="B2791" s="6">
        <f t="shared" si="354"/>
        <v>29</v>
      </c>
      <c r="C2791" s="13" t="s">
        <v>24</v>
      </c>
      <c r="D2791" s="2" t="s">
        <v>12</v>
      </c>
      <c r="E2791" s="14" t="s">
        <v>13</v>
      </c>
      <c r="F2791" s="22"/>
      <c r="H2791" s="5" t="e">
        <f ca="1">_xlfn.FORMULATEXT(표1[[#This Row],[Q''ty]])</f>
        <v>#N/A</v>
      </c>
    </row>
    <row r="2792" spans="1:10" s="2" customFormat="1" ht="15" hidden="1" customHeight="1" x14ac:dyDescent="0.4">
      <c r="A2792" s="6">
        <v>2026</v>
      </c>
      <c r="B2792" s="6">
        <f t="shared" si="354"/>
        <v>29</v>
      </c>
      <c r="C2792" s="13" t="s">
        <v>24</v>
      </c>
      <c r="D2792" s="2" t="s">
        <v>12</v>
      </c>
      <c r="E2792" s="14" t="s">
        <v>14</v>
      </c>
      <c r="F2792" s="22"/>
      <c r="H2792" s="5" t="e">
        <f ca="1">_xlfn.FORMULATEXT(표1[[#This Row],[Q''ty]])</f>
        <v>#N/A</v>
      </c>
      <c r="I2792" s="26"/>
      <c r="J2792" s="26"/>
    </row>
    <row r="2793" spans="1:10" ht="15" hidden="1" customHeight="1" x14ac:dyDescent="0.4">
      <c r="A2793" s="6">
        <v>2026</v>
      </c>
      <c r="B2793" s="6">
        <f t="shared" si="354"/>
        <v>29</v>
      </c>
      <c r="C2793" s="13" t="s">
        <v>24</v>
      </c>
      <c r="D2793" s="2" t="s">
        <v>12</v>
      </c>
      <c r="E2793" s="14" t="s">
        <v>15</v>
      </c>
      <c r="F2793" s="22"/>
      <c r="H2793" s="5" t="e">
        <f ca="1">_xlfn.FORMULATEXT(표1[[#This Row],[Q''ty]])</f>
        <v>#N/A</v>
      </c>
    </row>
    <row r="2794" spans="1:10" ht="15" hidden="1" customHeight="1" x14ac:dyDescent="0.4">
      <c r="A2794" s="6">
        <v>2026</v>
      </c>
      <c r="B2794" s="6">
        <f t="shared" si="354"/>
        <v>29</v>
      </c>
      <c r="C2794" s="13" t="s">
        <v>24</v>
      </c>
      <c r="D2794" s="2" t="s">
        <v>12</v>
      </c>
      <c r="E2794" s="14" t="s">
        <v>16</v>
      </c>
      <c r="F2794" s="22"/>
      <c r="H2794" s="5" t="e">
        <f ca="1">_xlfn.FORMULATEXT(표1[[#This Row],[Q''ty]])</f>
        <v>#N/A</v>
      </c>
    </row>
    <row r="2795" spans="1:10" ht="15" hidden="1" customHeight="1" thickBot="1" x14ac:dyDescent="0.45">
      <c r="A2795" s="15">
        <v>2026</v>
      </c>
      <c r="B2795" s="15">
        <f t="shared" si="354"/>
        <v>29</v>
      </c>
      <c r="C2795" s="16" t="s">
        <v>24</v>
      </c>
      <c r="D2795" s="17" t="s">
        <v>12</v>
      </c>
      <c r="E2795" s="18" t="s">
        <v>17</v>
      </c>
      <c r="F2795" s="23"/>
      <c r="H2795" s="5" t="e">
        <f ca="1">_xlfn.FORMULATEXT(표1[[#This Row],[Q''ty]])</f>
        <v>#N/A</v>
      </c>
    </row>
    <row r="2796" spans="1:10" ht="15" hidden="1" customHeight="1" thickTop="1" x14ac:dyDescent="0.4">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10" ht="15" hidden="1" customHeight="1" x14ac:dyDescent="0.4">
      <c r="A2797" s="6">
        <v>2026</v>
      </c>
      <c r="B2797" s="6">
        <f t="shared" si="354"/>
        <v>29</v>
      </c>
      <c r="C2797" s="13" t="s">
        <v>18</v>
      </c>
      <c r="D2797" s="2" t="s">
        <v>6</v>
      </c>
      <c r="E2797" s="14" t="str">
        <f t="shared" si="356"/>
        <v>Paint Booth</v>
      </c>
      <c r="F2797" s="22">
        <f t="shared" si="356"/>
        <v>3</v>
      </c>
      <c r="H2797" s="5" t="str">
        <f ca="1">_xlfn.FORMULATEXT(표1[[#This Row],[Q''ty]])</f>
        <v>=F2698</v>
      </c>
    </row>
    <row r="2798" spans="1:10" ht="15" hidden="1" customHeight="1" x14ac:dyDescent="0.4">
      <c r="A2798" s="6">
        <v>2026</v>
      </c>
      <c r="B2798" s="6">
        <f t="shared" si="354"/>
        <v>29</v>
      </c>
      <c r="C2798" s="13" t="s">
        <v>18</v>
      </c>
      <c r="D2798" s="2" t="s">
        <v>6</v>
      </c>
      <c r="E2798" s="14" t="str">
        <f t="shared" si="356"/>
        <v>Paint Line</v>
      </c>
      <c r="F2798" s="22">
        <f t="shared" si="356"/>
        <v>2</v>
      </c>
      <c r="H2798" s="5" t="str">
        <f ca="1">_xlfn.FORMULATEXT(표1[[#This Row],[Q''ty]])</f>
        <v>=F2699</v>
      </c>
    </row>
    <row r="2799" spans="1:10" ht="15" hidden="1" customHeight="1" x14ac:dyDescent="0.4">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10" ht="15" hidden="1" customHeight="1" x14ac:dyDescent="0.4">
      <c r="A2800" s="6">
        <v>2026</v>
      </c>
      <c r="B2800" s="6">
        <f t="shared" si="354"/>
        <v>29</v>
      </c>
      <c r="C2800" s="13" t="s">
        <v>18</v>
      </c>
      <c r="D2800" s="2" t="s">
        <v>6</v>
      </c>
      <c r="E2800" s="14" t="str">
        <f t="shared" si="356"/>
        <v>L/W Machine</v>
      </c>
      <c r="F2800" s="22">
        <f t="shared" si="356"/>
        <v>2</v>
      </c>
      <c r="H2800" s="5" t="str">
        <f ca="1">_xlfn.FORMULATEXT(표1[[#This Row],[Q''ty]])</f>
        <v>=F2701</v>
      </c>
    </row>
    <row r="2801" spans="1:8" ht="15" hidden="1" customHeight="1" x14ac:dyDescent="0.4">
      <c r="A2801" s="6">
        <v>2026</v>
      </c>
      <c r="B2801" s="6">
        <f t="shared" si="354"/>
        <v>29</v>
      </c>
      <c r="C2801" s="13" t="s">
        <v>18</v>
      </c>
      <c r="D2801" s="2" t="s">
        <v>6</v>
      </c>
      <c r="E2801" s="14" t="str">
        <f t="shared" si="356"/>
        <v>C/W Machine</v>
      </c>
      <c r="F2801" s="22">
        <f t="shared" si="356"/>
        <v>3</v>
      </c>
      <c r="H2801" s="5" t="str">
        <f ca="1">_xlfn.FORMULATEXT(표1[[#This Row],[Q''ty]])</f>
        <v>=F2702</v>
      </c>
    </row>
    <row r="2802" spans="1:8" ht="15" hidden="1" customHeight="1" x14ac:dyDescent="0.4">
      <c r="A2802" s="6">
        <v>2026</v>
      </c>
      <c r="B2802" s="6">
        <f t="shared" si="354"/>
        <v>29</v>
      </c>
      <c r="C2802" s="13" t="s">
        <v>18</v>
      </c>
      <c r="D2802" s="2" t="s">
        <v>12</v>
      </c>
      <c r="E2802" s="14" t="str">
        <f t="shared" ref="E2802:E2817" si="357">E2703</f>
        <v>BT GT</v>
      </c>
      <c r="F2802" s="22"/>
      <c r="H2802" s="5" t="e">
        <f ca="1">_xlfn.FORMULATEXT(표1[[#This Row],[Q''ty]])</f>
        <v>#N/A</v>
      </c>
    </row>
    <row r="2803" spans="1:8" ht="15" hidden="1" customHeight="1" x14ac:dyDescent="0.4">
      <c r="A2803" s="6">
        <v>2026</v>
      </c>
      <c r="B2803" s="6">
        <f t="shared" si="354"/>
        <v>29</v>
      </c>
      <c r="C2803" s="13" t="s">
        <v>18</v>
      </c>
      <c r="D2803" s="2" t="s">
        <v>12</v>
      </c>
      <c r="E2803" s="14" t="str">
        <f t="shared" si="357"/>
        <v>WT GT</v>
      </c>
      <c r="F2803" s="22"/>
      <c r="H2803" s="5" t="e">
        <f ca="1">_xlfn.FORMULATEXT(표1[[#This Row],[Q''ty]])</f>
        <v>#N/A</v>
      </c>
    </row>
    <row r="2804" spans="1:8" ht="15" hidden="1" customHeight="1" x14ac:dyDescent="0.4">
      <c r="A2804" s="6">
        <v>2026</v>
      </c>
      <c r="B2804" s="6">
        <f t="shared" si="354"/>
        <v>29</v>
      </c>
      <c r="C2804" s="13" t="s">
        <v>18</v>
      </c>
      <c r="D2804" s="2" t="s">
        <v>12</v>
      </c>
      <c r="E2804" s="14" t="str">
        <f t="shared" si="357"/>
        <v>Bending</v>
      </c>
      <c r="F2804" s="22"/>
      <c r="H2804" s="5" t="e">
        <f ca="1">_xlfn.FORMULATEXT(표1[[#This Row],[Q''ty]])</f>
        <v>#N/A</v>
      </c>
    </row>
    <row r="2805" spans="1:8" ht="15" hidden="1" customHeight="1" x14ac:dyDescent="0.4">
      <c r="A2805" s="6">
        <v>2026</v>
      </c>
      <c r="B2805" s="6">
        <f t="shared" si="354"/>
        <v>29</v>
      </c>
      <c r="C2805" s="13" t="s">
        <v>18</v>
      </c>
      <c r="D2805" s="2" t="s">
        <v>12</v>
      </c>
      <c r="E2805" s="14" t="str">
        <f t="shared" si="357"/>
        <v>L/W</v>
      </c>
      <c r="F2805" s="22"/>
      <c r="H2805" s="5" t="e">
        <f ca="1">_xlfn.FORMULATEXT(표1[[#This Row],[Q''ty]])</f>
        <v>#N/A</v>
      </c>
    </row>
    <row r="2806" spans="1:8" ht="15" hidden="1" customHeight="1" thickBot="1" x14ac:dyDescent="0.45">
      <c r="A2806" s="15">
        <v>2026</v>
      </c>
      <c r="B2806" s="15">
        <f t="shared" si="354"/>
        <v>29</v>
      </c>
      <c r="C2806" s="16" t="s">
        <v>18</v>
      </c>
      <c r="D2806" s="17" t="s">
        <v>12</v>
      </c>
      <c r="E2806" s="18" t="str">
        <f t="shared" si="357"/>
        <v>C/W</v>
      </c>
      <c r="F2806" s="23"/>
      <c r="H2806" s="5" t="e">
        <f ca="1">_xlfn.FORMULATEXT(표1[[#This Row],[Q''ty]])</f>
        <v>#N/A</v>
      </c>
    </row>
    <row r="2807" spans="1:8" ht="15" hidden="1" customHeight="1" thickTop="1" x14ac:dyDescent="0.4">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hidden="1" customHeight="1" x14ac:dyDescent="0.4">
      <c r="A2808" s="6">
        <v>2026</v>
      </c>
      <c r="B2808" s="6">
        <f t="shared" si="354"/>
        <v>29</v>
      </c>
      <c r="C2808" s="13" t="s">
        <v>19</v>
      </c>
      <c r="D2808" s="2" t="s">
        <v>6</v>
      </c>
      <c r="E2808" s="14" t="str">
        <f t="shared" si="357"/>
        <v>Paint Booth</v>
      </c>
      <c r="F2808" s="22">
        <f t="shared" si="358"/>
        <v>22</v>
      </c>
      <c r="H2808" s="5" t="str">
        <f ca="1">_xlfn.FORMULATEXT(표1[[#This Row],[Q''ty]])</f>
        <v>=F2709</v>
      </c>
    </row>
    <row r="2809" spans="1:8" ht="15" hidden="1" customHeight="1" x14ac:dyDescent="0.4">
      <c r="A2809" s="6">
        <v>2026</v>
      </c>
      <c r="B2809" s="6">
        <f t="shared" si="354"/>
        <v>29</v>
      </c>
      <c r="C2809" s="13" t="s">
        <v>19</v>
      </c>
      <c r="D2809" s="2" t="s">
        <v>6</v>
      </c>
      <c r="E2809" s="14" t="str">
        <f t="shared" si="357"/>
        <v>Paint Line</v>
      </c>
      <c r="F2809" s="22">
        <f t="shared" si="358"/>
        <v>6</v>
      </c>
      <c r="H2809" s="5" t="str">
        <f ca="1">_xlfn.FORMULATEXT(표1[[#This Row],[Q''ty]])</f>
        <v>=F2710</v>
      </c>
    </row>
    <row r="2810" spans="1:8" ht="15" hidden="1" customHeight="1" x14ac:dyDescent="0.4">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hidden="1" customHeight="1" x14ac:dyDescent="0.4">
      <c r="A2811" s="6">
        <v>2026</v>
      </c>
      <c r="B2811" s="6">
        <f t="shared" si="354"/>
        <v>29</v>
      </c>
      <c r="C2811" s="13" t="s">
        <v>19</v>
      </c>
      <c r="D2811" s="2" t="s">
        <v>6</v>
      </c>
      <c r="E2811" s="14" t="str">
        <f t="shared" si="357"/>
        <v>L/W Machine</v>
      </c>
      <c r="F2811" s="22">
        <f t="shared" si="358"/>
        <v>10</v>
      </c>
      <c r="H2811" s="5" t="str">
        <f ca="1">_xlfn.FORMULATEXT(표1[[#This Row],[Q''ty]])</f>
        <v>=F2712</v>
      </c>
    </row>
    <row r="2812" spans="1:8" ht="15" hidden="1" customHeight="1" x14ac:dyDescent="0.4">
      <c r="A2812" s="6">
        <v>2026</v>
      </c>
      <c r="B2812" s="6">
        <f t="shared" si="354"/>
        <v>29</v>
      </c>
      <c r="C2812" s="13" t="s">
        <v>19</v>
      </c>
      <c r="D2812" s="2" t="s">
        <v>6</v>
      </c>
      <c r="E2812" s="14" t="str">
        <f t="shared" si="357"/>
        <v>C/W Machine</v>
      </c>
      <c r="F2812" s="22">
        <f t="shared" si="358"/>
        <v>12</v>
      </c>
      <c r="H2812" s="5" t="str">
        <f ca="1">_xlfn.FORMULATEXT(표1[[#This Row],[Q''ty]])</f>
        <v>=F2713</v>
      </c>
    </row>
    <row r="2813" spans="1:8" ht="15" hidden="1" customHeight="1" x14ac:dyDescent="0.4">
      <c r="A2813" s="6">
        <v>2026</v>
      </c>
      <c r="B2813" s="6">
        <f t="shared" si="354"/>
        <v>29</v>
      </c>
      <c r="C2813" s="13" t="s">
        <v>19</v>
      </c>
      <c r="D2813" s="2" t="s">
        <v>12</v>
      </c>
      <c r="E2813" s="14" t="str">
        <f t="shared" si="357"/>
        <v>BT GT</v>
      </c>
      <c r="F2813" s="22"/>
      <c r="H2813" s="5" t="e">
        <f ca="1">_xlfn.FORMULATEXT(표1[[#This Row],[Q''ty]])</f>
        <v>#N/A</v>
      </c>
    </row>
    <row r="2814" spans="1:8" ht="15" hidden="1" customHeight="1" x14ac:dyDescent="0.4">
      <c r="A2814" s="6">
        <v>2026</v>
      </c>
      <c r="B2814" s="6">
        <f t="shared" si="354"/>
        <v>29</v>
      </c>
      <c r="C2814" s="13" t="s">
        <v>19</v>
      </c>
      <c r="D2814" s="2" t="s">
        <v>12</v>
      </c>
      <c r="E2814" s="14" t="str">
        <f t="shared" si="357"/>
        <v>WT GT</v>
      </c>
      <c r="F2814" s="22"/>
      <c r="H2814" s="5" t="e">
        <f ca="1">_xlfn.FORMULATEXT(표1[[#This Row],[Q''ty]])</f>
        <v>#N/A</v>
      </c>
    </row>
    <row r="2815" spans="1:8" ht="15" hidden="1" customHeight="1" x14ac:dyDescent="0.4">
      <c r="A2815" s="6">
        <v>2026</v>
      </c>
      <c r="B2815" s="6">
        <f t="shared" si="354"/>
        <v>29</v>
      </c>
      <c r="C2815" s="13" t="s">
        <v>19</v>
      </c>
      <c r="D2815" s="2" t="s">
        <v>12</v>
      </c>
      <c r="E2815" s="14" t="str">
        <f t="shared" si="357"/>
        <v>Bending</v>
      </c>
      <c r="F2815" s="22"/>
      <c r="H2815" s="5" t="e">
        <f ca="1">_xlfn.FORMULATEXT(표1[[#This Row],[Q''ty]])</f>
        <v>#N/A</v>
      </c>
    </row>
    <row r="2816" spans="1:8" ht="15" hidden="1" customHeight="1" x14ac:dyDescent="0.4">
      <c r="A2816" s="6">
        <v>2026</v>
      </c>
      <c r="B2816" s="6">
        <f t="shared" si="354"/>
        <v>29</v>
      </c>
      <c r="C2816" s="13" t="s">
        <v>19</v>
      </c>
      <c r="D2816" s="2" t="s">
        <v>12</v>
      </c>
      <c r="E2816" s="14" t="str">
        <f t="shared" si="357"/>
        <v>L/W</v>
      </c>
      <c r="F2816" s="22"/>
      <c r="H2816" s="5" t="e">
        <f ca="1">_xlfn.FORMULATEXT(표1[[#This Row],[Q''ty]])</f>
        <v>#N/A</v>
      </c>
    </row>
    <row r="2817" spans="1:8" ht="15" hidden="1" customHeight="1" thickBot="1" x14ac:dyDescent="0.45">
      <c r="A2817" s="15">
        <v>2026</v>
      </c>
      <c r="B2817" s="15">
        <f t="shared" si="354"/>
        <v>29</v>
      </c>
      <c r="C2817" s="16" t="s">
        <v>19</v>
      </c>
      <c r="D2817" s="17" t="s">
        <v>12</v>
      </c>
      <c r="E2817" s="18" t="str">
        <f t="shared" si="357"/>
        <v>C/W</v>
      </c>
      <c r="F2817" s="23"/>
      <c r="H2817" s="5" t="e">
        <f ca="1">_xlfn.FORMULATEXT(표1[[#This Row],[Q''ty]])</f>
        <v>#N/A</v>
      </c>
    </row>
    <row r="2818" spans="1:8" ht="15" hidden="1" customHeight="1" thickTop="1" x14ac:dyDescent="0.4">
      <c r="A2818" s="6">
        <v>2026</v>
      </c>
      <c r="B2818" s="6">
        <f t="shared" si="354"/>
        <v>29</v>
      </c>
      <c r="C2818" s="13" t="s">
        <v>25</v>
      </c>
      <c r="D2818" s="2" t="s">
        <v>6</v>
      </c>
      <c r="E2818" s="14" t="s">
        <v>7</v>
      </c>
      <c r="F2818" s="22">
        <f t="shared" ref="F2818:F2823" si="359">F2719</f>
        <v>3</v>
      </c>
      <c r="H2818" s="5" t="str">
        <f ca="1">_xlfn.FORMULATEXT(표1[[#This Row],[Q''ty]])</f>
        <v>=F2719</v>
      </c>
    </row>
    <row r="2819" spans="1:8" ht="15" hidden="1" customHeight="1" x14ac:dyDescent="0.4">
      <c r="A2819" s="6">
        <v>2026</v>
      </c>
      <c r="B2819" s="6">
        <f t="shared" si="354"/>
        <v>29</v>
      </c>
      <c r="C2819" s="13" t="s">
        <v>25</v>
      </c>
      <c r="D2819" s="2" t="s">
        <v>6</v>
      </c>
      <c r="E2819" s="14" t="s">
        <v>8</v>
      </c>
      <c r="F2819" s="22">
        <f t="shared" si="359"/>
        <v>3</v>
      </c>
      <c r="H2819" s="5" t="str">
        <f ca="1">_xlfn.FORMULATEXT(표1[[#This Row],[Q''ty]])</f>
        <v>=F2720</v>
      </c>
    </row>
    <row r="2820" spans="1:8" ht="15" hidden="1" customHeight="1" x14ac:dyDescent="0.4">
      <c r="A2820" s="6">
        <v>2026</v>
      </c>
      <c r="B2820" s="6">
        <f t="shared" si="354"/>
        <v>29</v>
      </c>
      <c r="C2820" s="13" t="s">
        <v>25</v>
      </c>
      <c r="D2820" s="2" t="s">
        <v>6</v>
      </c>
      <c r="E2820" s="14" t="s">
        <v>9</v>
      </c>
      <c r="F2820" s="22">
        <f t="shared" si="359"/>
        <v>2</v>
      </c>
      <c r="H2820" s="5" t="str">
        <f ca="1">_xlfn.FORMULATEXT(표1[[#This Row],[Q''ty]])</f>
        <v>=F2721</v>
      </c>
    </row>
    <row r="2821" spans="1:8" ht="15" hidden="1" customHeight="1" x14ac:dyDescent="0.4">
      <c r="A2821" s="6">
        <v>2026</v>
      </c>
      <c r="B2821" s="6">
        <f t="shared" si="354"/>
        <v>29</v>
      </c>
      <c r="C2821" s="13" t="s">
        <v>25</v>
      </c>
      <c r="D2821" s="2" t="s">
        <v>6</v>
      </c>
      <c r="E2821" s="14" t="s">
        <v>27</v>
      </c>
      <c r="F2821" s="22">
        <f t="shared" si="359"/>
        <v>2</v>
      </c>
      <c r="H2821" s="5" t="str">
        <f ca="1">_xlfn.FORMULATEXT(표1[[#This Row],[Q''ty]])</f>
        <v>=F2722</v>
      </c>
    </row>
    <row r="2822" spans="1:8" ht="15" hidden="1" customHeight="1" x14ac:dyDescent="0.4">
      <c r="A2822" s="6">
        <v>2026</v>
      </c>
      <c r="B2822" s="6">
        <f t="shared" si="354"/>
        <v>29</v>
      </c>
      <c r="C2822" s="13" t="s">
        <v>25</v>
      </c>
      <c r="D2822" s="2" t="s">
        <v>6</v>
      </c>
      <c r="E2822" s="14" t="s">
        <v>10</v>
      </c>
      <c r="F2822" s="22">
        <f t="shared" si="359"/>
        <v>3</v>
      </c>
      <c r="H2822" s="5" t="str">
        <f ca="1">_xlfn.FORMULATEXT(표1[[#This Row],[Q''ty]])</f>
        <v>=F2723</v>
      </c>
    </row>
    <row r="2823" spans="1:8" ht="15" hidden="1" customHeight="1" x14ac:dyDescent="0.4">
      <c r="A2823" s="6">
        <v>2026</v>
      </c>
      <c r="B2823" s="6">
        <f t="shared" si="354"/>
        <v>29</v>
      </c>
      <c r="C2823" s="13" t="s">
        <v>25</v>
      </c>
      <c r="D2823" s="2" t="s">
        <v>6</v>
      </c>
      <c r="E2823" s="14" t="s">
        <v>11</v>
      </c>
      <c r="F2823" s="22">
        <f t="shared" si="359"/>
        <v>4</v>
      </c>
      <c r="H2823" s="5" t="str">
        <f ca="1">_xlfn.FORMULATEXT(표1[[#This Row],[Q''ty]])</f>
        <v>=F2724</v>
      </c>
    </row>
    <row r="2824" spans="1:8" ht="15" hidden="1" customHeight="1" x14ac:dyDescent="0.4">
      <c r="A2824" s="6">
        <v>2026</v>
      </c>
      <c r="B2824" s="6">
        <f t="shared" si="354"/>
        <v>29</v>
      </c>
      <c r="C2824" s="13" t="s">
        <v>25</v>
      </c>
      <c r="D2824" s="2" t="s">
        <v>12</v>
      </c>
      <c r="E2824" s="14" t="s">
        <v>13</v>
      </c>
      <c r="F2824" s="22"/>
      <c r="H2824" s="5" t="e">
        <f ca="1">_xlfn.FORMULATEXT(표1[[#This Row],[Q''ty]])</f>
        <v>#N/A</v>
      </c>
    </row>
    <row r="2825" spans="1:8" ht="15" hidden="1" customHeight="1" x14ac:dyDescent="0.4">
      <c r="A2825" s="6">
        <v>2026</v>
      </c>
      <c r="B2825" s="6">
        <f t="shared" si="354"/>
        <v>29</v>
      </c>
      <c r="C2825" s="13" t="s">
        <v>25</v>
      </c>
      <c r="D2825" s="2" t="s">
        <v>12</v>
      </c>
      <c r="E2825" s="14" t="s">
        <v>14</v>
      </c>
      <c r="F2825" s="22"/>
      <c r="H2825" s="5" t="e">
        <f ca="1">_xlfn.FORMULATEXT(표1[[#This Row],[Q''ty]])</f>
        <v>#N/A</v>
      </c>
    </row>
    <row r="2826" spans="1:8" ht="15" hidden="1" customHeight="1" x14ac:dyDescent="0.4">
      <c r="A2826" s="6">
        <v>2026</v>
      </c>
      <c r="B2826" s="6">
        <f t="shared" si="354"/>
        <v>29</v>
      </c>
      <c r="C2826" s="13" t="s">
        <v>25</v>
      </c>
      <c r="D2826" s="2" t="s">
        <v>12</v>
      </c>
      <c r="E2826" s="14" t="s">
        <v>15</v>
      </c>
      <c r="F2826" s="22"/>
      <c r="H2826" s="5" t="e">
        <f ca="1">_xlfn.FORMULATEXT(표1[[#This Row],[Q''ty]])</f>
        <v>#N/A</v>
      </c>
    </row>
    <row r="2827" spans="1:8" ht="15" hidden="1" customHeight="1" x14ac:dyDescent="0.4">
      <c r="A2827" s="6">
        <v>2026</v>
      </c>
      <c r="B2827" s="6">
        <f t="shared" si="354"/>
        <v>29</v>
      </c>
      <c r="C2827" s="13" t="s">
        <v>25</v>
      </c>
      <c r="D2827" s="2" t="s">
        <v>12</v>
      </c>
      <c r="E2827" s="14" t="s">
        <v>16</v>
      </c>
      <c r="F2827" s="22"/>
      <c r="H2827" s="5" t="e">
        <f ca="1">_xlfn.FORMULATEXT(표1[[#This Row],[Q''ty]])</f>
        <v>#N/A</v>
      </c>
    </row>
    <row r="2828" spans="1:8" ht="15" hidden="1" customHeight="1" thickBot="1" x14ac:dyDescent="0.45">
      <c r="A2828" s="15">
        <v>2026</v>
      </c>
      <c r="B2828" s="15">
        <f t="shared" si="354"/>
        <v>29</v>
      </c>
      <c r="C2828" s="16" t="s">
        <v>25</v>
      </c>
      <c r="D2828" s="17" t="s">
        <v>12</v>
      </c>
      <c r="E2828" s="18" t="s">
        <v>17</v>
      </c>
      <c r="F2828" s="23"/>
      <c r="H2828" s="5" t="e">
        <f ca="1">_xlfn.FORMULATEXT(표1[[#This Row],[Q''ty]])</f>
        <v>#N/A</v>
      </c>
    </row>
    <row r="2829" spans="1:8" ht="15" hidden="1" customHeight="1" thickTop="1" x14ac:dyDescent="0.4">
      <c r="A2829" s="6">
        <v>2026</v>
      </c>
      <c r="B2829" s="6">
        <f t="shared" si="354"/>
        <v>29</v>
      </c>
      <c r="C2829" s="13" t="s">
        <v>26</v>
      </c>
      <c r="D2829" s="2" t="s">
        <v>6</v>
      </c>
      <c r="E2829" s="14" t="s">
        <v>7</v>
      </c>
      <c r="F2829" s="22">
        <f t="shared" ref="F2829:F2834" si="360">F2730</f>
        <v>6</v>
      </c>
      <c r="H2829" s="5" t="str">
        <f ca="1">_xlfn.FORMULATEXT(표1[[#This Row],[Q''ty]])</f>
        <v>=F2730</v>
      </c>
    </row>
    <row r="2830" spans="1:8" ht="15" hidden="1" customHeight="1" x14ac:dyDescent="0.4">
      <c r="A2830" s="6">
        <v>2026</v>
      </c>
      <c r="B2830" s="6">
        <f t="shared" si="354"/>
        <v>29</v>
      </c>
      <c r="C2830" s="13" t="s">
        <v>26</v>
      </c>
      <c r="D2830" s="2" t="s">
        <v>6</v>
      </c>
      <c r="E2830" s="14" t="s">
        <v>8</v>
      </c>
      <c r="F2830" s="22">
        <f t="shared" si="360"/>
        <v>4</v>
      </c>
      <c r="H2830" s="5" t="str">
        <f ca="1">_xlfn.FORMULATEXT(표1[[#This Row],[Q''ty]])</f>
        <v>=F2731</v>
      </c>
    </row>
    <row r="2831" spans="1:8" ht="15" hidden="1" customHeight="1" x14ac:dyDescent="0.4">
      <c r="A2831" s="6">
        <v>2026</v>
      </c>
      <c r="B2831" s="6">
        <f t="shared" si="354"/>
        <v>29</v>
      </c>
      <c r="C2831" s="13" t="s">
        <v>26</v>
      </c>
      <c r="D2831" s="2" t="s">
        <v>6</v>
      </c>
      <c r="E2831" s="14" t="s">
        <v>9</v>
      </c>
      <c r="F2831" s="22">
        <f t="shared" si="360"/>
        <v>2</v>
      </c>
      <c r="H2831" s="5" t="str">
        <f ca="1">_xlfn.FORMULATEXT(표1[[#This Row],[Q''ty]])</f>
        <v>=F2732</v>
      </c>
    </row>
    <row r="2832" spans="1:8" ht="15" hidden="1" customHeight="1" x14ac:dyDescent="0.4">
      <c r="A2832" s="6">
        <v>2026</v>
      </c>
      <c r="B2832" s="6">
        <f t="shared" si="354"/>
        <v>29</v>
      </c>
      <c r="C2832" s="13" t="s">
        <v>26</v>
      </c>
      <c r="D2832" s="2" t="s">
        <v>6</v>
      </c>
      <c r="E2832" s="14" t="s">
        <v>27</v>
      </c>
      <c r="F2832" s="22">
        <f t="shared" si="360"/>
        <v>3</v>
      </c>
      <c r="H2832" s="5" t="str">
        <f ca="1">_xlfn.FORMULATEXT(표1[[#This Row],[Q''ty]])</f>
        <v>=F2733</v>
      </c>
    </row>
    <row r="2833" spans="1:8" ht="15" hidden="1" customHeight="1" x14ac:dyDescent="0.4">
      <c r="A2833" s="6">
        <v>2026</v>
      </c>
      <c r="B2833" s="6">
        <f t="shared" si="354"/>
        <v>29</v>
      </c>
      <c r="C2833" s="13" t="s">
        <v>26</v>
      </c>
      <c r="D2833" s="2" t="s">
        <v>6</v>
      </c>
      <c r="E2833" s="14" t="s">
        <v>10</v>
      </c>
      <c r="F2833" s="22">
        <f t="shared" si="360"/>
        <v>4</v>
      </c>
      <c r="H2833" s="5" t="str">
        <f ca="1">_xlfn.FORMULATEXT(표1[[#This Row],[Q''ty]])</f>
        <v>=F2734</v>
      </c>
    </row>
    <row r="2834" spans="1:8" ht="15" hidden="1" customHeight="1" x14ac:dyDescent="0.4">
      <c r="A2834" s="6">
        <v>2026</v>
      </c>
      <c r="B2834" s="6">
        <f t="shared" si="354"/>
        <v>29</v>
      </c>
      <c r="C2834" s="13" t="s">
        <v>26</v>
      </c>
      <c r="D2834" s="2" t="s">
        <v>6</v>
      </c>
      <c r="E2834" s="14" t="s">
        <v>11</v>
      </c>
      <c r="F2834" s="22">
        <f t="shared" si="360"/>
        <v>6</v>
      </c>
      <c r="H2834" s="5" t="str">
        <f ca="1">_xlfn.FORMULATEXT(표1[[#This Row],[Q''ty]])</f>
        <v>=F2735</v>
      </c>
    </row>
    <row r="2835" spans="1:8" ht="15" hidden="1" customHeight="1" x14ac:dyDescent="0.4">
      <c r="A2835" s="6">
        <v>2026</v>
      </c>
      <c r="B2835" s="6">
        <f t="shared" si="354"/>
        <v>29</v>
      </c>
      <c r="C2835" s="13" t="s">
        <v>26</v>
      </c>
      <c r="D2835" s="2" t="s">
        <v>12</v>
      </c>
      <c r="E2835" s="14" t="str">
        <f t="shared" ref="E2835:E2872" si="361">E2736</f>
        <v>BT GT</v>
      </c>
      <c r="F2835" s="22"/>
      <c r="H2835" s="5" t="e">
        <f ca="1">_xlfn.FORMULATEXT(표1[[#This Row],[Q''ty]])</f>
        <v>#N/A</v>
      </c>
    </row>
    <row r="2836" spans="1:8" ht="15" hidden="1" customHeight="1" x14ac:dyDescent="0.4">
      <c r="A2836" s="6">
        <v>2026</v>
      </c>
      <c r="B2836" s="6">
        <f t="shared" si="354"/>
        <v>29</v>
      </c>
      <c r="C2836" s="13" t="s">
        <v>26</v>
      </c>
      <c r="D2836" s="2" t="s">
        <v>12</v>
      </c>
      <c r="E2836" s="14" t="str">
        <f t="shared" si="361"/>
        <v>WT GT</v>
      </c>
      <c r="F2836" s="22"/>
      <c r="H2836" s="5" t="e">
        <f ca="1">_xlfn.FORMULATEXT(표1[[#This Row],[Q''ty]])</f>
        <v>#N/A</v>
      </c>
    </row>
    <row r="2837" spans="1:8" ht="15" hidden="1" customHeight="1" x14ac:dyDescent="0.4">
      <c r="A2837" s="6">
        <v>2026</v>
      </c>
      <c r="B2837" s="6">
        <f t="shared" si="354"/>
        <v>29</v>
      </c>
      <c r="C2837" s="13" t="s">
        <v>26</v>
      </c>
      <c r="D2837" s="2" t="s">
        <v>12</v>
      </c>
      <c r="E2837" s="14" t="str">
        <f t="shared" si="361"/>
        <v>Bending</v>
      </c>
      <c r="F2837" s="22"/>
      <c r="H2837" s="5" t="e">
        <f ca="1">_xlfn.FORMULATEXT(표1[[#This Row],[Q''ty]])</f>
        <v>#N/A</v>
      </c>
    </row>
    <row r="2838" spans="1:8" ht="15" hidden="1" customHeight="1" x14ac:dyDescent="0.4">
      <c r="A2838" s="6">
        <v>2026</v>
      </c>
      <c r="B2838" s="6">
        <f t="shared" si="354"/>
        <v>29</v>
      </c>
      <c r="C2838" s="13" t="s">
        <v>26</v>
      </c>
      <c r="D2838" s="2" t="s">
        <v>12</v>
      </c>
      <c r="E2838" s="14" t="str">
        <f t="shared" si="361"/>
        <v>L/W</v>
      </c>
      <c r="F2838" s="22"/>
      <c r="H2838" s="5" t="e">
        <f ca="1">_xlfn.FORMULATEXT(표1[[#This Row],[Q''ty]])</f>
        <v>#N/A</v>
      </c>
    </row>
    <row r="2839" spans="1:8" ht="15" hidden="1" customHeight="1" thickBot="1" x14ac:dyDescent="0.45">
      <c r="A2839" s="15">
        <v>2026</v>
      </c>
      <c r="B2839" s="15">
        <f t="shared" ref="B2839:B2872" si="362">B2740+1</f>
        <v>29</v>
      </c>
      <c r="C2839" s="16" t="s">
        <v>26</v>
      </c>
      <c r="D2839" s="17" t="s">
        <v>12</v>
      </c>
      <c r="E2839" s="18" t="str">
        <f t="shared" si="361"/>
        <v>C/W</v>
      </c>
      <c r="F2839" s="23"/>
      <c r="H2839" s="5" t="e">
        <f ca="1">_xlfn.FORMULATEXT(표1[[#This Row],[Q''ty]])</f>
        <v>#N/A</v>
      </c>
    </row>
    <row r="2840" spans="1:8" ht="15" hidden="1" customHeight="1" thickTop="1" x14ac:dyDescent="0.4">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hidden="1" customHeight="1" x14ac:dyDescent="0.4">
      <c r="A2841" s="6">
        <v>2026</v>
      </c>
      <c r="B2841" s="6">
        <f t="shared" si="362"/>
        <v>29</v>
      </c>
      <c r="C2841" s="13" t="s">
        <v>20</v>
      </c>
      <c r="D2841" s="2" t="s">
        <v>6</v>
      </c>
      <c r="E2841" s="14" t="str">
        <f t="shared" si="361"/>
        <v>Paint Booth</v>
      </c>
      <c r="F2841" s="22">
        <f t="shared" si="363"/>
        <v>16</v>
      </c>
      <c r="H2841" s="5" t="str">
        <f ca="1">_xlfn.FORMULATEXT(표1[[#This Row],[Q''ty]])</f>
        <v>=F2742</v>
      </c>
    </row>
    <row r="2842" spans="1:8" ht="15" hidden="1" customHeight="1" x14ac:dyDescent="0.4">
      <c r="A2842" s="6">
        <v>2026</v>
      </c>
      <c r="B2842" s="6">
        <f t="shared" si="362"/>
        <v>29</v>
      </c>
      <c r="C2842" s="13" t="s">
        <v>20</v>
      </c>
      <c r="D2842" s="2" t="s">
        <v>6</v>
      </c>
      <c r="E2842" s="14" t="str">
        <f t="shared" si="361"/>
        <v>Paint Line</v>
      </c>
      <c r="F2842" s="22">
        <f t="shared" si="363"/>
        <v>8</v>
      </c>
      <c r="H2842" s="5" t="str">
        <f ca="1">_xlfn.FORMULATEXT(표1[[#This Row],[Q''ty]])</f>
        <v>=F2743</v>
      </c>
    </row>
    <row r="2843" spans="1:8" ht="15" hidden="1" customHeight="1" x14ac:dyDescent="0.4">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hidden="1" customHeight="1" x14ac:dyDescent="0.4">
      <c r="A2844" s="6">
        <v>2026</v>
      </c>
      <c r="B2844" s="6">
        <f t="shared" si="362"/>
        <v>29</v>
      </c>
      <c r="C2844" s="13" t="s">
        <v>20</v>
      </c>
      <c r="D2844" s="2" t="s">
        <v>6</v>
      </c>
      <c r="E2844" s="14" t="str">
        <f t="shared" si="361"/>
        <v>L/W Machine</v>
      </c>
      <c r="F2844" s="22">
        <f t="shared" si="363"/>
        <v>11</v>
      </c>
      <c r="H2844" s="5" t="str">
        <f ca="1">_xlfn.FORMULATEXT(표1[[#This Row],[Q''ty]])</f>
        <v>=F2745</v>
      </c>
    </row>
    <row r="2845" spans="1:8" ht="15" hidden="1" customHeight="1" x14ac:dyDescent="0.4">
      <c r="A2845" s="6">
        <v>2026</v>
      </c>
      <c r="B2845" s="6">
        <f t="shared" si="362"/>
        <v>29</v>
      </c>
      <c r="C2845" s="13" t="s">
        <v>20</v>
      </c>
      <c r="D2845" s="2" t="s">
        <v>6</v>
      </c>
      <c r="E2845" s="14" t="str">
        <f t="shared" si="361"/>
        <v>C/W Machine</v>
      </c>
      <c r="F2845" s="22">
        <f t="shared" si="363"/>
        <v>15</v>
      </c>
      <c r="H2845" s="5" t="str">
        <f ca="1">_xlfn.FORMULATEXT(표1[[#This Row],[Q''ty]])</f>
        <v>=F2746</v>
      </c>
    </row>
    <row r="2846" spans="1:8" ht="15" hidden="1" customHeight="1" x14ac:dyDescent="0.4">
      <c r="A2846" s="6">
        <v>2026</v>
      </c>
      <c r="B2846" s="6">
        <f t="shared" si="362"/>
        <v>29</v>
      </c>
      <c r="C2846" s="13" t="s">
        <v>20</v>
      </c>
      <c r="D2846" s="2" t="s">
        <v>12</v>
      </c>
      <c r="E2846" s="14" t="str">
        <f t="shared" si="361"/>
        <v>BT GT</v>
      </c>
      <c r="F2846" s="22"/>
      <c r="H2846" s="5" t="e">
        <f ca="1">_xlfn.FORMULATEXT(표1[[#This Row],[Q''ty]])</f>
        <v>#N/A</v>
      </c>
    </row>
    <row r="2847" spans="1:8" ht="15" hidden="1" customHeight="1" x14ac:dyDescent="0.4">
      <c r="A2847" s="6">
        <v>2026</v>
      </c>
      <c r="B2847" s="6">
        <f t="shared" si="362"/>
        <v>29</v>
      </c>
      <c r="C2847" s="13" t="s">
        <v>20</v>
      </c>
      <c r="D2847" s="2" t="s">
        <v>12</v>
      </c>
      <c r="E2847" s="14" t="str">
        <f t="shared" si="361"/>
        <v>WT GT</v>
      </c>
      <c r="F2847" s="22"/>
      <c r="H2847" s="5" t="e">
        <f ca="1">_xlfn.FORMULATEXT(표1[[#This Row],[Q''ty]])</f>
        <v>#N/A</v>
      </c>
    </row>
    <row r="2848" spans="1:8" ht="15" hidden="1" customHeight="1" x14ac:dyDescent="0.4">
      <c r="A2848" s="6">
        <v>2026</v>
      </c>
      <c r="B2848" s="6">
        <f t="shared" si="362"/>
        <v>29</v>
      </c>
      <c r="C2848" s="13" t="s">
        <v>20</v>
      </c>
      <c r="D2848" s="2" t="s">
        <v>12</v>
      </c>
      <c r="E2848" s="14" t="str">
        <f t="shared" si="361"/>
        <v>Bending</v>
      </c>
      <c r="F2848" s="22"/>
      <c r="H2848" s="5" t="e">
        <f ca="1">_xlfn.FORMULATEXT(표1[[#This Row],[Q''ty]])</f>
        <v>#N/A</v>
      </c>
    </row>
    <row r="2849" spans="1:8" ht="15" hidden="1" customHeight="1" x14ac:dyDescent="0.4">
      <c r="A2849" s="6">
        <v>2026</v>
      </c>
      <c r="B2849" s="6">
        <f t="shared" si="362"/>
        <v>29</v>
      </c>
      <c r="C2849" s="13" t="s">
        <v>20</v>
      </c>
      <c r="D2849" s="2" t="s">
        <v>12</v>
      </c>
      <c r="E2849" s="14" t="str">
        <f t="shared" si="361"/>
        <v>L/W</v>
      </c>
      <c r="F2849" s="22"/>
      <c r="H2849" s="5" t="e">
        <f ca="1">_xlfn.FORMULATEXT(표1[[#This Row],[Q''ty]])</f>
        <v>#N/A</v>
      </c>
    </row>
    <row r="2850" spans="1:8" ht="15" hidden="1" customHeight="1" thickBot="1" x14ac:dyDescent="0.45">
      <c r="A2850" s="15">
        <v>2026</v>
      </c>
      <c r="B2850" s="15">
        <f t="shared" si="362"/>
        <v>29</v>
      </c>
      <c r="C2850" s="16" t="s">
        <v>20</v>
      </c>
      <c r="D2850" s="17" t="s">
        <v>12</v>
      </c>
      <c r="E2850" s="18" t="str">
        <f t="shared" si="361"/>
        <v>C/W</v>
      </c>
      <c r="F2850" s="23"/>
      <c r="H2850" s="5" t="e">
        <f ca="1">_xlfn.FORMULATEXT(표1[[#This Row],[Q''ty]])</f>
        <v>#N/A</v>
      </c>
    </row>
    <row r="2851" spans="1:8" ht="15" hidden="1" customHeight="1" thickTop="1" x14ac:dyDescent="0.4">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hidden="1" customHeight="1" x14ac:dyDescent="0.4">
      <c r="A2852" s="6">
        <v>2026</v>
      </c>
      <c r="B2852" s="6">
        <f t="shared" si="362"/>
        <v>29</v>
      </c>
      <c r="C2852" s="13" t="s">
        <v>21</v>
      </c>
      <c r="D2852" s="2" t="s">
        <v>6</v>
      </c>
      <c r="E2852" s="14" t="str">
        <f t="shared" si="361"/>
        <v>Paint Booth</v>
      </c>
      <c r="F2852" s="22">
        <f t="shared" si="364"/>
        <v>4</v>
      </c>
      <c r="H2852" s="5" t="str">
        <f ca="1">_xlfn.FORMULATEXT(표1[[#This Row],[Q''ty]])</f>
        <v>=F2753</v>
      </c>
    </row>
    <row r="2853" spans="1:8" ht="15" hidden="1" customHeight="1" x14ac:dyDescent="0.4">
      <c r="A2853" s="6">
        <v>2026</v>
      </c>
      <c r="B2853" s="6">
        <f t="shared" si="362"/>
        <v>29</v>
      </c>
      <c r="C2853" s="13" t="s">
        <v>21</v>
      </c>
      <c r="D2853" s="2" t="s">
        <v>6</v>
      </c>
      <c r="E2853" s="14" t="str">
        <f t="shared" si="361"/>
        <v>Paint Line</v>
      </c>
      <c r="F2853" s="22">
        <f t="shared" si="364"/>
        <v>4</v>
      </c>
      <c r="H2853" s="5" t="str">
        <f ca="1">_xlfn.FORMULATEXT(표1[[#This Row],[Q''ty]])</f>
        <v>=F2754</v>
      </c>
    </row>
    <row r="2854" spans="1:8" ht="15" hidden="1" customHeight="1" x14ac:dyDescent="0.4">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hidden="1" customHeight="1" x14ac:dyDescent="0.4">
      <c r="A2855" s="6">
        <v>2026</v>
      </c>
      <c r="B2855" s="6">
        <f t="shared" si="362"/>
        <v>29</v>
      </c>
      <c r="C2855" s="13" t="s">
        <v>21</v>
      </c>
      <c r="D2855" s="2" t="s">
        <v>6</v>
      </c>
      <c r="E2855" s="14" t="str">
        <f t="shared" si="361"/>
        <v>L/W Machine</v>
      </c>
      <c r="F2855" s="22">
        <f t="shared" si="364"/>
        <v>4</v>
      </c>
      <c r="H2855" s="5" t="str">
        <f ca="1">_xlfn.FORMULATEXT(표1[[#This Row],[Q''ty]])</f>
        <v>=F2756</v>
      </c>
    </row>
    <row r="2856" spans="1:8" ht="15" hidden="1" customHeight="1" x14ac:dyDescent="0.4">
      <c r="A2856" s="6">
        <v>2026</v>
      </c>
      <c r="B2856" s="6">
        <f t="shared" si="362"/>
        <v>29</v>
      </c>
      <c r="C2856" s="13" t="s">
        <v>21</v>
      </c>
      <c r="D2856" s="2" t="s">
        <v>6</v>
      </c>
      <c r="E2856" s="14" t="str">
        <f t="shared" si="361"/>
        <v>C/W Machine</v>
      </c>
      <c r="F2856" s="22">
        <f t="shared" si="364"/>
        <v>6.5</v>
      </c>
      <c r="H2856" s="5" t="str">
        <f ca="1">_xlfn.FORMULATEXT(표1[[#This Row],[Q''ty]])</f>
        <v>=F2757</v>
      </c>
    </row>
    <row r="2857" spans="1:8" ht="15" hidden="1" customHeight="1" x14ac:dyDescent="0.4">
      <c r="A2857" s="6">
        <v>2026</v>
      </c>
      <c r="B2857" s="6">
        <f t="shared" si="362"/>
        <v>29</v>
      </c>
      <c r="C2857" s="13" t="s">
        <v>21</v>
      </c>
      <c r="D2857" s="2" t="s">
        <v>12</v>
      </c>
      <c r="E2857" s="14" t="str">
        <f t="shared" si="361"/>
        <v>BT GT</v>
      </c>
      <c r="F2857" s="22"/>
      <c r="H2857" s="5" t="e">
        <f ca="1">_xlfn.FORMULATEXT(표1[[#This Row],[Q''ty]])</f>
        <v>#N/A</v>
      </c>
    </row>
    <row r="2858" spans="1:8" ht="15" hidden="1" customHeight="1" x14ac:dyDescent="0.4">
      <c r="A2858" s="6">
        <v>2026</v>
      </c>
      <c r="B2858" s="6">
        <f t="shared" si="362"/>
        <v>29</v>
      </c>
      <c r="C2858" s="13" t="s">
        <v>21</v>
      </c>
      <c r="D2858" s="2" t="s">
        <v>12</v>
      </c>
      <c r="E2858" s="14" t="str">
        <f t="shared" si="361"/>
        <v>WT GT</v>
      </c>
      <c r="F2858" s="22"/>
      <c r="H2858" s="5" t="e">
        <f ca="1">_xlfn.FORMULATEXT(표1[[#This Row],[Q''ty]])</f>
        <v>#N/A</v>
      </c>
    </row>
    <row r="2859" spans="1:8" ht="15" hidden="1" customHeight="1" x14ac:dyDescent="0.4">
      <c r="A2859" s="6">
        <v>2026</v>
      </c>
      <c r="B2859" s="6">
        <f t="shared" si="362"/>
        <v>29</v>
      </c>
      <c r="C2859" s="13" t="s">
        <v>21</v>
      </c>
      <c r="D2859" s="2" t="s">
        <v>12</v>
      </c>
      <c r="E2859" s="14" t="str">
        <f t="shared" si="361"/>
        <v>Bending</v>
      </c>
      <c r="F2859" s="22"/>
      <c r="H2859" s="5" t="e">
        <f ca="1">_xlfn.FORMULATEXT(표1[[#This Row],[Q''ty]])</f>
        <v>#N/A</v>
      </c>
    </row>
    <row r="2860" spans="1:8" ht="15" hidden="1" customHeight="1" x14ac:dyDescent="0.4">
      <c r="A2860" s="6">
        <v>2026</v>
      </c>
      <c r="B2860" s="6">
        <f t="shared" si="362"/>
        <v>29</v>
      </c>
      <c r="C2860" s="13" t="s">
        <v>21</v>
      </c>
      <c r="D2860" s="2" t="s">
        <v>12</v>
      </c>
      <c r="E2860" s="14" t="str">
        <f t="shared" si="361"/>
        <v>L/W</v>
      </c>
      <c r="F2860" s="22"/>
      <c r="H2860" s="5" t="e">
        <f ca="1">_xlfn.FORMULATEXT(표1[[#This Row],[Q''ty]])</f>
        <v>#N/A</v>
      </c>
    </row>
    <row r="2861" spans="1:8" ht="15" hidden="1" customHeight="1" thickBot="1" x14ac:dyDescent="0.45">
      <c r="A2861" s="15">
        <v>2026</v>
      </c>
      <c r="B2861" s="15">
        <f t="shared" si="362"/>
        <v>29</v>
      </c>
      <c r="C2861" s="16" t="s">
        <v>21</v>
      </c>
      <c r="D2861" s="17" t="s">
        <v>12</v>
      </c>
      <c r="E2861" s="18" t="str">
        <f t="shared" si="361"/>
        <v>C/W</v>
      </c>
      <c r="F2861" s="23"/>
      <c r="H2861" s="5" t="e">
        <f ca="1">_xlfn.FORMULATEXT(표1[[#This Row],[Q''ty]])</f>
        <v>#N/A</v>
      </c>
    </row>
    <row r="2862" spans="1:8" ht="15" hidden="1" customHeight="1" thickTop="1" x14ac:dyDescent="0.4">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hidden="1" customHeight="1" x14ac:dyDescent="0.4">
      <c r="A2863" s="6">
        <v>2026</v>
      </c>
      <c r="B2863" s="6">
        <f t="shared" si="362"/>
        <v>29</v>
      </c>
      <c r="C2863" s="13" t="s">
        <v>22</v>
      </c>
      <c r="D2863" s="2" t="s">
        <v>6</v>
      </c>
      <c r="E2863" s="14" t="str">
        <f t="shared" si="361"/>
        <v>Paint Booth</v>
      </c>
      <c r="F2863" s="22">
        <f t="shared" si="365"/>
        <v>6</v>
      </c>
      <c r="H2863" s="5" t="str">
        <f ca="1">_xlfn.FORMULATEXT(표1[[#This Row],[Q''ty]])</f>
        <v>=F2764</v>
      </c>
    </row>
    <row r="2864" spans="1:8" ht="15" hidden="1" customHeight="1" x14ac:dyDescent="0.4">
      <c r="A2864" s="6">
        <v>2026</v>
      </c>
      <c r="B2864" s="6">
        <f t="shared" si="362"/>
        <v>29</v>
      </c>
      <c r="C2864" s="13" t="s">
        <v>22</v>
      </c>
      <c r="D2864" s="2" t="s">
        <v>6</v>
      </c>
      <c r="E2864" s="14" t="str">
        <f t="shared" si="361"/>
        <v>Paint Line</v>
      </c>
      <c r="F2864" s="22">
        <f t="shared" si="365"/>
        <v>4</v>
      </c>
      <c r="H2864" s="5" t="str">
        <f ca="1">_xlfn.FORMULATEXT(표1[[#This Row],[Q''ty]])</f>
        <v>=F2765</v>
      </c>
    </row>
    <row r="2865" spans="1:10" ht="15" hidden="1" customHeight="1" x14ac:dyDescent="0.4">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10" ht="15" hidden="1" customHeight="1" x14ac:dyDescent="0.4">
      <c r="A2866" s="6">
        <v>2026</v>
      </c>
      <c r="B2866" s="6">
        <f t="shared" si="362"/>
        <v>29</v>
      </c>
      <c r="C2866" s="13" t="s">
        <v>22</v>
      </c>
      <c r="D2866" s="2" t="s">
        <v>6</v>
      </c>
      <c r="E2866" s="14" t="str">
        <f t="shared" si="361"/>
        <v>L/W Machine</v>
      </c>
      <c r="F2866" s="22">
        <f t="shared" si="365"/>
        <v>7</v>
      </c>
      <c r="H2866" s="5" t="str">
        <f ca="1">_xlfn.FORMULATEXT(표1[[#This Row],[Q''ty]])</f>
        <v>=F2767</v>
      </c>
    </row>
    <row r="2867" spans="1:10" ht="15" hidden="1" customHeight="1" x14ac:dyDescent="0.4">
      <c r="A2867" s="6">
        <v>2026</v>
      </c>
      <c r="B2867" s="6">
        <f t="shared" si="362"/>
        <v>29</v>
      </c>
      <c r="C2867" s="13" t="s">
        <v>22</v>
      </c>
      <c r="D2867" s="2" t="s">
        <v>6</v>
      </c>
      <c r="E2867" s="14" t="str">
        <f t="shared" si="361"/>
        <v>C/W Machine</v>
      </c>
      <c r="F2867" s="22">
        <f t="shared" si="365"/>
        <v>12.5</v>
      </c>
      <c r="H2867" s="5" t="str">
        <f ca="1">_xlfn.FORMULATEXT(표1[[#This Row],[Q''ty]])</f>
        <v>=F2768</v>
      </c>
    </row>
    <row r="2868" spans="1:10" ht="15" hidden="1" customHeight="1" x14ac:dyDescent="0.4">
      <c r="A2868" s="6">
        <v>2026</v>
      </c>
      <c r="B2868" s="6">
        <f t="shared" si="362"/>
        <v>29</v>
      </c>
      <c r="C2868" s="13" t="s">
        <v>22</v>
      </c>
      <c r="D2868" s="2" t="s">
        <v>12</v>
      </c>
      <c r="E2868" s="14" t="str">
        <f t="shared" si="361"/>
        <v>BT GT</v>
      </c>
      <c r="F2868" s="22"/>
      <c r="H2868" s="5" t="e">
        <f ca="1">_xlfn.FORMULATEXT(표1[[#This Row],[Q''ty]])</f>
        <v>#N/A</v>
      </c>
    </row>
    <row r="2869" spans="1:10" ht="15" hidden="1" customHeight="1" x14ac:dyDescent="0.4">
      <c r="A2869" s="6">
        <v>2026</v>
      </c>
      <c r="B2869" s="6">
        <f t="shared" si="362"/>
        <v>29</v>
      </c>
      <c r="C2869" s="13" t="s">
        <v>22</v>
      </c>
      <c r="D2869" s="2" t="s">
        <v>12</v>
      </c>
      <c r="E2869" s="14" t="str">
        <f t="shared" si="361"/>
        <v>WT GT</v>
      </c>
      <c r="F2869" s="22"/>
      <c r="H2869" s="5" t="e">
        <f ca="1">_xlfn.FORMULATEXT(표1[[#This Row],[Q''ty]])</f>
        <v>#N/A</v>
      </c>
    </row>
    <row r="2870" spans="1:10" ht="15" hidden="1" customHeight="1" x14ac:dyDescent="0.4">
      <c r="A2870" s="6">
        <v>2026</v>
      </c>
      <c r="B2870" s="6">
        <f t="shared" si="362"/>
        <v>29</v>
      </c>
      <c r="C2870" s="13" t="s">
        <v>22</v>
      </c>
      <c r="D2870" s="2" t="s">
        <v>12</v>
      </c>
      <c r="E2870" s="14" t="str">
        <f t="shared" si="361"/>
        <v>Bending</v>
      </c>
      <c r="F2870" s="22"/>
      <c r="H2870" s="5" t="e">
        <f ca="1">_xlfn.FORMULATEXT(표1[[#This Row],[Q''ty]])</f>
        <v>#N/A</v>
      </c>
    </row>
    <row r="2871" spans="1:10" ht="15" hidden="1" customHeight="1" x14ac:dyDescent="0.4">
      <c r="A2871" s="6">
        <v>2026</v>
      </c>
      <c r="B2871" s="6">
        <f t="shared" si="362"/>
        <v>29</v>
      </c>
      <c r="C2871" s="13" t="s">
        <v>22</v>
      </c>
      <c r="D2871" s="2" t="s">
        <v>12</v>
      </c>
      <c r="E2871" s="14" t="str">
        <f t="shared" si="361"/>
        <v>L/W</v>
      </c>
      <c r="F2871" s="22"/>
      <c r="H2871" s="5" t="e">
        <f ca="1">_xlfn.FORMULATEXT(표1[[#This Row],[Q''ty]])</f>
        <v>#N/A</v>
      </c>
    </row>
    <row r="2872" spans="1:10" ht="15" hidden="1" customHeight="1" thickBot="1" x14ac:dyDescent="0.45">
      <c r="A2872" s="6">
        <v>2026</v>
      </c>
      <c r="B2872" s="6">
        <f t="shared" si="362"/>
        <v>29</v>
      </c>
      <c r="C2872" s="13" t="s">
        <v>22</v>
      </c>
      <c r="D2872" s="2" t="s">
        <v>12</v>
      </c>
      <c r="E2872" s="14" t="str">
        <f t="shared" si="361"/>
        <v>C/W</v>
      </c>
      <c r="F2872" s="22"/>
      <c r="H2872" s="5" t="e">
        <f ca="1">_xlfn.FORMULATEXT(표1[[#This Row],[Q''ty]])</f>
        <v>#N/A</v>
      </c>
    </row>
    <row r="2873" spans="1:10" ht="15" hidden="1" customHeight="1" thickTop="1" x14ac:dyDescent="0.4">
      <c r="A2873" s="9">
        <v>2026</v>
      </c>
      <c r="B2873" s="9">
        <f>B2774+1</f>
        <v>30</v>
      </c>
      <c r="C2873" s="10" t="s">
        <v>28</v>
      </c>
      <c r="D2873" s="11" t="s">
        <v>6</v>
      </c>
      <c r="E2873" s="12" t="s">
        <v>7</v>
      </c>
      <c r="F2873" s="21">
        <f t="shared" ref="F2873:F2878" si="366">F2774</f>
        <v>15</v>
      </c>
      <c r="H2873" s="5" t="str">
        <f ca="1">_xlfn.FORMULATEXT(표1[[#This Row],[Q''ty]])</f>
        <v>=F2774</v>
      </c>
    </row>
    <row r="2874" spans="1:10" s="2" customFormat="1" ht="15" hidden="1" customHeight="1" x14ac:dyDescent="0.4">
      <c r="A2874" s="6">
        <v>2026</v>
      </c>
      <c r="B2874" s="6">
        <f t="shared" ref="B2874:B2937" si="367">B2775+1</f>
        <v>30</v>
      </c>
      <c r="C2874" s="13" t="s">
        <v>23</v>
      </c>
      <c r="D2874" s="2" t="s">
        <v>6</v>
      </c>
      <c r="E2874" s="14" t="s">
        <v>8</v>
      </c>
      <c r="F2874" s="22">
        <f t="shared" si="366"/>
        <v>10</v>
      </c>
      <c r="H2874" s="5" t="str">
        <f ca="1">_xlfn.FORMULATEXT(표1[[#This Row],[Q''ty]])</f>
        <v>=F2775</v>
      </c>
      <c r="I2874" s="26"/>
      <c r="J2874" s="26"/>
    </row>
    <row r="2875" spans="1:10" s="2" customFormat="1" ht="15" hidden="1" customHeight="1" x14ac:dyDescent="0.4">
      <c r="A2875" s="6">
        <v>2026</v>
      </c>
      <c r="B2875" s="6">
        <f t="shared" si="367"/>
        <v>30</v>
      </c>
      <c r="C2875" s="13" t="s">
        <v>23</v>
      </c>
      <c r="D2875" s="2" t="s">
        <v>6</v>
      </c>
      <c r="E2875" s="14" t="s">
        <v>9</v>
      </c>
      <c r="F2875" s="22">
        <f t="shared" si="366"/>
        <v>5</v>
      </c>
      <c r="H2875" s="5" t="str">
        <f ca="1">_xlfn.FORMULATEXT(표1[[#This Row],[Q''ty]])</f>
        <v>=F2776</v>
      </c>
      <c r="I2875" s="26"/>
      <c r="J2875" s="26"/>
    </row>
    <row r="2876" spans="1:10" ht="15" hidden="1" customHeight="1" x14ac:dyDescent="0.4">
      <c r="A2876" s="6">
        <v>2026</v>
      </c>
      <c r="B2876" s="6">
        <f t="shared" si="367"/>
        <v>30</v>
      </c>
      <c r="C2876" s="13" t="s">
        <v>23</v>
      </c>
      <c r="D2876" s="2" t="s">
        <v>6</v>
      </c>
      <c r="E2876" s="14" t="s">
        <v>27</v>
      </c>
      <c r="F2876" s="22">
        <f t="shared" si="366"/>
        <v>6</v>
      </c>
      <c r="H2876" s="5" t="str">
        <f ca="1">_xlfn.FORMULATEXT(표1[[#This Row],[Q''ty]])</f>
        <v>=F2777</v>
      </c>
    </row>
    <row r="2877" spans="1:10" ht="15" hidden="1" customHeight="1" x14ac:dyDescent="0.4">
      <c r="A2877" s="6">
        <v>2026</v>
      </c>
      <c r="B2877" s="6">
        <f t="shared" si="367"/>
        <v>30</v>
      </c>
      <c r="C2877" s="13" t="s">
        <v>23</v>
      </c>
      <c r="D2877" s="2" t="s">
        <v>6</v>
      </c>
      <c r="E2877" s="14" t="s">
        <v>10</v>
      </c>
      <c r="F2877" s="22">
        <f t="shared" si="366"/>
        <v>10</v>
      </c>
      <c r="H2877" s="5" t="str">
        <f ca="1">_xlfn.FORMULATEXT(표1[[#This Row],[Q''ty]])</f>
        <v>=F2778</v>
      </c>
    </row>
    <row r="2878" spans="1:10" ht="15" hidden="1" customHeight="1" x14ac:dyDescent="0.4">
      <c r="A2878" s="6">
        <v>2026</v>
      </c>
      <c r="B2878" s="6">
        <f t="shared" si="367"/>
        <v>30</v>
      </c>
      <c r="C2878" s="13" t="s">
        <v>23</v>
      </c>
      <c r="D2878" s="2" t="s">
        <v>6</v>
      </c>
      <c r="E2878" s="14" t="s">
        <v>11</v>
      </c>
      <c r="F2878" s="22">
        <f t="shared" si="366"/>
        <v>10</v>
      </c>
      <c r="H2878" s="5" t="str">
        <f ca="1">_xlfn.FORMULATEXT(표1[[#This Row],[Q''ty]])</f>
        <v>=F2779</v>
      </c>
    </row>
    <row r="2879" spans="1:10" ht="15" hidden="1" customHeight="1" x14ac:dyDescent="0.4">
      <c r="A2879" s="6">
        <v>2026</v>
      </c>
      <c r="B2879" s="6">
        <f t="shared" si="367"/>
        <v>30</v>
      </c>
      <c r="C2879" s="13" t="s">
        <v>23</v>
      </c>
      <c r="D2879" s="2" t="s">
        <v>12</v>
      </c>
      <c r="E2879" s="14" t="s">
        <v>13</v>
      </c>
      <c r="F2879" s="22"/>
      <c r="H2879" s="5" t="e">
        <f ca="1">_xlfn.FORMULATEXT(표1[[#This Row],[Q''ty]])</f>
        <v>#N/A</v>
      </c>
    </row>
    <row r="2880" spans="1:10" s="2" customFormat="1" ht="15" hidden="1" customHeight="1" x14ac:dyDescent="0.4">
      <c r="A2880" s="6">
        <v>2026</v>
      </c>
      <c r="B2880" s="6">
        <f t="shared" si="367"/>
        <v>30</v>
      </c>
      <c r="C2880" s="13" t="s">
        <v>23</v>
      </c>
      <c r="D2880" s="2" t="s">
        <v>12</v>
      </c>
      <c r="E2880" s="14" t="s">
        <v>14</v>
      </c>
      <c r="F2880" s="22"/>
      <c r="H2880" s="5" t="e">
        <f ca="1">_xlfn.FORMULATEXT(표1[[#This Row],[Q''ty]])</f>
        <v>#N/A</v>
      </c>
      <c r="I2880" s="26"/>
      <c r="J2880" s="26"/>
    </row>
    <row r="2881" spans="1:10" ht="15" hidden="1" customHeight="1" x14ac:dyDescent="0.4">
      <c r="A2881" s="6">
        <v>2026</v>
      </c>
      <c r="B2881" s="6">
        <f t="shared" si="367"/>
        <v>30</v>
      </c>
      <c r="C2881" s="13" t="s">
        <v>23</v>
      </c>
      <c r="D2881" s="2" t="s">
        <v>12</v>
      </c>
      <c r="E2881" s="14" t="s">
        <v>15</v>
      </c>
      <c r="F2881" s="22"/>
      <c r="H2881" s="5" t="e">
        <f ca="1">_xlfn.FORMULATEXT(표1[[#This Row],[Q''ty]])</f>
        <v>#N/A</v>
      </c>
    </row>
    <row r="2882" spans="1:10" ht="15" hidden="1" customHeight="1" x14ac:dyDescent="0.4">
      <c r="A2882" s="6">
        <v>2026</v>
      </c>
      <c r="B2882" s="6">
        <f t="shared" si="367"/>
        <v>30</v>
      </c>
      <c r="C2882" s="13" t="s">
        <v>23</v>
      </c>
      <c r="D2882" s="2" t="s">
        <v>12</v>
      </c>
      <c r="E2882" s="14" t="s">
        <v>16</v>
      </c>
      <c r="F2882" s="22"/>
      <c r="H2882" s="5" t="e">
        <f ca="1">_xlfn.FORMULATEXT(표1[[#This Row],[Q''ty]])</f>
        <v>#N/A</v>
      </c>
    </row>
    <row r="2883" spans="1:10" ht="15" hidden="1" customHeight="1" thickBot="1" x14ac:dyDescent="0.45">
      <c r="A2883" s="15">
        <v>2026</v>
      </c>
      <c r="B2883" s="15">
        <f t="shared" si="367"/>
        <v>30</v>
      </c>
      <c r="C2883" s="16" t="s">
        <v>23</v>
      </c>
      <c r="D2883" s="17" t="s">
        <v>12</v>
      </c>
      <c r="E2883" s="18" t="s">
        <v>17</v>
      </c>
      <c r="F2883" s="23"/>
      <c r="H2883" s="5" t="e">
        <f ca="1">_xlfn.FORMULATEXT(표1[[#This Row],[Q''ty]])</f>
        <v>#N/A</v>
      </c>
    </row>
    <row r="2884" spans="1:10" ht="15" hidden="1" customHeight="1" thickTop="1" x14ac:dyDescent="0.4">
      <c r="A2884" s="9">
        <v>2026</v>
      </c>
      <c r="B2884" s="9">
        <f t="shared" si="367"/>
        <v>30</v>
      </c>
      <c r="C2884" s="10" t="s">
        <v>29</v>
      </c>
      <c r="D2884" s="11" t="s">
        <v>6</v>
      </c>
      <c r="E2884" s="12" t="s">
        <v>7</v>
      </c>
      <c r="F2884" s="21">
        <f t="shared" ref="F2884:F2889" si="368">F2785</f>
        <v>14</v>
      </c>
      <c r="H2884" s="5" t="str">
        <f ca="1">_xlfn.FORMULATEXT(표1[[#This Row],[Q''ty]])</f>
        <v>=F2785</v>
      </c>
    </row>
    <row r="2885" spans="1:10" s="2" customFormat="1" ht="15" hidden="1" customHeight="1" x14ac:dyDescent="0.4">
      <c r="A2885" s="6">
        <v>2026</v>
      </c>
      <c r="B2885" s="6">
        <f t="shared" si="367"/>
        <v>30</v>
      </c>
      <c r="C2885" s="13" t="s">
        <v>24</v>
      </c>
      <c r="D2885" s="2" t="s">
        <v>6</v>
      </c>
      <c r="E2885" s="14" t="s">
        <v>8</v>
      </c>
      <c r="F2885" s="22">
        <f t="shared" si="368"/>
        <v>8</v>
      </c>
      <c r="H2885" s="5" t="str">
        <f ca="1">_xlfn.FORMULATEXT(표1[[#This Row],[Q''ty]])</f>
        <v>=F2786</v>
      </c>
      <c r="I2885" s="26"/>
      <c r="J2885" s="26"/>
    </row>
    <row r="2886" spans="1:10" s="2" customFormat="1" ht="15" hidden="1" customHeight="1" x14ac:dyDescent="0.4">
      <c r="A2886" s="6">
        <v>2026</v>
      </c>
      <c r="B2886" s="6">
        <f t="shared" si="367"/>
        <v>30</v>
      </c>
      <c r="C2886" s="13" t="s">
        <v>24</v>
      </c>
      <c r="D2886" s="2" t="s">
        <v>6</v>
      </c>
      <c r="E2886" s="14" t="s">
        <v>9</v>
      </c>
      <c r="F2886" s="22">
        <f t="shared" si="368"/>
        <v>4</v>
      </c>
      <c r="H2886" s="5" t="str">
        <f ca="1">_xlfn.FORMULATEXT(표1[[#This Row],[Q''ty]])</f>
        <v>=F2787</v>
      </c>
      <c r="I2886" s="26"/>
      <c r="J2886" s="26"/>
    </row>
    <row r="2887" spans="1:10" ht="15" hidden="1" customHeight="1" x14ac:dyDescent="0.4">
      <c r="A2887" s="6">
        <v>2026</v>
      </c>
      <c r="B2887" s="6">
        <f t="shared" si="367"/>
        <v>30</v>
      </c>
      <c r="C2887" s="13" t="s">
        <v>24</v>
      </c>
      <c r="D2887" s="2" t="s">
        <v>6</v>
      </c>
      <c r="E2887" s="14" t="s">
        <v>27</v>
      </c>
      <c r="F2887" s="22">
        <f t="shared" si="368"/>
        <v>3</v>
      </c>
      <c r="H2887" s="5" t="str">
        <f ca="1">_xlfn.FORMULATEXT(표1[[#This Row],[Q''ty]])</f>
        <v>=F2788</v>
      </c>
    </row>
    <row r="2888" spans="1:10" ht="15" hidden="1" customHeight="1" x14ac:dyDescent="0.4">
      <c r="A2888" s="6">
        <v>2026</v>
      </c>
      <c r="B2888" s="6">
        <f t="shared" si="367"/>
        <v>30</v>
      </c>
      <c r="C2888" s="13" t="s">
        <v>24</v>
      </c>
      <c r="D2888" s="2" t="s">
        <v>6</v>
      </c>
      <c r="E2888" s="14" t="s">
        <v>10</v>
      </c>
      <c r="F2888" s="22">
        <f t="shared" si="368"/>
        <v>6</v>
      </c>
      <c r="H2888" s="5" t="str">
        <f ca="1">_xlfn.FORMULATEXT(표1[[#This Row],[Q''ty]])</f>
        <v>=F2789</v>
      </c>
    </row>
    <row r="2889" spans="1:10" ht="15" hidden="1" customHeight="1" x14ac:dyDescent="0.4">
      <c r="A2889" s="6">
        <v>2026</v>
      </c>
      <c r="B2889" s="6">
        <f t="shared" si="367"/>
        <v>30</v>
      </c>
      <c r="C2889" s="13" t="s">
        <v>24</v>
      </c>
      <c r="D2889" s="2" t="s">
        <v>6</v>
      </c>
      <c r="E2889" s="14" t="s">
        <v>11</v>
      </c>
      <c r="F2889" s="22">
        <f t="shared" si="368"/>
        <v>8.8000000000000007</v>
      </c>
      <c r="H2889" s="5" t="str">
        <f ca="1">_xlfn.FORMULATEXT(표1[[#This Row],[Q''ty]])</f>
        <v>=F2790</v>
      </c>
    </row>
    <row r="2890" spans="1:10" ht="15" hidden="1" customHeight="1" x14ac:dyDescent="0.4">
      <c r="A2890" s="6">
        <v>2026</v>
      </c>
      <c r="B2890" s="6">
        <f t="shared" si="367"/>
        <v>30</v>
      </c>
      <c r="C2890" s="13" t="s">
        <v>24</v>
      </c>
      <c r="D2890" s="2" t="s">
        <v>12</v>
      </c>
      <c r="E2890" s="14" t="s">
        <v>13</v>
      </c>
      <c r="F2890" s="22"/>
      <c r="H2890" s="5" t="e">
        <f ca="1">_xlfn.FORMULATEXT(표1[[#This Row],[Q''ty]])</f>
        <v>#N/A</v>
      </c>
    </row>
    <row r="2891" spans="1:10" s="2" customFormat="1" ht="15" hidden="1" customHeight="1" x14ac:dyDescent="0.4">
      <c r="A2891" s="6">
        <v>2026</v>
      </c>
      <c r="B2891" s="6">
        <f t="shared" si="367"/>
        <v>30</v>
      </c>
      <c r="C2891" s="13" t="s">
        <v>24</v>
      </c>
      <c r="D2891" s="2" t="s">
        <v>12</v>
      </c>
      <c r="E2891" s="14" t="s">
        <v>14</v>
      </c>
      <c r="F2891" s="22"/>
      <c r="H2891" s="5" t="e">
        <f ca="1">_xlfn.FORMULATEXT(표1[[#This Row],[Q''ty]])</f>
        <v>#N/A</v>
      </c>
      <c r="I2891" s="26"/>
      <c r="J2891" s="26"/>
    </row>
    <row r="2892" spans="1:10" ht="15" hidden="1" customHeight="1" x14ac:dyDescent="0.4">
      <c r="A2892" s="6">
        <v>2026</v>
      </c>
      <c r="B2892" s="6">
        <f t="shared" si="367"/>
        <v>30</v>
      </c>
      <c r="C2892" s="13" t="s">
        <v>24</v>
      </c>
      <c r="D2892" s="2" t="s">
        <v>12</v>
      </c>
      <c r="E2892" s="14" t="s">
        <v>15</v>
      </c>
      <c r="F2892" s="22"/>
      <c r="H2892" s="5" t="e">
        <f ca="1">_xlfn.FORMULATEXT(표1[[#This Row],[Q''ty]])</f>
        <v>#N/A</v>
      </c>
    </row>
    <row r="2893" spans="1:10" ht="15" hidden="1" customHeight="1" x14ac:dyDescent="0.4">
      <c r="A2893" s="6">
        <v>2026</v>
      </c>
      <c r="B2893" s="6">
        <f t="shared" si="367"/>
        <v>30</v>
      </c>
      <c r="C2893" s="13" t="s">
        <v>24</v>
      </c>
      <c r="D2893" s="2" t="s">
        <v>12</v>
      </c>
      <c r="E2893" s="14" t="s">
        <v>16</v>
      </c>
      <c r="F2893" s="22"/>
      <c r="H2893" s="5" t="e">
        <f ca="1">_xlfn.FORMULATEXT(표1[[#This Row],[Q''ty]])</f>
        <v>#N/A</v>
      </c>
    </row>
    <row r="2894" spans="1:10" ht="15" hidden="1" customHeight="1" thickBot="1" x14ac:dyDescent="0.45">
      <c r="A2894" s="15">
        <v>2026</v>
      </c>
      <c r="B2894" s="15">
        <f t="shared" si="367"/>
        <v>30</v>
      </c>
      <c r="C2894" s="16" t="s">
        <v>24</v>
      </c>
      <c r="D2894" s="17" t="s">
        <v>12</v>
      </c>
      <c r="E2894" s="18" t="s">
        <v>17</v>
      </c>
      <c r="F2894" s="23"/>
      <c r="H2894" s="5" t="e">
        <f ca="1">_xlfn.FORMULATEXT(표1[[#This Row],[Q''ty]])</f>
        <v>#N/A</v>
      </c>
    </row>
    <row r="2895" spans="1:10" ht="15" hidden="1" customHeight="1" thickTop="1" x14ac:dyDescent="0.4">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10" ht="15" hidden="1" customHeight="1" x14ac:dyDescent="0.4">
      <c r="A2896" s="6">
        <v>2026</v>
      </c>
      <c r="B2896" s="6">
        <f t="shared" si="367"/>
        <v>30</v>
      </c>
      <c r="C2896" s="13" t="s">
        <v>18</v>
      </c>
      <c r="D2896" s="2" t="s">
        <v>6</v>
      </c>
      <c r="E2896" s="14" t="str">
        <f t="shared" si="369"/>
        <v>Paint Booth</v>
      </c>
      <c r="F2896" s="22">
        <f t="shared" si="369"/>
        <v>3</v>
      </c>
      <c r="H2896" s="5" t="str">
        <f ca="1">_xlfn.FORMULATEXT(표1[[#This Row],[Q''ty]])</f>
        <v>=F2797</v>
      </c>
    </row>
    <row r="2897" spans="1:8" ht="15" hidden="1" customHeight="1" x14ac:dyDescent="0.4">
      <c r="A2897" s="6">
        <v>2026</v>
      </c>
      <c r="B2897" s="6">
        <f t="shared" si="367"/>
        <v>30</v>
      </c>
      <c r="C2897" s="13" t="s">
        <v>18</v>
      </c>
      <c r="D2897" s="2" t="s">
        <v>6</v>
      </c>
      <c r="E2897" s="14" t="str">
        <f t="shared" si="369"/>
        <v>Paint Line</v>
      </c>
      <c r="F2897" s="22">
        <f t="shared" si="369"/>
        <v>2</v>
      </c>
      <c r="H2897" s="5" t="str">
        <f ca="1">_xlfn.FORMULATEXT(표1[[#This Row],[Q''ty]])</f>
        <v>=F2798</v>
      </c>
    </row>
    <row r="2898" spans="1:8" ht="15" hidden="1" customHeight="1" x14ac:dyDescent="0.4">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hidden="1" customHeight="1" x14ac:dyDescent="0.4">
      <c r="A2899" s="6">
        <v>2026</v>
      </c>
      <c r="B2899" s="6">
        <f t="shared" si="367"/>
        <v>30</v>
      </c>
      <c r="C2899" s="13" t="s">
        <v>18</v>
      </c>
      <c r="D2899" s="2" t="s">
        <v>6</v>
      </c>
      <c r="E2899" s="14" t="str">
        <f t="shared" si="369"/>
        <v>L/W Machine</v>
      </c>
      <c r="F2899" s="22">
        <f t="shared" si="369"/>
        <v>2</v>
      </c>
      <c r="H2899" s="5" t="str">
        <f ca="1">_xlfn.FORMULATEXT(표1[[#This Row],[Q''ty]])</f>
        <v>=F2800</v>
      </c>
    </row>
    <row r="2900" spans="1:8" ht="15" hidden="1" customHeight="1" x14ac:dyDescent="0.4">
      <c r="A2900" s="6">
        <v>2026</v>
      </c>
      <c r="B2900" s="6">
        <f t="shared" si="367"/>
        <v>30</v>
      </c>
      <c r="C2900" s="13" t="s">
        <v>18</v>
      </c>
      <c r="D2900" s="2" t="s">
        <v>6</v>
      </c>
      <c r="E2900" s="14" t="str">
        <f t="shared" si="369"/>
        <v>C/W Machine</v>
      </c>
      <c r="F2900" s="22">
        <f t="shared" si="369"/>
        <v>3</v>
      </c>
      <c r="H2900" s="5" t="str">
        <f ca="1">_xlfn.FORMULATEXT(표1[[#This Row],[Q''ty]])</f>
        <v>=F2801</v>
      </c>
    </row>
    <row r="2901" spans="1:8" ht="15" hidden="1" customHeight="1" x14ac:dyDescent="0.4">
      <c r="A2901" s="6">
        <v>2026</v>
      </c>
      <c r="B2901" s="6">
        <f t="shared" si="367"/>
        <v>30</v>
      </c>
      <c r="C2901" s="13" t="s">
        <v>18</v>
      </c>
      <c r="D2901" s="2" t="s">
        <v>12</v>
      </c>
      <c r="E2901" s="14" t="str">
        <f t="shared" ref="E2901:E2916" si="370">E2802</f>
        <v>BT GT</v>
      </c>
      <c r="F2901" s="22"/>
      <c r="H2901" s="5" t="e">
        <f ca="1">_xlfn.FORMULATEXT(표1[[#This Row],[Q''ty]])</f>
        <v>#N/A</v>
      </c>
    </row>
    <row r="2902" spans="1:8" ht="15" hidden="1" customHeight="1" x14ac:dyDescent="0.4">
      <c r="A2902" s="6">
        <v>2026</v>
      </c>
      <c r="B2902" s="6">
        <f t="shared" si="367"/>
        <v>30</v>
      </c>
      <c r="C2902" s="13" t="s">
        <v>18</v>
      </c>
      <c r="D2902" s="2" t="s">
        <v>12</v>
      </c>
      <c r="E2902" s="14" t="str">
        <f t="shared" si="370"/>
        <v>WT GT</v>
      </c>
      <c r="F2902" s="22"/>
      <c r="H2902" s="5" t="e">
        <f ca="1">_xlfn.FORMULATEXT(표1[[#This Row],[Q''ty]])</f>
        <v>#N/A</v>
      </c>
    </row>
    <row r="2903" spans="1:8" ht="15" hidden="1" customHeight="1" x14ac:dyDescent="0.4">
      <c r="A2903" s="6">
        <v>2026</v>
      </c>
      <c r="B2903" s="6">
        <f t="shared" si="367"/>
        <v>30</v>
      </c>
      <c r="C2903" s="13" t="s">
        <v>18</v>
      </c>
      <c r="D2903" s="2" t="s">
        <v>12</v>
      </c>
      <c r="E2903" s="14" t="str">
        <f t="shared" si="370"/>
        <v>Bending</v>
      </c>
      <c r="F2903" s="22"/>
      <c r="H2903" s="5" t="e">
        <f ca="1">_xlfn.FORMULATEXT(표1[[#This Row],[Q''ty]])</f>
        <v>#N/A</v>
      </c>
    </row>
    <row r="2904" spans="1:8" ht="15" hidden="1" customHeight="1" x14ac:dyDescent="0.4">
      <c r="A2904" s="6">
        <v>2026</v>
      </c>
      <c r="B2904" s="6">
        <f t="shared" si="367"/>
        <v>30</v>
      </c>
      <c r="C2904" s="13" t="s">
        <v>18</v>
      </c>
      <c r="D2904" s="2" t="s">
        <v>12</v>
      </c>
      <c r="E2904" s="14" t="str">
        <f t="shared" si="370"/>
        <v>L/W</v>
      </c>
      <c r="F2904" s="22"/>
      <c r="H2904" s="5" t="e">
        <f ca="1">_xlfn.FORMULATEXT(표1[[#This Row],[Q''ty]])</f>
        <v>#N/A</v>
      </c>
    </row>
    <row r="2905" spans="1:8" ht="15" hidden="1" customHeight="1" thickBot="1" x14ac:dyDescent="0.45">
      <c r="A2905" s="15">
        <v>2026</v>
      </c>
      <c r="B2905" s="15">
        <f t="shared" si="367"/>
        <v>30</v>
      </c>
      <c r="C2905" s="16" t="s">
        <v>18</v>
      </c>
      <c r="D2905" s="17" t="s">
        <v>12</v>
      </c>
      <c r="E2905" s="18" t="str">
        <f t="shared" si="370"/>
        <v>C/W</v>
      </c>
      <c r="F2905" s="23"/>
      <c r="H2905" s="5" t="e">
        <f ca="1">_xlfn.FORMULATEXT(표1[[#This Row],[Q''ty]])</f>
        <v>#N/A</v>
      </c>
    </row>
    <row r="2906" spans="1:8" ht="15" hidden="1" customHeight="1" thickTop="1" x14ac:dyDescent="0.4">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hidden="1" customHeight="1" x14ac:dyDescent="0.4">
      <c r="A2907" s="6">
        <v>2026</v>
      </c>
      <c r="B2907" s="6">
        <f t="shared" si="367"/>
        <v>30</v>
      </c>
      <c r="C2907" s="13" t="s">
        <v>19</v>
      </c>
      <c r="D2907" s="2" t="s">
        <v>6</v>
      </c>
      <c r="E2907" s="14" t="str">
        <f t="shared" si="370"/>
        <v>Paint Booth</v>
      </c>
      <c r="F2907" s="22">
        <f t="shared" si="371"/>
        <v>22</v>
      </c>
      <c r="H2907" s="5" t="str">
        <f ca="1">_xlfn.FORMULATEXT(표1[[#This Row],[Q''ty]])</f>
        <v>=F2808</v>
      </c>
    </row>
    <row r="2908" spans="1:8" ht="15" hidden="1" customHeight="1" x14ac:dyDescent="0.4">
      <c r="A2908" s="6">
        <v>2026</v>
      </c>
      <c r="B2908" s="6">
        <f t="shared" si="367"/>
        <v>30</v>
      </c>
      <c r="C2908" s="13" t="s">
        <v>19</v>
      </c>
      <c r="D2908" s="2" t="s">
        <v>6</v>
      </c>
      <c r="E2908" s="14" t="str">
        <f t="shared" si="370"/>
        <v>Paint Line</v>
      </c>
      <c r="F2908" s="22">
        <f t="shared" si="371"/>
        <v>6</v>
      </c>
      <c r="H2908" s="5" t="str">
        <f ca="1">_xlfn.FORMULATEXT(표1[[#This Row],[Q''ty]])</f>
        <v>=F2809</v>
      </c>
    </row>
    <row r="2909" spans="1:8" ht="15" hidden="1" customHeight="1" x14ac:dyDescent="0.4">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hidden="1" customHeight="1" x14ac:dyDescent="0.4">
      <c r="A2910" s="6">
        <v>2026</v>
      </c>
      <c r="B2910" s="6">
        <f t="shared" si="367"/>
        <v>30</v>
      </c>
      <c r="C2910" s="13" t="s">
        <v>19</v>
      </c>
      <c r="D2910" s="2" t="s">
        <v>6</v>
      </c>
      <c r="E2910" s="14" t="str">
        <f t="shared" si="370"/>
        <v>L/W Machine</v>
      </c>
      <c r="F2910" s="22">
        <f t="shared" si="371"/>
        <v>10</v>
      </c>
      <c r="H2910" s="5" t="str">
        <f ca="1">_xlfn.FORMULATEXT(표1[[#This Row],[Q''ty]])</f>
        <v>=F2811</v>
      </c>
    </row>
    <row r="2911" spans="1:8" ht="15" hidden="1" customHeight="1" x14ac:dyDescent="0.4">
      <c r="A2911" s="6">
        <v>2026</v>
      </c>
      <c r="B2911" s="6">
        <f t="shared" si="367"/>
        <v>30</v>
      </c>
      <c r="C2911" s="13" t="s">
        <v>19</v>
      </c>
      <c r="D2911" s="2" t="s">
        <v>6</v>
      </c>
      <c r="E2911" s="14" t="str">
        <f t="shared" si="370"/>
        <v>C/W Machine</v>
      </c>
      <c r="F2911" s="22">
        <f t="shared" si="371"/>
        <v>12</v>
      </c>
      <c r="H2911" s="5" t="str">
        <f ca="1">_xlfn.FORMULATEXT(표1[[#This Row],[Q''ty]])</f>
        <v>=F2812</v>
      </c>
    </row>
    <row r="2912" spans="1:8" ht="15" hidden="1" customHeight="1" x14ac:dyDescent="0.4">
      <c r="A2912" s="6">
        <v>2026</v>
      </c>
      <c r="B2912" s="6">
        <f t="shared" si="367"/>
        <v>30</v>
      </c>
      <c r="C2912" s="13" t="s">
        <v>19</v>
      </c>
      <c r="D2912" s="2" t="s">
        <v>12</v>
      </c>
      <c r="E2912" s="14" t="str">
        <f t="shared" si="370"/>
        <v>BT GT</v>
      </c>
      <c r="F2912" s="22"/>
      <c r="H2912" s="5" t="e">
        <f ca="1">_xlfn.FORMULATEXT(표1[[#This Row],[Q''ty]])</f>
        <v>#N/A</v>
      </c>
    </row>
    <row r="2913" spans="1:8" ht="15" hidden="1" customHeight="1" x14ac:dyDescent="0.4">
      <c r="A2913" s="6">
        <v>2026</v>
      </c>
      <c r="B2913" s="6">
        <f t="shared" si="367"/>
        <v>30</v>
      </c>
      <c r="C2913" s="13" t="s">
        <v>19</v>
      </c>
      <c r="D2913" s="2" t="s">
        <v>12</v>
      </c>
      <c r="E2913" s="14" t="str">
        <f t="shared" si="370"/>
        <v>WT GT</v>
      </c>
      <c r="F2913" s="22"/>
      <c r="H2913" s="5" t="e">
        <f ca="1">_xlfn.FORMULATEXT(표1[[#This Row],[Q''ty]])</f>
        <v>#N/A</v>
      </c>
    </row>
    <row r="2914" spans="1:8" ht="15" hidden="1" customHeight="1" x14ac:dyDescent="0.4">
      <c r="A2914" s="6">
        <v>2026</v>
      </c>
      <c r="B2914" s="6">
        <f t="shared" si="367"/>
        <v>30</v>
      </c>
      <c r="C2914" s="13" t="s">
        <v>19</v>
      </c>
      <c r="D2914" s="2" t="s">
        <v>12</v>
      </c>
      <c r="E2914" s="14" t="str">
        <f t="shared" si="370"/>
        <v>Bending</v>
      </c>
      <c r="F2914" s="22"/>
      <c r="H2914" s="5" t="e">
        <f ca="1">_xlfn.FORMULATEXT(표1[[#This Row],[Q''ty]])</f>
        <v>#N/A</v>
      </c>
    </row>
    <row r="2915" spans="1:8" ht="15" hidden="1" customHeight="1" x14ac:dyDescent="0.4">
      <c r="A2915" s="6">
        <v>2026</v>
      </c>
      <c r="B2915" s="6">
        <f t="shared" si="367"/>
        <v>30</v>
      </c>
      <c r="C2915" s="13" t="s">
        <v>19</v>
      </c>
      <c r="D2915" s="2" t="s">
        <v>12</v>
      </c>
      <c r="E2915" s="14" t="str">
        <f t="shared" si="370"/>
        <v>L/W</v>
      </c>
      <c r="F2915" s="22"/>
      <c r="H2915" s="5" t="e">
        <f ca="1">_xlfn.FORMULATEXT(표1[[#This Row],[Q''ty]])</f>
        <v>#N/A</v>
      </c>
    </row>
    <row r="2916" spans="1:8" ht="15" hidden="1" customHeight="1" thickBot="1" x14ac:dyDescent="0.45">
      <c r="A2916" s="15">
        <v>2026</v>
      </c>
      <c r="B2916" s="15">
        <f t="shared" si="367"/>
        <v>30</v>
      </c>
      <c r="C2916" s="16" t="s">
        <v>19</v>
      </c>
      <c r="D2916" s="17" t="s">
        <v>12</v>
      </c>
      <c r="E2916" s="18" t="str">
        <f t="shared" si="370"/>
        <v>C/W</v>
      </c>
      <c r="F2916" s="23"/>
      <c r="H2916" s="5" t="e">
        <f ca="1">_xlfn.FORMULATEXT(표1[[#This Row],[Q''ty]])</f>
        <v>#N/A</v>
      </c>
    </row>
    <row r="2917" spans="1:8" ht="15" hidden="1" customHeight="1" thickTop="1" x14ac:dyDescent="0.4">
      <c r="A2917" s="6">
        <v>2026</v>
      </c>
      <c r="B2917" s="6">
        <f t="shared" si="367"/>
        <v>30</v>
      </c>
      <c r="C2917" s="13" t="s">
        <v>25</v>
      </c>
      <c r="D2917" s="2" t="s">
        <v>6</v>
      </c>
      <c r="E2917" s="14" t="s">
        <v>7</v>
      </c>
      <c r="F2917" s="22">
        <f t="shared" ref="F2917:F2922" si="372">F2818</f>
        <v>3</v>
      </c>
      <c r="H2917" s="5" t="str">
        <f ca="1">_xlfn.FORMULATEXT(표1[[#This Row],[Q''ty]])</f>
        <v>=F2818</v>
      </c>
    </row>
    <row r="2918" spans="1:8" ht="15" hidden="1" customHeight="1" x14ac:dyDescent="0.4">
      <c r="A2918" s="6">
        <v>2026</v>
      </c>
      <c r="B2918" s="6">
        <f t="shared" si="367"/>
        <v>30</v>
      </c>
      <c r="C2918" s="13" t="s">
        <v>25</v>
      </c>
      <c r="D2918" s="2" t="s">
        <v>6</v>
      </c>
      <c r="E2918" s="14" t="s">
        <v>8</v>
      </c>
      <c r="F2918" s="22">
        <f t="shared" si="372"/>
        <v>3</v>
      </c>
      <c r="H2918" s="5" t="str">
        <f ca="1">_xlfn.FORMULATEXT(표1[[#This Row],[Q''ty]])</f>
        <v>=F2819</v>
      </c>
    </row>
    <row r="2919" spans="1:8" ht="15" hidden="1" customHeight="1" x14ac:dyDescent="0.4">
      <c r="A2919" s="6">
        <v>2026</v>
      </c>
      <c r="B2919" s="6">
        <f t="shared" si="367"/>
        <v>30</v>
      </c>
      <c r="C2919" s="13" t="s">
        <v>25</v>
      </c>
      <c r="D2919" s="2" t="s">
        <v>6</v>
      </c>
      <c r="E2919" s="14" t="s">
        <v>9</v>
      </c>
      <c r="F2919" s="22">
        <f t="shared" si="372"/>
        <v>2</v>
      </c>
      <c r="H2919" s="5" t="str">
        <f ca="1">_xlfn.FORMULATEXT(표1[[#This Row],[Q''ty]])</f>
        <v>=F2820</v>
      </c>
    </row>
    <row r="2920" spans="1:8" ht="15" hidden="1" customHeight="1" x14ac:dyDescent="0.4">
      <c r="A2920" s="6">
        <v>2026</v>
      </c>
      <c r="B2920" s="6">
        <f t="shared" si="367"/>
        <v>30</v>
      </c>
      <c r="C2920" s="13" t="s">
        <v>25</v>
      </c>
      <c r="D2920" s="2" t="s">
        <v>6</v>
      </c>
      <c r="E2920" s="14" t="s">
        <v>27</v>
      </c>
      <c r="F2920" s="22">
        <f t="shared" si="372"/>
        <v>2</v>
      </c>
      <c r="H2920" s="5" t="str">
        <f ca="1">_xlfn.FORMULATEXT(표1[[#This Row],[Q''ty]])</f>
        <v>=F2821</v>
      </c>
    </row>
    <row r="2921" spans="1:8" ht="15" hidden="1" customHeight="1" x14ac:dyDescent="0.4">
      <c r="A2921" s="6">
        <v>2026</v>
      </c>
      <c r="B2921" s="6">
        <f t="shared" si="367"/>
        <v>30</v>
      </c>
      <c r="C2921" s="13" t="s">
        <v>25</v>
      </c>
      <c r="D2921" s="2" t="s">
        <v>6</v>
      </c>
      <c r="E2921" s="14" t="s">
        <v>10</v>
      </c>
      <c r="F2921" s="22">
        <f t="shared" si="372"/>
        <v>3</v>
      </c>
      <c r="H2921" s="5" t="str">
        <f ca="1">_xlfn.FORMULATEXT(표1[[#This Row],[Q''ty]])</f>
        <v>=F2822</v>
      </c>
    </row>
    <row r="2922" spans="1:8" ht="15" hidden="1" customHeight="1" x14ac:dyDescent="0.4">
      <c r="A2922" s="6">
        <v>2026</v>
      </c>
      <c r="B2922" s="6">
        <f t="shared" si="367"/>
        <v>30</v>
      </c>
      <c r="C2922" s="13" t="s">
        <v>25</v>
      </c>
      <c r="D2922" s="2" t="s">
        <v>6</v>
      </c>
      <c r="E2922" s="14" t="s">
        <v>11</v>
      </c>
      <c r="F2922" s="22">
        <f t="shared" si="372"/>
        <v>4</v>
      </c>
      <c r="H2922" s="5" t="str">
        <f ca="1">_xlfn.FORMULATEXT(표1[[#This Row],[Q''ty]])</f>
        <v>=F2823</v>
      </c>
    </row>
    <row r="2923" spans="1:8" ht="15" hidden="1" customHeight="1" x14ac:dyDescent="0.4">
      <c r="A2923" s="6">
        <v>2026</v>
      </c>
      <c r="B2923" s="6">
        <f t="shared" si="367"/>
        <v>30</v>
      </c>
      <c r="C2923" s="13" t="s">
        <v>25</v>
      </c>
      <c r="D2923" s="2" t="s">
        <v>12</v>
      </c>
      <c r="E2923" s="14" t="s">
        <v>13</v>
      </c>
      <c r="F2923" s="22"/>
      <c r="H2923" s="5" t="e">
        <f ca="1">_xlfn.FORMULATEXT(표1[[#This Row],[Q''ty]])</f>
        <v>#N/A</v>
      </c>
    </row>
    <row r="2924" spans="1:8" ht="15" hidden="1" customHeight="1" x14ac:dyDescent="0.4">
      <c r="A2924" s="6">
        <v>2026</v>
      </c>
      <c r="B2924" s="6">
        <f t="shared" si="367"/>
        <v>30</v>
      </c>
      <c r="C2924" s="13" t="s">
        <v>25</v>
      </c>
      <c r="D2924" s="2" t="s">
        <v>12</v>
      </c>
      <c r="E2924" s="14" t="s">
        <v>14</v>
      </c>
      <c r="F2924" s="22"/>
      <c r="H2924" s="5" t="e">
        <f ca="1">_xlfn.FORMULATEXT(표1[[#This Row],[Q''ty]])</f>
        <v>#N/A</v>
      </c>
    </row>
    <row r="2925" spans="1:8" ht="15" hidden="1" customHeight="1" x14ac:dyDescent="0.4">
      <c r="A2925" s="6">
        <v>2026</v>
      </c>
      <c r="B2925" s="6">
        <f t="shared" si="367"/>
        <v>30</v>
      </c>
      <c r="C2925" s="13" t="s">
        <v>25</v>
      </c>
      <c r="D2925" s="2" t="s">
        <v>12</v>
      </c>
      <c r="E2925" s="14" t="s">
        <v>15</v>
      </c>
      <c r="F2925" s="22"/>
      <c r="H2925" s="5" t="e">
        <f ca="1">_xlfn.FORMULATEXT(표1[[#This Row],[Q''ty]])</f>
        <v>#N/A</v>
      </c>
    </row>
    <row r="2926" spans="1:8" ht="15" hidden="1" customHeight="1" x14ac:dyDescent="0.4">
      <c r="A2926" s="6">
        <v>2026</v>
      </c>
      <c r="B2926" s="6">
        <f t="shared" si="367"/>
        <v>30</v>
      </c>
      <c r="C2926" s="13" t="s">
        <v>25</v>
      </c>
      <c r="D2926" s="2" t="s">
        <v>12</v>
      </c>
      <c r="E2926" s="14" t="s">
        <v>16</v>
      </c>
      <c r="F2926" s="22"/>
      <c r="H2926" s="5" t="e">
        <f ca="1">_xlfn.FORMULATEXT(표1[[#This Row],[Q''ty]])</f>
        <v>#N/A</v>
      </c>
    </row>
    <row r="2927" spans="1:8" ht="15" hidden="1" customHeight="1" thickBot="1" x14ac:dyDescent="0.45">
      <c r="A2927" s="15">
        <v>2026</v>
      </c>
      <c r="B2927" s="15">
        <f t="shared" si="367"/>
        <v>30</v>
      </c>
      <c r="C2927" s="16" t="s">
        <v>25</v>
      </c>
      <c r="D2927" s="17" t="s">
        <v>12</v>
      </c>
      <c r="E2927" s="18" t="s">
        <v>17</v>
      </c>
      <c r="F2927" s="23"/>
      <c r="H2927" s="5" t="e">
        <f ca="1">_xlfn.FORMULATEXT(표1[[#This Row],[Q''ty]])</f>
        <v>#N/A</v>
      </c>
    </row>
    <row r="2928" spans="1:8" ht="15" hidden="1" customHeight="1" thickTop="1" x14ac:dyDescent="0.4">
      <c r="A2928" s="6">
        <v>2026</v>
      </c>
      <c r="B2928" s="6">
        <f t="shared" si="367"/>
        <v>30</v>
      </c>
      <c r="C2928" s="13" t="s">
        <v>26</v>
      </c>
      <c r="D2928" s="2" t="s">
        <v>6</v>
      </c>
      <c r="E2928" s="14" t="s">
        <v>7</v>
      </c>
      <c r="F2928" s="22">
        <f t="shared" ref="F2928:F2933" si="373">F2829</f>
        <v>6</v>
      </c>
      <c r="H2928" s="5" t="str">
        <f ca="1">_xlfn.FORMULATEXT(표1[[#This Row],[Q''ty]])</f>
        <v>=F2829</v>
      </c>
    </row>
    <row r="2929" spans="1:8" ht="15" hidden="1" customHeight="1" x14ac:dyDescent="0.4">
      <c r="A2929" s="6">
        <v>2026</v>
      </c>
      <c r="B2929" s="6">
        <f t="shared" si="367"/>
        <v>30</v>
      </c>
      <c r="C2929" s="13" t="s">
        <v>26</v>
      </c>
      <c r="D2929" s="2" t="s">
        <v>6</v>
      </c>
      <c r="E2929" s="14" t="s">
        <v>8</v>
      </c>
      <c r="F2929" s="22">
        <f t="shared" si="373"/>
        <v>4</v>
      </c>
      <c r="H2929" s="5" t="str">
        <f ca="1">_xlfn.FORMULATEXT(표1[[#This Row],[Q''ty]])</f>
        <v>=F2830</v>
      </c>
    </row>
    <row r="2930" spans="1:8" ht="15" hidden="1" customHeight="1" x14ac:dyDescent="0.4">
      <c r="A2930" s="6">
        <v>2026</v>
      </c>
      <c r="B2930" s="6">
        <f t="shared" si="367"/>
        <v>30</v>
      </c>
      <c r="C2930" s="13" t="s">
        <v>26</v>
      </c>
      <c r="D2930" s="2" t="s">
        <v>6</v>
      </c>
      <c r="E2930" s="14" t="s">
        <v>9</v>
      </c>
      <c r="F2930" s="22">
        <f t="shared" si="373"/>
        <v>2</v>
      </c>
      <c r="H2930" s="5" t="str">
        <f ca="1">_xlfn.FORMULATEXT(표1[[#This Row],[Q''ty]])</f>
        <v>=F2831</v>
      </c>
    </row>
    <row r="2931" spans="1:8" ht="15" hidden="1" customHeight="1" x14ac:dyDescent="0.4">
      <c r="A2931" s="6">
        <v>2026</v>
      </c>
      <c r="B2931" s="6">
        <f t="shared" si="367"/>
        <v>30</v>
      </c>
      <c r="C2931" s="13" t="s">
        <v>26</v>
      </c>
      <c r="D2931" s="2" t="s">
        <v>6</v>
      </c>
      <c r="E2931" s="14" t="s">
        <v>27</v>
      </c>
      <c r="F2931" s="22">
        <f t="shared" si="373"/>
        <v>3</v>
      </c>
      <c r="H2931" s="5" t="str">
        <f ca="1">_xlfn.FORMULATEXT(표1[[#This Row],[Q''ty]])</f>
        <v>=F2832</v>
      </c>
    </row>
    <row r="2932" spans="1:8" ht="15" hidden="1" customHeight="1" x14ac:dyDescent="0.4">
      <c r="A2932" s="6">
        <v>2026</v>
      </c>
      <c r="B2932" s="6">
        <f t="shared" si="367"/>
        <v>30</v>
      </c>
      <c r="C2932" s="13" t="s">
        <v>26</v>
      </c>
      <c r="D2932" s="2" t="s">
        <v>6</v>
      </c>
      <c r="E2932" s="14" t="s">
        <v>10</v>
      </c>
      <c r="F2932" s="22">
        <f t="shared" si="373"/>
        <v>4</v>
      </c>
      <c r="H2932" s="5" t="str">
        <f ca="1">_xlfn.FORMULATEXT(표1[[#This Row],[Q''ty]])</f>
        <v>=F2833</v>
      </c>
    </row>
    <row r="2933" spans="1:8" ht="15" hidden="1" customHeight="1" x14ac:dyDescent="0.4">
      <c r="A2933" s="6">
        <v>2026</v>
      </c>
      <c r="B2933" s="6">
        <f t="shared" si="367"/>
        <v>30</v>
      </c>
      <c r="C2933" s="13" t="s">
        <v>26</v>
      </c>
      <c r="D2933" s="2" t="s">
        <v>6</v>
      </c>
      <c r="E2933" s="14" t="s">
        <v>11</v>
      </c>
      <c r="F2933" s="22">
        <f t="shared" si="373"/>
        <v>6</v>
      </c>
      <c r="H2933" s="5" t="str">
        <f ca="1">_xlfn.FORMULATEXT(표1[[#This Row],[Q''ty]])</f>
        <v>=F2834</v>
      </c>
    </row>
    <row r="2934" spans="1:8" ht="15" hidden="1" customHeight="1" x14ac:dyDescent="0.4">
      <c r="A2934" s="6">
        <v>2026</v>
      </c>
      <c r="B2934" s="6">
        <f t="shared" si="367"/>
        <v>30</v>
      </c>
      <c r="C2934" s="13" t="s">
        <v>26</v>
      </c>
      <c r="D2934" s="2" t="s">
        <v>12</v>
      </c>
      <c r="E2934" s="14" t="str">
        <f t="shared" ref="E2934:E2971" si="374">E2835</f>
        <v>BT GT</v>
      </c>
      <c r="F2934" s="22"/>
      <c r="H2934" s="5" t="e">
        <f ca="1">_xlfn.FORMULATEXT(표1[[#This Row],[Q''ty]])</f>
        <v>#N/A</v>
      </c>
    </row>
    <row r="2935" spans="1:8" ht="15" hidden="1" customHeight="1" x14ac:dyDescent="0.4">
      <c r="A2935" s="6">
        <v>2026</v>
      </c>
      <c r="B2935" s="6">
        <f t="shared" si="367"/>
        <v>30</v>
      </c>
      <c r="C2935" s="13" t="s">
        <v>26</v>
      </c>
      <c r="D2935" s="2" t="s">
        <v>12</v>
      </c>
      <c r="E2935" s="14" t="str">
        <f t="shared" si="374"/>
        <v>WT GT</v>
      </c>
      <c r="F2935" s="22"/>
      <c r="H2935" s="5" t="e">
        <f ca="1">_xlfn.FORMULATEXT(표1[[#This Row],[Q''ty]])</f>
        <v>#N/A</v>
      </c>
    </row>
    <row r="2936" spans="1:8" ht="15" hidden="1" customHeight="1" x14ac:dyDescent="0.4">
      <c r="A2936" s="6">
        <v>2026</v>
      </c>
      <c r="B2936" s="6">
        <f t="shared" si="367"/>
        <v>30</v>
      </c>
      <c r="C2936" s="13" t="s">
        <v>26</v>
      </c>
      <c r="D2936" s="2" t="s">
        <v>12</v>
      </c>
      <c r="E2936" s="14" t="str">
        <f t="shared" si="374"/>
        <v>Bending</v>
      </c>
      <c r="F2936" s="22"/>
      <c r="H2936" s="5" t="e">
        <f ca="1">_xlfn.FORMULATEXT(표1[[#This Row],[Q''ty]])</f>
        <v>#N/A</v>
      </c>
    </row>
    <row r="2937" spans="1:8" ht="15" hidden="1" customHeight="1" x14ac:dyDescent="0.4">
      <c r="A2937" s="6">
        <v>2026</v>
      </c>
      <c r="B2937" s="6">
        <f t="shared" si="367"/>
        <v>30</v>
      </c>
      <c r="C2937" s="13" t="s">
        <v>26</v>
      </c>
      <c r="D2937" s="2" t="s">
        <v>12</v>
      </c>
      <c r="E2937" s="14" t="str">
        <f t="shared" si="374"/>
        <v>L/W</v>
      </c>
      <c r="F2937" s="22"/>
      <c r="H2937" s="5" t="e">
        <f ca="1">_xlfn.FORMULATEXT(표1[[#This Row],[Q''ty]])</f>
        <v>#N/A</v>
      </c>
    </row>
    <row r="2938" spans="1:8" ht="15" hidden="1" customHeight="1" thickBot="1" x14ac:dyDescent="0.45">
      <c r="A2938" s="15">
        <v>2026</v>
      </c>
      <c r="B2938" s="15">
        <f t="shared" ref="B2938:B2971" si="375">B2839+1</f>
        <v>30</v>
      </c>
      <c r="C2938" s="16" t="s">
        <v>26</v>
      </c>
      <c r="D2938" s="17" t="s">
        <v>12</v>
      </c>
      <c r="E2938" s="18" t="str">
        <f t="shared" si="374"/>
        <v>C/W</v>
      </c>
      <c r="F2938" s="23"/>
      <c r="H2938" s="5" t="e">
        <f ca="1">_xlfn.FORMULATEXT(표1[[#This Row],[Q''ty]])</f>
        <v>#N/A</v>
      </c>
    </row>
    <row r="2939" spans="1:8" ht="15" hidden="1" customHeight="1" thickTop="1" x14ac:dyDescent="0.4">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hidden="1" customHeight="1" x14ac:dyDescent="0.4">
      <c r="A2940" s="6">
        <v>2026</v>
      </c>
      <c r="B2940" s="6">
        <f t="shared" si="375"/>
        <v>30</v>
      </c>
      <c r="C2940" s="13" t="s">
        <v>20</v>
      </c>
      <c r="D2940" s="2" t="s">
        <v>6</v>
      </c>
      <c r="E2940" s="14" t="str">
        <f t="shared" si="374"/>
        <v>Paint Booth</v>
      </c>
      <c r="F2940" s="22">
        <f t="shared" si="376"/>
        <v>16</v>
      </c>
      <c r="H2940" s="5" t="str">
        <f ca="1">_xlfn.FORMULATEXT(표1[[#This Row],[Q''ty]])</f>
        <v>=F2841</v>
      </c>
    </row>
    <row r="2941" spans="1:8" ht="15" hidden="1" customHeight="1" x14ac:dyDescent="0.4">
      <c r="A2941" s="6">
        <v>2026</v>
      </c>
      <c r="B2941" s="6">
        <f t="shared" si="375"/>
        <v>30</v>
      </c>
      <c r="C2941" s="13" t="s">
        <v>20</v>
      </c>
      <c r="D2941" s="2" t="s">
        <v>6</v>
      </c>
      <c r="E2941" s="14" t="str">
        <f t="shared" si="374"/>
        <v>Paint Line</v>
      </c>
      <c r="F2941" s="22">
        <f t="shared" si="376"/>
        <v>8</v>
      </c>
      <c r="H2941" s="5" t="str">
        <f ca="1">_xlfn.FORMULATEXT(표1[[#This Row],[Q''ty]])</f>
        <v>=F2842</v>
      </c>
    </row>
    <row r="2942" spans="1:8" ht="15" hidden="1" customHeight="1" x14ac:dyDescent="0.4">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hidden="1" customHeight="1" x14ac:dyDescent="0.4">
      <c r="A2943" s="6">
        <v>2026</v>
      </c>
      <c r="B2943" s="6">
        <f t="shared" si="375"/>
        <v>30</v>
      </c>
      <c r="C2943" s="13" t="s">
        <v>20</v>
      </c>
      <c r="D2943" s="2" t="s">
        <v>6</v>
      </c>
      <c r="E2943" s="14" t="str">
        <f t="shared" si="374"/>
        <v>L/W Machine</v>
      </c>
      <c r="F2943" s="22">
        <f t="shared" si="376"/>
        <v>11</v>
      </c>
      <c r="H2943" s="5" t="str">
        <f ca="1">_xlfn.FORMULATEXT(표1[[#This Row],[Q''ty]])</f>
        <v>=F2844</v>
      </c>
    </row>
    <row r="2944" spans="1:8" ht="15" hidden="1" customHeight="1" x14ac:dyDescent="0.4">
      <c r="A2944" s="6">
        <v>2026</v>
      </c>
      <c r="B2944" s="6">
        <f t="shared" si="375"/>
        <v>30</v>
      </c>
      <c r="C2944" s="13" t="s">
        <v>20</v>
      </c>
      <c r="D2944" s="2" t="s">
        <v>6</v>
      </c>
      <c r="E2944" s="14" t="str">
        <f t="shared" si="374"/>
        <v>C/W Machine</v>
      </c>
      <c r="F2944" s="22">
        <f t="shared" si="376"/>
        <v>15</v>
      </c>
      <c r="H2944" s="5" t="str">
        <f ca="1">_xlfn.FORMULATEXT(표1[[#This Row],[Q''ty]])</f>
        <v>=F2845</v>
      </c>
    </row>
    <row r="2945" spans="1:8" ht="15" hidden="1" customHeight="1" x14ac:dyDescent="0.4">
      <c r="A2945" s="6">
        <v>2026</v>
      </c>
      <c r="B2945" s="6">
        <f t="shared" si="375"/>
        <v>30</v>
      </c>
      <c r="C2945" s="13" t="s">
        <v>20</v>
      </c>
      <c r="D2945" s="2" t="s">
        <v>12</v>
      </c>
      <c r="E2945" s="14" t="str">
        <f t="shared" si="374"/>
        <v>BT GT</v>
      </c>
      <c r="F2945" s="22"/>
      <c r="H2945" s="5" t="e">
        <f ca="1">_xlfn.FORMULATEXT(표1[[#This Row],[Q''ty]])</f>
        <v>#N/A</v>
      </c>
    </row>
    <row r="2946" spans="1:8" ht="15" hidden="1" customHeight="1" x14ac:dyDescent="0.4">
      <c r="A2946" s="6">
        <v>2026</v>
      </c>
      <c r="B2946" s="6">
        <f t="shared" si="375"/>
        <v>30</v>
      </c>
      <c r="C2946" s="13" t="s">
        <v>20</v>
      </c>
      <c r="D2946" s="2" t="s">
        <v>12</v>
      </c>
      <c r="E2946" s="14" t="str">
        <f t="shared" si="374"/>
        <v>WT GT</v>
      </c>
      <c r="F2946" s="22"/>
      <c r="H2946" s="5" t="e">
        <f ca="1">_xlfn.FORMULATEXT(표1[[#This Row],[Q''ty]])</f>
        <v>#N/A</v>
      </c>
    </row>
    <row r="2947" spans="1:8" ht="15" hidden="1" customHeight="1" x14ac:dyDescent="0.4">
      <c r="A2947" s="6">
        <v>2026</v>
      </c>
      <c r="B2947" s="6">
        <f t="shared" si="375"/>
        <v>30</v>
      </c>
      <c r="C2947" s="13" t="s">
        <v>20</v>
      </c>
      <c r="D2947" s="2" t="s">
        <v>12</v>
      </c>
      <c r="E2947" s="14" t="str">
        <f t="shared" si="374"/>
        <v>Bending</v>
      </c>
      <c r="F2947" s="22"/>
      <c r="H2947" s="5" t="e">
        <f ca="1">_xlfn.FORMULATEXT(표1[[#This Row],[Q''ty]])</f>
        <v>#N/A</v>
      </c>
    </row>
    <row r="2948" spans="1:8" ht="15" hidden="1" customHeight="1" x14ac:dyDescent="0.4">
      <c r="A2948" s="6">
        <v>2026</v>
      </c>
      <c r="B2948" s="6">
        <f t="shared" si="375"/>
        <v>30</v>
      </c>
      <c r="C2948" s="13" t="s">
        <v>20</v>
      </c>
      <c r="D2948" s="2" t="s">
        <v>12</v>
      </c>
      <c r="E2948" s="14" t="str">
        <f t="shared" si="374"/>
        <v>L/W</v>
      </c>
      <c r="F2948" s="22"/>
      <c r="H2948" s="5" t="e">
        <f ca="1">_xlfn.FORMULATEXT(표1[[#This Row],[Q''ty]])</f>
        <v>#N/A</v>
      </c>
    </row>
    <row r="2949" spans="1:8" ht="15" hidden="1" customHeight="1" thickBot="1" x14ac:dyDescent="0.45">
      <c r="A2949" s="15">
        <v>2026</v>
      </c>
      <c r="B2949" s="15">
        <f t="shared" si="375"/>
        <v>30</v>
      </c>
      <c r="C2949" s="16" t="s">
        <v>20</v>
      </c>
      <c r="D2949" s="17" t="s">
        <v>12</v>
      </c>
      <c r="E2949" s="18" t="str">
        <f t="shared" si="374"/>
        <v>C/W</v>
      </c>
      <c r="F2949" s="23"/>
      <c r="H2949" s="5" t="e">
        <f ca="1">_xlfn.FORMULATEXT(표1[[#This Row],[Q''ty]])</f>
        <v>#N/A</v>
      </c>
    </row>
    <row r="2950" spans="1:8" ht="15" hidden="1" customHeight="1" thickTop="1" x14ac:dyDescent="0.4">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hidden="1" customHeight="1" x14ac:dyDescent="0.4">
      <c r="A2951" s="6">
        <v>2026</v>
      </c>
      <c r="B2951" s="6">
        <f t="shared" si="375"/>
        <v>30</v>
      </c>
      <c r="C2951" s="13" t="s">
        <v>21</v>
      </c>
      <c r="D2951" s="2" t="s">
        <v>6</v>
      </c>
      <c r="E2951" s="14" t="str">
        <f t="shared" si="374"/>
        <v>Paint Booth</v>
      </c>
      <c r="F2951" s="22">
        <f t="shared" si="377"/>
        <v>4</v>
      </c>
      <c r="H2951" s="5" t="str">
        <f ca="1">_xlfn.FORMULATEXT(표1[[#This Row],[Q''ty]])</f>
        <v>=F2852</v>
      </c>
    </row>
    <row r="2952" spans="1:8" ht="15" hidden="1" customHeight="1" x14ac:dyDescent="0.4">
      <c r="A2952" s="6">
        <v>2026</v>
      </c>
      <c r="B2952" s="6">
        <f t="shared" si="375"/>
        <v>30</v>
      </c>
      <c r="C2952" s="13" t="s">
        <v>21</v>
      </c>
      <c r="D2952" s="2" t="s">
        <v>6</v>
      </c>
      <c r="E2952" s="14" t="str">
        <f t="shared" si="374"/>
        <v>Paint Line</v>
      </c>
      <c r="F2952" s="22">
        <f t="shared" si="377"/>
        <v>4</v>
      </c>
      <c r="H2952" s="5" t="str">
        <f ca="1">_xlfn.FORMULATEXT(표1[[#This Row],[Q''ty]])</f>
        <v>=F2853</v>
      </c>
    </row>
    <row r="2953" spans="1:8" ht="15" hidden="1" customHeight="1" x14ac:dyDescent="0.4">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hidden="1" customHeight="1" x14ac:dyDescent="0.4">
      <c r="A2954" s="6">
        <v>2026</v>
      </c>
      <c r="B2954" s="6">
        <f t="shared" si="375"/>
        <v>30</v>
      </c>
      <c r="C2954" s="13" t="s">
        <v>21</v>
      </c>
      <c r="D2954" s="2" t="s">
        <v>6</v>
      </c>
      <c r="E2954" s="14" t="str">
        <f t="shared" si="374"/>
        <v>L/W Machine</v>
      </c>
      <c r="F2954" s="22">
        <f t="shared" si="377"/>
        <v>4</v>
      </c>
      <c r="H2954" s="5" t="str">
        <f ca="1">_xlfn.FORMULATEXT(표1[[#This Row],[Q''ty]])</f>
        <v>=F2855</v>
      </c>
    </row>
    <row r="2955" spans="1:8" ht="15" hidden="1" customHeight="1" x14ac:dyDescent="0.4">
      <c r="A2955" s="6">
        <v>2026</v>
      </c>
      <c r="B2955" s="6">
        <f t="shared" si="375"/>
        <v>30</v>
      </c>
      <c r="C2955" s="13" t="s">
        <v>21</v>
      </c>
      <c r="D2955" s="2" t="s">
        <v>6</v>
      </c>
      <c r="E2955" s="14" t="str">
        <f t="shared" si="374"/>
        <v>C/W Machine</v>
      </c>
      <c r="F2955" s="22">
        <f t="shared" si="377"/>
        <v>6.5</v>
      </c>
      <c r="H2955" s="5" t="str">
        <f ca="1">_xlfn.FORMULATEXT(표1[[#This Row],[Q''ty]])</f>
        <v>=F2856</v>
      </c>
    </row>
    <row r="2956" spans="1:8" ht="15" hidden="1" customHeight="1" x14ac:dyDescent="0.4">
      <c r="A2956" s="6">
        <v>2026</v>
      </c>
      <c r="B2956" s="6">
        <f t="shared" si="375"/>
        <v>30</v>
      </c>
      <c r="C2956" s="13" t="s">
        <v>21</v>
      </c>
      <c r="D2956" s="2" t="s">
        <v>12</v>
      </c>
      <c r="E2956" s="14" t="str">
        <f t="shared" si="374"/>
        <v>BT GT</v>
      </c>
      <c r="F2956" s="22"/>
      <c r="H2956" s="5" t="e">
        <f ca="1">_xlfn.FORMULATEXT(표1[[#This Row],[Q''ty]])</f>
        <v>#N/A</v>
      </c>
    </row>
    <row r="2957" spans="1:8" ht="15" hidden="1" customHeight="1" x14ac:dyDescent="0.4">
      <c r="A2957" s="6">
        <v>2026</v>
      </c>
      <c r="B2957" s="6">
        <f t="shared" si="375"/>
        <v>30</v>
      </c>
      <c r="C2957" s="13" t="s">
        <v>21</v>
      </c>
      <c r="D2957" s="2" t="s">
        <v>12</v>
      </c>
      <c r="E2957" s="14" t="str">
        <f t="shared" si="374"/>
        <v>WT GT</v>
      </c>
      <c r="F2957" s="22"/>
      <c r="H2957" s="5" t="e">
        <f ca="1">_xlfn.FORMULATEXT(표1[[#This Row],[Q''ty]])</f>
        <v>#N/A</v>
      </c>
    </row>
    <row r="2958" spans="1:8" ht="15" hidden="1" customHeight="1" x14ac:dyDescent="0.4">
      <c r="A2958" s="6">
        <v>2026</v>
      </c>
      <c r="B2958" s="6">
        <f t="shared" si="375"/>
        <v>30</v>
      </c>
      <c r="C2958" s="13" t="s">
        <v>21</v>
      </c>
      <c r="D2958" s="2" t="s">
        <v>12</v>
      </c>
      <c r="E2958" s="14" t="str">
        <f t="shared" si="374"/>
        <v>Bending</v>
      </c>
      <c r="F2958" s="22"/>
      <c r="H2958" s="5" t="e">
        <f ca="1">_xlfn.FORMULATEXT(표1[[#This Row],[Q''ty]])</f>
        <v>#N/A</v>
      </c>
    </row>
    <row r="2959" spans="1:8" ht="15" hidden="1" customHeight="1" x14ac:dyDescent="0.4">
      <c r="A2959" s="6">
        <v>2026</v>
      </c>
      <c r="B2959" s="6">
        <f t="shared" si="375"/>
        <v>30</v>
      </c>
      <c r="C2959" s="13" t="s">
        <v>21</v>
      </c>
      <c r="D2959" s="2" t="s">
        <v>12</v>
      </c>
      <c r="E2959" s="14" t="str">
        <f t="shared" si="374"/>
        <v>L/W</v>
      </c>
      <c r="F2959" s="22"/>
      <c r="H2959" s="5" t="e">
        <f ca="1">_xlfn.FORMULATEXT(표1[[#This Row],[Q''ty]])</f>
        <v>#N/A</v>
      </c>
    </row>
    <row r="2960" spans="1:8" ht="15" hidden="1" customHeight="1" thickBot="1" x14ac:dyDescent="0.45">
      <c r="A2960" s="15">
        <v>2026</v>
      </c>
      <c r="B2960" s="15">
        <f t="shared" si="375"/>
        <v>30</v>
      </c>
      <c r="C2960" s="16" t="s">
        <v>21</v>
      </c>
      <c r="D2960" s="17" t="s">
        <v>12</v>
      </c>
      <c r="E2960" s="18" t="str">
        <f t="shared" si="374"/>
        <v>C/W</v>
      </c>
      <c r="F2960" s="23"/>
      <c r="H2960" s="5" t="e">
        <f ca="1">_xlfn.FORMULATEXT(표1[[#This Row],[Q''ty]])</f>
        <v>#N/A</v>
      </c>
    </row>
    <row r="2961" spans="1:10" ht="15" hidden="1" customHeight="1" thickTop="1" x14ac:dyDescent="0.4">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10" ht="15" hidden="1" customHeight="1" x14ac:dyDescent="0.4">
      <c r="A2962" s="6">
        <v>2026</v>
      </c>
      <c r="B2962" s="6">
        <f t="shared" si="375"/>
        <v>30</v>
      </c>
      <c r="C2962" s="13" t="s">
        <v>22</v>
      </c>
      <c r="D2962" s="2" t="s">
        <v>6</v>
      </c>
      <c r="E2962" s="14" t="str">
        <f t="shared" si="374"/>
        <v>Paint Booth</v>
      </c>
      <c r="F2962" s="22">
        <f t="shared" si="378"/>
        <v>6</v>
      </c>
      <c r="H2962" s="5" t="str">
        <f ca="1">_xlfn.FORMULATEXT(표1[[#This Row],[Q''ty]])</f>
        <v>=F2863</v>
      </c>
    </row>
    <row r="2963" spans="1:10" ht="15" hidden="1" customHeight="1" x14ac:dyDescent="0.4">
      <c r="A2963" s="6">
        <v>2026</v>
      </c>
      <c r="B2963" s="6">
        <f t="shared" si="375"/>
        <v>30</v>
      </c>
      <c r="C2963" s="13" t="s">
        <v>22</v>
      </c>
      <c r="D2963" s="2" t="s">
        <v>6</v>
      </c>
      <c r="E2963" s="14" t="str">
        <f t="shared" si="374"/>
        <v>Paint Line</v>
      </c>
      <c r="F2963" s="22">
        <f t="shared" si="378"/>
        <v>4</v>
      </c>
      <c r="H2963" s="5" t="str">
        <f ca="1">_xlfn.FORMULATEXT(표1[[#This Row],[Q''ty]])</f>
        <v>=F2864</v>
      </c>
    </row>
    <row r="2964" spans="1:10" ht="15" hidden="1" customHeight="1" x14ac:dyDescent="0.4">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10" ht="15" hidden="1" customHeight="1" x14ac:dyDescent="0.4">
      <c r="A2965" s="6">
        <v>2026</v>
      </c>
      <c r="B2965" s="6">
        <f t="shared" si="375"/>
        <v>30</v>
      </c>
      <c r="C2965" s="13" t="s">
        <v>22</v>
      </c>
      <c r="D2965" s="2" t="s">
        <v>6</v>
      </c>
      <c r="E2965" s="14" t="str">
        <f t="shared" si="374"/>
        <v>L/W Machine</v>
      </c>
      <c r="F2965" s="22">
        <f t="shared" si="378"/>
        <v>7</v>
      </c>
      <c r="H2965" s="5" t="str">
        <f ca="1">_xlfn.FORMULATEXT(표1[[#This Row],[Q''ty]])</f>
        <v>=F2866</v>
      </c>
    </row>
    <row r="2966" spans="1:10" ht="15" hidden="1" customHeight="1" x14ac:dyDescent="0.4">
      <c r="A2966" s="6">
        <v>2026</v>
      </c>
      <c r="B2966" s="6">
        <f t="shared" si="375"/>
        <v>30</v>
      </c>
      <c r="C2966" s="13" t="s">
        <v>22</v>
      </c>
      <c r="D2966" s="2" t="s">
        <v>6</v>
      </c>
      <c r="E2966" s="14" t="str">
        <f t="shared" si="374"/>
        <v>C/W Machine</v>
      </c>
      <c r="F2966" s="22">
        <f t="shared" si="378"/>
        <v>12.5</v>
      </c>
      <c r="H2966" s="5" t="str">
        <f ca="1">_xlfn.FORMULATEXT(표1[[#This Row],[Q''ty]])</f>
        <v>=F2867</v>
      </c>
    </row>
    <row r="2967" spans="1:10" ht="15" hidden="1" customHeight="1" x14ac:dyDescent="0.4">
      <c r="A2967" s="6">
        <v>2026</v>
      </c>
      <c r="B2967" s="6">
        <f t="shared" si="375"/>
        <v>30</v>
      </c>
      <c r="C2967" s="13" t="s">
        <v>22</v>
      </c>
      <c r="D2967" s="2" t="s">
        <v>12</v>
      </c>
      <c r="E2967" s="14" t="str">
        <f t="shared" si="374"/>
        <v>BT GT</v>
      </c>
      <c r="F2967" s="22"/>
      <c r="H2967" s="5" t="e">
        <f ca="1">_xlfn.FORMULATEXT(표1[[#This Row],[Q''ty]])</f>
        <v>#N/A</v>
      </c>
    </row>
    <row r="2968" spans="1:10" ht="15" hidden="1" customHeight="1" x14ac:dyDescent="0.4">
      <c r="A2968" s="6">
        <v>2026</v>
      </c>
      <c r="B2968" s="6">
        <f t="shared" si="375"/>
        <v>30</v>
      </c>
      <c r="C2968" s="13" t="s">
        <v>22</v>
      </c>
      <c r="D2968" s="2" t="s">
        <v>12</v>
      </c>
      <c r="E2968" s="14" t="str">
        <f t="shared" si="374"/>
        <v>WT GT</v>
      </c>
      <c r="F2968" s="22"/>
      <c r="H2968" s="5" t="e">
        <f ca="1">_xlfn.FORMULATEXT(표1[[#This Row],[Q''ty]])</f>
        <v>#N/A</v>
      </c>
    </row>
    <row r="2969" spans="1:10" ht="15" hidden="1" customHeight="1" x14ac:dyDescent="0.4">
      <c r="A2969" s="6">
        <v>2026</v>
      </c>
      <c r="B2969" s="6">
        <f t="shared" si="375"/>
        <v>30</v>
      </c>
      <c r="C2969" s="13" t="s">
        <v>22</v>
      </c>
      <c r="D2969" s="2" t="s">
        <v>12</v>
      </c>
      <c r="E2969" s="14" t="str">
        <f t="shared" si="374"/>
        <v>Bending</v>
      </c>
      <c r="F2969" s="22"/>
      <c r="H2969" s="5" t="e">
        <f ca="1">_xlfn.FORMULATEXT(표1[[#This Row],[Q''ty]])</f>
        <v>#N/A</v>
      </c>
    </row>
    <row r="2970" spans="1:10" ht="15" hidden="1" customHeight="1" x14ac:dyDescent="0.4">
      <c r="A2970" s="6">
        <v>2026</v>
      </c>
      <c r="B2970" s="6">
        <f t="shared" si="375"/>
        <v>30</v>
      </c>
      <c r="C2970" s="13" t="s">
        <v>22</v>
      </c>
      <c r="D2970" s="2" t="s">
        <v>12</v>
      </c>
      <c r="E2970" s="14" t="str">
        <f t="shared" si="374"/>
        <v>L/W</v>
      </c>
      <c r="F2970" s="22"/>
      <c r="H2970" s="5" t="e">
        <f ca="1">_xlfn.FORMULATEXT(표1[[#This Row],[Q''ty]])</f>
        <v>#N/A</v>
      </c>
    </row>
    <row r="2971" spans="1:10" ht="15" hidden="1" customHeight="1" thickBot="1" x14ac:dyDescent="0.45">
      <c r="A2971" s="6">
        <v>2026</v>
      </c>
      <c r="B2971" s="6">
        <f t="shared" si="375"/>
        <v>30</v>
      </c>
      <c r="C2971" s="13" t="s">
        <v>22</v>
      </c>
      <c r="D2971" s="2" t="s">
        <v>12</v>
      </c>
      <c r="E2971" s="14" t="str">
        <f t="shared" si="374"/>
        <v>C/W</v>
      </c>
      <c r="F2971" s="22"/>
      <c r="H2971" s="5" t="e">
        <f ca="1">_xlfn.FORMULATEXT(표1[[#This Row],[Q''ty]])</f>
        <v>#N/A</v>
      </c>
    </row>
    <row r="2972" spans="1:10" ht="15" hidden="1" customHeight="1" thickTop="1" x14ac:dyDescent="0.4">
      <c r="A2972" s="9">
        <v>2026</v>
      </c>
      <c r="B2972" s="9">
        <f>B2873+1</f>
        <v>31</v>
      </c>
      <c r="C2972" s="10" t="s">
        <v>28</v>
      </c>
      <c r="D2972" s="11" t="s">
        <v>6</v>
      </c>
      <c r="E2972" s="12" t="s">
        <v>7</v>
      </c>
      <c r="F2972" s="21">
        <f t="shared" ref="F2972:F2977" si="379">F2873</f>
        <v>15</v>
      </c>
      <c r="H2972" s="5" t="str">
        <f ca="1">_xlfn.FORMULATEXT(표1[[#This Row],[Q''ty]])</f>
        <v>=F2873</v>
      </c>
    </row>
    <row r="2973" spans="1:10" s="2" customFormat="1" ht="15" hidden="1" customHeight="1" x14ac:dyDescent="0.4">
      <c r="A2973" s="6">
        <v>2026</v>
      </c>
      <c r="B2973" s="6">
        <f t="shared" ref="B2973:B3036" si="380">B2874+1</f>
        <v>31</v>
      </c>
      <c r="C2973" s="13" t="s">
        <v>23</v>
      </c>
      <c r="D2973" s="2" t="s">
        <v>6</v>
      </c>
      <c r="E2973" s="14" t="s">
        <v>8</v>
      </c>
      <c r="F2973" s="22">
        <f t="shared" si="379"/>
        <v>10</v>
      </c>
      <c r="H2973" s="5" t="str">
        <f ca="1">_xlfn.FORMULATEXT(표1[[#This Row],[Q''ty]])</f>
        <v>=F2874</v>
      </c>
      <c r="I2973" s="26"/>
      <c r="J2973" s="26"/>
    </row>
    <row r="2974" spans="1:10" s="2" customFormat="1" ht="15" hidden="1" customHeight="1" x14ac:dyDescent="0.4">
      <c r="A2974" s="6">
        <v>2026</v>
      </c>
      <c r="B2974" s="6">
        <f t="shared" si="380"/>
        <v>31</v>
      </c>
      <c r="C2974" s="13" t="s">
        <v>23</v>
      </c>
      <c r="D2974" s="2" t="s">
        <v>6</v>
      </c>
      <c r="E2974" s="14" t="s">
        <v>9</v>
      </c>
      <c r="F2974" s="22">
        <f t="shared" si="379"/>
        <v>5</v>
      </c>
      <c r="H2974" s="5" t="str">
        <f ca="1">_xlfn.FORMULATEXT(표1[[#This Row],[Q''ty]])</f>
        <v>=F2875</v>
      </c>
      <c r="I2974" s="26"/>
      <c r="J2974" s="26"/>
    </row>
    <row r="2975" spans="1:10" ht="15" hidden="1" customHeight="1" x14ac:dyDescent="0.4">
      <c r="A2975" s="6">
        <v>2026</v>
      </c>
      <c r="B2975" s="6">
        <f t="shared" si="380"/>
        <v>31</v>
      </c>
      <c r="C2975" s="13" t="s">
        <v>23</v>
      </c>
      <c r="D2975" s="2" t="s">
        <v>6</v>
      </c>
      <c r="E2975" s="14" t="s">
        <v>27</v>
      </c>
      <c r="F2975" s="22">
        <f t="shared" si="379"/>
        <v>6</v>
      </c>
      <c r="H2975" s="5" t="str">
        <f ca="1">_xlfn.FORMULATEXT(표1[[#This Row],[Q''ty]])</f>
        <v>=F2876</v>
      </c>
    </row>
    <row r="2976" spans="1:10" ht="15" hidden="1" customHeight="1" x14ac:dyDescent="0.4">
      <c r="A2976" s="6">
        <v>2026</v>
      </c>
      <c r="B2976" s="6">
        <f t="shared" si="380"/>
        <v>31</v>
      </c>
      <c r="C2976" s="13" t="s">
        <v>23</v>
      </c>
      <c r="D2976" s="2" t="s">
        <v>6</v>
      </c>
      <c r="E2976" s="14" t="s">
        <v>10</v>
      </c>
      <c r="F2976" s="22">
        <f t="shared" si="379"/>
        <v>10</v>
      </c>
      <c r="H2976" s="5" t="str">
        <f ca="1">_xlfn.FORMULATEXT(표1[[#This Row],[Q''ty]])</f>
        <v>=F2877</v>
      </c>
    </row>
    <row r="2977" spans="1:10" ht="15" hidden="1" customHeight="1" x14ac:dyDescent="0.4">
      <c r="A2977" s="6">
        <v>2026</v>
      </c>
      <c r="B2977" s="6">
        <f t="shared" si="380"/>
        <v>31</v>
      </c>
      <c r="C2977" s="13" t="s">
        <v>23</v>
      </c>
      <c r="D2977" s="2" t="s">
        <v>6</v>
      </c>
      <c r="E2977" s="14" t="s">
        <v>11</v>
      </c>
      <c r="F2977" s="22">
        <f t="shared" si="379"/>
        <v>10</v>
      </c>
      <c r="H2977" s="5" t="str">
        <f ca="1">_xlfn.FORMULATEXT(표1[[#This Row],[Q''ty]])</f>
        <v>=F2878</v>
      </c>
    </row>
    <row r="2978" spans="1:10" ht="15" hidden="1" customHeight="1" x14ac:dyDescent="0.4">
      <c r="A2978" s="6">
        <v>2026</v>
      </c>
      <c r="B2978" s="6">
        <f t="shared" si="380"/>
        <v>31</v>
      </c>
      <c r="C2978" s="13" t="s">
        <v>23</v>
      </c>
      <c r="D2978" s="2" t="s">
        <v>12</v>
      </c>
      <c r="E2978" s="14" t="s">
        <v>13</v>
      </c>
      <c r="F2978" s="22"/>
      <c r="H2978" s="5" t="e">
        <f ca="1">_xlfn.FORMULATEXT(표1[[#This Row],[Q''ty]])</f>
        <v>#N/A</v>
      </c>
    </row>
    <row r="2979" spans="1:10" s="2" customFormat="1" ht="15" hidden="1" customHeight="1" x14ac:dyDescent="0.4">
      <c r="A2979" s="6">
        <v>2026</v>
      </c>
      <c r="B2979" s="6">
        <f t="shared" si="380"/>
        <v>31</v>
      </c>
      <c r="C2979" s="13" t="s">
        <v>23</v>
      </c>
      <c r="D2979" s="2" t="s">
        <v>12</v>
      </c>
      <c r="E2979" s="14" t="s">
        <v>14</v>
      </c>
      <c r="F2979" s="22"/>
      <c r="H2979" s="5" t="e">
        <f ca="1">_xlfn.FORMULATEXT(표1[[#This Row],[Q''ty]])</f>
        <v>#N/A</v>
      </c>
      <c r="I2979" s="26"/>
      <c r="J2979" s="26"/>
    </row>
    <row r="2980" spans="1:10" ht="15" hidden="1" customHeight="1" x14ac:dyDescent="0.4">
      <c r="A2980" s="6">
        <v>2026</v>
      </c>
      <c r="B2980" s="6">
        <f t="shared" si="380"/>
        <v>31</v>
      </c>
      <c r="C2980" s="13" t="s">
        <v>23</v>
      </c>
      <c r="D2980" s="2" t="s">
        <v>12</v>
      </c>
      <c r="E2980" s="14" t="s">
        <v>15</v>
      </c>
      <c r="F2980" s="22"/>
      <c r="H2980" s="5" t="e">
        <f ca="1">_xlfn.FORMULATEXT(표1[[#This Row],[Q''ty]])</f>
        <v>#N/A</v>
      </c>
    </row>
    <row r="2981" spans="1:10" ht="15" hidden="1" customHeight="1" x14ac:dyDescent="0.4">
      <c r="A2981" s="6">
        <v>2026</v>
      </c>
      <c r="B2981" s="6">
        <f t="shared" si="380"/>
        <v>31</v>
      </c>
      <c r="C2981" s="13" t="s">
        <v>23</v>
      </c>
      <c r="D2981" s="2" t="s">
        <v>12</v>
      </c>
      <c r="E2981" s="14" t="s">
        <v>16</v>
      </c>
      <c r="F2981" s="22"/>
      <c r="H2981" s="5" t="e">
        <f ca="1">_xlfn.FORMULATEXT(표1[[#This Row],[Q''ty]])</f>
        <v>#N/A</v>
      </c>
    </row>
    <row r="2982" spans="1:10" ht="15" hidden="1" customHeight="1" thickBot="1" x14ac:dyDescent="0.45">
      <c r="A2982" s="15">
        <v>2026</v>
      </c>
      <c r="B2982" s="15">
        <f t="shared" si="380"/>
        <v>31</v>
      </c>
      <c r="C2982" s="16" t="s">
        <v>23</v>
      </c>
      <c r="D2982" s="17" t="s">
        <v>12</v>
      </c>
      <c r="E2982" s="18" t="s">
        <v>17</v>
      </c>
      <c r="F2982" s="23"/>
      <c r="H2982" s="5" t="e">
        <f ca="1">_xlfn.FORMULATEXT(표1[[#This Row],[Q''ty]])</f>
        <v>#N/A</v>
      </c>
    </row>
    <row r="2983" spans="1:10" ht="15" hidden="1" customHeight="1" thickTop="1" x14ac:dyDescent="0.4">
      <c r="A2983" s="9">
        <v>2026</v>
      </c>
      <c r="B2983" s="9">
        <f t="shared" si="380"/>
        <v>31</v>
      </c>
      <c r="C2983" s="10" t="s">
        <v>29</v>
      </c>
      <c r="D2983" s="11" t="s">
        <v>6</v>
      </c>
      <c r="E2983" s="12" t="s">
        <v>7</v>
      </c>
      <c r="F2983" s="21">
        <f t="shared" ref="F2983:F2988" si="381">F2884</f>
        <v>14</v>
      </c>
      <c r="H2983" s="5" t="str">
        <f ca="1">_xlfn.FORMULATEXT(표1[[#This Row],[Q''ty]])</f>
        <v>=F2884</v>
      </c>
    </row>
    <row r="2984" spans="1:10" s="2" customFormat="1" ht="15" hidden="1" customHeight="1" x14ac:dyDescent="0.4">
      <c r="A2984" s="6">
        <v>2026</v>
      </c>
      <c r="B2984" s="6">
        <f t="shared" si="380"/>
        <v>31</v>
      </c>
      <c r="C2984" s="13" t="s">
        <v>24</v>
      </c>
      <c r="D2984" s="2" t="s">
        <v>6</v>
      </c>
      <c r="E2984" s="14" t="s">
        <v>8</v>
      </c>
      <c r="F2984" s="22">
        <f t="shared" si="381"/>
        <v>8</v>
      </c>
      <c r="H2984" s="5" t="str">
        <f ca="1">_xlfn.FORMULATEXT(표1[[#This Row],[Q''ty]])</f>
        <v>=F2885</v>
      </c>
      <c r="I2984" s="26"/>
      <c r="J2984" s="26"/>
    </row>
    <row r="2985" spans="1:10" s="2" customFormat="1" ht="15" hidden="1" customHeight="1" x14ac:dyDescent="0.4">
      <c r="A2985" s="6">
        <v>2026</v>
      </c>
      <c r="B2985" s="6">
        <f t="shared" si="380"/>
        <v>31</v>
      </c>
      <c r="C2985" s="13" t="s">
        <v>24</v>
      </c>
      <c r="D2985" s="2" t="s">
        <v>6</v>
      </c>
      <c r="E2985" s="14" t="s">
        <v>9</v>
      </c>
      <c r="F2985" s="22">
        <f t="shared" si="381"/>
        <v>4</v>
      </c>
      <c r="H2985" s="5" t="str">
        <f ca="1">_xlfn.FORMULATEXT(표1[[#This Row],[Q''ty]])</f>
        <v>=F2886</v>
      </c>
      <c r="I2985" s="26"/>
      <c r="J2985" s="26"/>
    </row>
    <row r="2986" spans="1:10" ht="15" hidden="1" customHeight="1" x14ac:dyDescent="0.4">
      <c r="A2986" s="6">
        <v>2026</v>
      </c>
      <c r="B2986" s="6">
        <f t="shared" si="380"/>
        <v>31</v>
      </c>
      <c r="C2986" s="13" t="s">
        <v>24</v>
      </c>
      <c r="D2986" s="2" t="s">
        <v>6</v>
      </c>
      <c r="E2986" s="14" t="s">
        <v>27</v>
      </c>
      <c r="F2986" s="22">
        <f t="shared" si="381"/>
        <v>3</v>
      </c>
      <c r="H2986" s="5" t="str">
        <f ca="1">_xlfn.FORMULATEXT(표1[[#This Row],[Q''ty]])</f>
        <v>=F2887</v>
      </c>
    </row>
    <row r="2987" spans="1:10" ht="15" hidden="1" customHeight="1" x14ac:dyDescent="0.4">
      <c r="A2987" s="6">
        <v>2026</v>
      </c>
      <c r="B2987" s="6">
        <f t="shared" si="380"/>
        <v>31</v>
      </c>
      <c r="C2987" s="13" t="s">
        <v>24</v>
      </c>
      <c r="D2987" s="2" t="s">
        <v>6</v>
      </c>
      <c r="E2987" s="14" t="s">
        <v>10</v>
      </c>
      <c r="F2987" s="22">
        <f t="shared" si="381"/>
        <v>6</v>
      </c>
      <c r="H2987" s="5" t="str">
        <f ca="1">_xlfn.FORMULATEXT(표1[[#This Row],[Q''ty]])</f>
        <v>=F2888</v>
      </c>
    </row>
    <row r="2988" spans="1:10" ht="15" hidden="1" customHeight="1" x14ac:dyDescent="0.4">
      <c r="A2988" s="6">
        <v>2026</v>
      </c>
      <c r="B2988" s="6">
        <f t="shared" si="380"/>
        <v>31</v>
      </c>
      <c r="C2988" s="13" t="s">
        <v>24</v>
      </c>
      <c r="D2988" s="2" t="s">
        <v>6</v>
      </c>
      <c r="E2988" s="14" t="s">
        <v>11</v>
      </c>
      <c r="F2988" s="22">
        <f t="shared" si="381"/>
        <v>8.8000000000000007</v>
      </c>
      <c r="H2988" s="5" t="str">
        <f ca="1">_xlfn.FORMULATEXT(표1[[#This Row],[Q''ty]])</f>
        <v>=F2889</v>
      </c>
    </row>
    <row r="2989" spans="1:10" ht="15" hidden="1" customHeight="1" x14ac:dyDescent="0.4">
      <c r="A2989" s="6">
        <v>2026</v>
      </c>
      <c r="B2989" s="6">
        <f t="shared" si="380"/>
        <v>31</v>
      </c>
      <c r="C2989" s="13" t="s">
        <v>24</v>
      </c>
      <c r="D2989" s="2" t="s">
        <v>12</v>
      </c>
      <c r="E2989" s="14" t="s">
        <v>13</v>
      </c>
      <c r="F2989" s="22"/>
      <c r="H2989" s="5" t="e">
        <f ca="1">_xlfn.FORMULATEXT(표1[[#This Row],[Q''ty]])</f>
        <v>#N/A</v>
      </c>
    </row>
    <row r="2990" spans="1:10" s="2" customFormat="1" ht="15" hidden="1" customHeight="1" x14ac:dyDescent="0.4">
      <c r="A2990" s="6">
        <v>2026</v>
      </c>
      <c r="B2990" s="6">
        <f t="shared" si="380"/>
        <v>31</v>
      </c>
      <c r="C2990" s="13" t="s">
        <v>24</v>
      </c>
      <c r="D2990" s="2" t="s">
        <v>12</v>
      </c>
      <c r="E2990" s="14" t="s">
        <v>14</v>
      </c>
      <c r="F2990" s="22"/>
      <c r="H2990" s="5" t="e">
        <f ca="1">_xlfn.FORMULATEXT(표1[[#This Row],[Q''ty]])</f>
        <v>#N/A</v>
      </c>
      <c r="I2990" s="26"/>
      <c r="J2990" s="26"/>
    </row>
    <row r="2991" spans="1:10" ht="15" hidden="1" customHeight="1" x14ac:dyDescent="0.4">
      <c r="A2991" s="6">
        <v>2026</v>
      </c>
      <c r="B2991" s="6">
        <f t="shared" si="380"/>
        <v>31</v>
      </c>
      <c r="C2991" s="13" t="s">
        <v>24</v>
      </c>
      <c r="D2991" s="2" t="s">
        <v>12</v>
      </c>
      <c r="E2991" s="14" t="s">
        <v>15</v>
      </c>
      <c r="F2991" s="22"/>
      <c r="H2991" s="5" t="e">
        <f ca="1">_xlfn.FORMULATEXT(표1[[#This Row],[Q''ty]])</f>
        <v>#N/A</v>
      </c>
    </row>
    <row r="2992" spans="1:10" ht="15" hidden="1" customHeight="1" x14ac:dyDescent="0.4">
      <c r="A2992" s="6">
        <v>2026</v>
      </c>
      <c r="B2992" s="6">
        <f t="shared" si="380"/>
        <v>31</v>
      </c>
      <c r="C2992" s="13" t="s">
        <v>24</v>
      </c>
      <c r="D2992" s="2" t="s">
        <v>12</v>
      </c>
      <c r="E2992" s="14" t="s">
        <v>16</v>
      </c>
      <c r="F2992" s="22"/>
      <c r="H2992" s="5" t="e">
        <f ca="1">_xlfn.FORMULATEXT(표1[[#This Row],[Q''ty]])</f>
        <v>#N/A</v>
      </c>
    </row>
    <row r="2993" spans="1:8" ht="15" hidden="1" customHeight="1" thickBot="1" x14ac:dyDescent="0.45">
      <c r="A2993" s="15">
        <v>2026</v>
      </c>
      <c r="B2993" s="15">
        <f t="shared" si="380"/>
        <v>31</v>
      </c>
      <c r="C2993" s="16" t="s">
        <v>24</v>
      </c>
      <c r="D2993" s="17" t="s">
        <v>12</v>
      </c>
      <c r="E2993" s="18" t="s">
        <v>17</v>
      </c>
      <c r="F2993" s="23"/>
      <c r="H2993" s="5" t="e">
        <f ca="1">_xlfn.FORMULATEXT(표1[[#This Row],[Q''ty]])</f>
        <v>#N/A</v>
      </c>
    </row>
    <row r="2994" spans="1:8" ht="15" hidden="1" customHeight="1" thickTop="1" x14ac:dyDescent="0.4">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hidden="1" customHeight="1" x14ac:dyDescent="0.4">
      <c r="A2995" s="6">
        <v>2026</v>
      </c>
      <c r="B2995" s="6">
        <f t="shared" si="380"/>
        <v>31</v>
      </c>
      <c r="C2995" s="13" t="s">
        <v>18</v>
      </c>
      <c r="D2995" s="2" t="s">
        <v>6</v>
      </c>
      <c r="E2995" s="14" t="str">
        <f t="shared" si="382"/>
        <v>Paint Booth</v>
      </c>
      <c r="F2995" s="22">
        <f t="shared" si="382"/>
        <v>3</v>
      </c>
      <c r="H2995" s="5" t="str">
        <f ca="1">_xlfn.FORMULATEXT(표1[[#This Row],[Q''ty]])</f>
        <v>=F2896</v>
      </c>
    </row>
    <row r="2996" spans="1:8" ht="15" hidden="1" customHeight="1" x14ac:dyDescent="0.4">
      <c r="A2996" s="6">
        <v>2026</v>
      </c>
      <c r="B2996" s="6">
        <f t="shared" si="380"/>
        <v>31</v>
      </c>
      <c r="C2996" s="13" t="s">
        <v>18</v>
      </c>
      <c r="D2996" s="2" t="s">
        <v>6</v>
      </c>
      <c r="E2996" s="14" t="str">
        <f t="shared" si="382"/>
        <v>Paint Line</v>
      </c>
      <c r="F2996" s="22">
        <f t="shared" si="382"/>
        <v>2</v>
      </c>
      <c r="H2996" s="5" t="str">
        <f ca="1">_xlfn.FORMULATEXT(표1[[#This Row],[Q''ty]])</f>
        <v>=F2897</v>
      </c>
    </row>
    <row r="2997" spans="1:8" ht="15" hidden="1" customHeight="1" x14ac:dyDescent="0.4">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hidden="1" customHeight="1" x14ac:dyDescent="0.4">
      <c r="A2998" s="6">
        <v>2026</v>
      </c>
      <c r="B2998" s="6">
        <f t="shared" si="380"/>
        <v>31</v>
      </c>
      <c r="C2998" s="13" t="s">
        <v>18</v>
      </c>
      <c r="D2998" s="2" t="s">
        <v>6</v>
      </c>
      <c r="E2998" s="14" t="str">
        <f t="shared" si="382"/>
        <v>L/W Machine</v>
      </c>
      <c r="F2998" s="22">
        <f t="shared" si="382"/>
        <v>2</v>
      </c>
      <c r="H2998" s="5" t="str">
        <f ca="1">_xlfn.FORMULATEXT(표1[[#This Row],[Q''ty]])</f>
        <v>=F2899</v>
      </c>
    </row>
    <row r="2999" spans="1:8" ht="15" hidden="1" customHeight="1" x14ac:dyDescent="0.4">
      <c r="A2999" s="6">
        <v>2026</v>
      </c>
      <c r="B2999" s="6">
        <f t="shared" si="380"/>
        <v>31</v>
      </c>
      <c r="C2999" s="13" t="s">
        <v>18</v>
      </c>
      <c r="D2999" s="2" t="s">
        <v>6</v>
      </c>
      <c r="E2999" s="14" t="str">
        <f t="shared" si="382"/>
        <v>C/W Machine</v>
      </c>
      <c r="F2999" s="22">
        <f t="shared" si="382"/>
        <v>3</v>
      </c>
      <c r="H2999" s="5" t="str">
        <f ca="1">_xlfn.FORMULATEXT(표1[[#This Row],[Q''ty]])</f>
        <v>=F2900</v>
      </c>
    </row>
    <row r="3000" spans="1:8" ht="15" hidden="1" customHeight="1" x14ac:dyDescent="0.4">
      <c r="A3000" s="6">
        <v>2026</v>
      </c>
      <c r="B3000" s="6">
        <f t="shared" si="380"/>
        <v>31</v>
      </c>
      <c r="C3000" s="13" t="s">
        <v>18</v>
      </c>
      <c r="D3000" s="2" t="s">
        <v>12</v>
      </c>
      <c r="E3000" s="14" t="str">
        <f t="shared" ref="E3000:E3015" si="383">E2901</f>
        <v>BT GT</v>
      </c>
      <c r="F3000" s="22"/>
      <c r="H3000" s="5" t="e">
        <f ca="1">_xlfn.FORMULATEXT(표1[[#This Row],[Q''ty]])</f>
        <v>#N/A</v>
      </c>
    </row>
    <row r="3001" spans="1:8" ht="15" hidden="1" customHeight="1" x14ac:dyDescent="0.4">
      <c r="A3001" s="6">
        <v>2026</v>
      </c>
      <c r="B3001" s="6">
        <f t="shared" si="380"/>
        <v>31</v>
      </c>
      <c r="C3001" s="13" t="s">
        <v>18</v>
      </c>
      <c r="D3001" s="2" t="s">
        <v>12</v>
      </c>
      <c r="E3001" s="14" t="str">
        <f t="shared" si="383"/>
        <v>WT GT</v>
      </c>
      <c r="F3001" s="22"/>
      <c r="H3001" s="5" t="e">
        <f ca="1">_xlfn.FORMULATEXT(표1[[#This Row],[Q''ty]])</f>
        <v>#N/A</v>
      </c>
    </row>
    <row r="3002" spans="1:8" ht="15" hidden="1" customHeight="1" x14ac:dyDescent="0.4">
      <c r="A3002" s="6">
        <v>2026</v>
      </c>
      <c r="B3002" s="6">
        <f t="shared" si="380"/>
        <v>31</v>
      </c>
      <c r="C3002" s="13" t="s">
        <v>18</v>
      </c>
      <c r="D3002" s="2" t="s">
        <v>12</v>
      </c>
      <c r="E3002" s="14" t="str">
        <f t="shared" si="383"/>
        <v>Bending</v>
      </c>
      <c r="F3002" s="22"/>
      <c r="H3002" s="5" t="e">
        <f ca="1">_xlfn.FORMULATEXT(표1[[#This Row],[Q''ty]])</f>
        <v>#N/A</v>
      </c>
    </row>
    <row r="3003" spans="1:8" ht="15" hidden="1" customHeight="1" x14ac:dyDescent="0.4">
      <c r="A3003" s="6">
        <v>2026</v>
      </c>
      <c r="B3003" s="6">
        <f t="shared" si="380"/>
        <v>31</v>
      </c>
      <c r="C3003" s="13" t="s">
        <v>18</v>
      </c>
      <c r="D3003" s="2" t="s">
        <v>12</v>
      </c>
      <c r="E3003" s="14" t="str">
        <f t="shared" si="383"/>
        <v>L/W</v>
      </c>
      <c r="F3003" s="22"/>
      <c r="H3003" s="5" t="e">
        <f ca="1">_xlfn.FORMULATEXT(표1[[#This Row],[Q''ty]])</f>
        <v>#N/A</v>
      </c>
    </row>
    <row r="3004" spans="1:8" ht="15" hidden="1" customHeight="1" thickBot="1" x14ac:dyDescent="0.45">
      <c r="A3004" s="15">
        <v>2026</v>
      </c>
      <c r="B3004" s="15">
        <f t="shared" si="380"/>
        <v>31</v>
      </c>
      <c r="C3004" s="16" t="s">
        <v>18</v>
      </c>
      <c r="D3004" s="17" t="s">
        <v>12</v>
      </c>
      <c r="E3004" s="18" t="str">
        <f t="shared" si="383"/>
        <v>C/W</v>
      </c>
      <c r="F3004" s="23"/>
      <c r="H3004" s="5" t="e">
        <f ca="1">_xlfn.FORMULATEXT(표1[[#This Row],[Q''ty]])</f>
        <v>#N/A</v>
      </c>
    </row>
    <row r="3005" spans="1:8" ht="15" hidden="1" customHeight="1" thickTop="1" x14ac:dyDescent="0.4">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hidden="1" customHeight="1" x14ac:dyDescent="0.4">
      <c r="A3006" s="6">
        <v>2026</v>
      </c>
      <c r="B3006" s="6">
        <f t="shared" si="380"/>
        <v>31</v>
      </c>
      <c r="C3006" s="13" t="s">
        <v>19</v>
      </c>
      <c r="D3006" s="2" t="s">
        <v>6</v>
      </c>
      <c r="E3006" s="14" t="str">
        <f t="shared" si="383"/>
        <v>Paint Booth</v>
      </c>
      <c r="F3006" s="22">
        <f t="shared" si="384"/>
        <v>22</v>
      </c>
      <c r="H3006" s="5" t="str">
        <f ca="1">_xlfn.FORMULATEXT(표1[[#This Row],[Q''ty]])</f>
        <v>=F2907</v>
      </c>
    </row>
    <row r="3007" spans="1:8" ht="15" hidden="1" customHeight="1" x14ac:dyDescent="0.4">
      <c r="A3007" s="6">
        <v>2026</v>
      </c>
      <c r="B3007" s="6">
        <f t="shared" si="380"/>
        <v>31</v>
      </c>
      <c r="C3007" s="13" t="s">
        <v>19</v>
      </c>
      <c r="D3007" s="2" t="s">
        <v>6</v>
      </c>
      <c r="E3007" s="14" t="str">
        <f t="shared" si="383"/>
        <v>Paint Line</v>
      </c>
      <c r="F3007" s="22">
        <f t="shared" si="384"/>
        <v>6</v>
      </c>
      <c r="H3007" s="5" t="str">
        <f ca="1">_xlfn.FORMULATEXT(표1[[#This Row],[Q''ty]])</f>
        <v>=F2908</v>
      </c>
    </row>
    <row r="3008" spans="1:8" ht="15" hidden="1" customHeight="1" x14ac:dyDescent="0.4">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hidden="1" customHeight="1" x14ac:dyDescent="0.4">
      <c r="A3009" s="6">
        <v>2026</v>
      </c>
      <c r="B3009" s="6">
        <f t="shared" si="380"/>
        <v>31</v>
      </c>
      <c r="C3009" s="13" t="s">
        <v>19</v>
      </c>
      <c r="D3009" s="2" t="s">
        <v>6</v>
      </c>
      <c r="E3009" s="14" t="str">
        <f t="shared" si="383"/>
        <v>L/W Machine</v>
      </c>
      <c r="F3009" s="22">
        <f t="shared" si="384"/>
        <v>10</v>
      </c>
      <c r="H3009" s="5" t="str">
        <f ca="1">_xlfn.FORMULATEXT(표1[[#This Row],[Q''ty]])</f>
        <v>=F2910</v>
      </c>
    </row>
    <row r="3010" spans="1:8" ht="15" hidden="1" customHeight="1" x14ac:dyDescent="0.4">
      <c r="A3010" s="6">
        <v>2026</v>
      </c>
      <c r="B3010" s="6">
        <f t="shared" si="380"/>
        <v>31</v>
      </c>
      <c r="C3010" s="13" t="s">
        <v>19</v>
      </c>
      <c r="D3010" s="2" t="s">
        <v>6</v>
      </c>
      <c r="E3010" s="14" t="str">
        <f t="shared" si="383"/>
        <v>C/W Machine</v>
      </c>
      <c r="F3010" s="22">
        <f t="shared" si="384"/>
        <v>12</v>
      </c>
      <c r="H3010" s="5" t="str">
        <f ca="1">_xlfn.FORMULATEXT(표1[[#This Row],[Q''ty]])</f>
        <v>=F2911</v>
      </c>
    </row>
    <row r="3011" spans="1:8" ht="15" hidden="1" customHeight="1" x14ac:dyDescent="0.4">
      <c r="A3011" s="6">
        <v>2026</v>
      </c>
      <c r="B3011" s="6">
        <f t="shared" si="380"/>
        <v>31</v>
      </c>
      <c r="C3011" s="13" t="s">
        <v>19</v>
      </c>
      <c r="D3011" s="2" t="s">
        <v>12</v>
      </c>
      <c r="E3011" s="14" t="str">
        <f t="shared" si="383"/>
        <v>BT GT</v>
      </c>
      <c r="F3011" s="22"/>
      <c r="H3011" s="5" t="e">
        <f ca="1">_xlfn.FORMULATEXT(표1[[#This Row],[Q''ty]])</f>
        <v>#N/A</v>
      </c>
    </row>
    <row r="3012" spans="1:8" ht="15" hidden="1" customHeight="1" x14ac:dyDescent="0.4">
      <c r="A3012" s="6">
        <v>2026</v>
      </c>
      <c r="B3012" s="6">
        <f t="shared" si="380"/>
        <v>31</v>
      </c>
      <c r="C3012" s="13" t="s">
        <v>19</v>
      </c>
      <c r="D3012" s="2" t="s">
        <v>12</v>
      </c>
      <c r="E3012" s="14" t="str">
        <f t="shared" si="383"/>
        <v>WT GT</v>
      </c>
      <c r="F3012" s="22"/>
      <c r="H3012" s="5" t="e">
        <f ca="1">_xlfn.FORMULATEXT(표1[[#This Row],[Q''ty]])</f>
        <v>#N/A</v>
      </c>
    </row>
    <row r="3013" spans="1:8" ht="15" hidden="1" customHeight="1" x14ac:dyDescent="0.4">
      <c r="A3013" s="6">
        <v>2026</v>
      </c>
      <c r="B3013" s="6">
        <f t="shared" si="380"/>
        <v>31</v>
      </c>
      <c r="C3013" s="13" t="s">
        <v>19</v>
      </c>
      <c r="D3013" s="2" t="s">
        <v>12</v>
      </c>
      <c r="E3013" s="14" t="str">
        <f t="shared" si="383"/>
        <v>Bending</v>
      </c>
      <c r="F3013" s="22"/>
      <c r="H3013" s="5" t="e">
        <f ca="1">_xlfn.FORMULATEXT(표1[[#This Row],[Q''ty]])</f>
        <v>#N/A</v>
      </c>
    </row>
    <row r="3014" spans="1:8" ht="15" hidden="1" customHeight="1" x14ac:dyDescent="0.4">
      <c r="A3014" s="6">
        <v>2026</v>
      </c>
      <c r="B3014" s="6">
        <f t="shared" si="380"/>
        <v>31</v>
      </c>
      <c r="C3014" s="13" t="s">
        <v>19</v>
      </c>
      <c r="D3014" s="2" t="s">
        <v>12</v>
      </c>
      <c r="E3014" s="14" t="str">
        <f t="shared" si="383"/>
        <v>L/W</v>
      </c>
      <c r="F3014" s="22"/>
      <c r="H3014" s="5" t="e">
        <f ca="1">_xlfn.FORMULATEXT(표1[[#This Row],[Q''ty]])</f>
        <v>#N/A</v>
      </c>
    </row>
    <row r="3015" spans="1:8" ht="15" hidden="1" customHeight="1" thickBot="1" x14ac:dyDescent="0.45">
      <c r="A3015" s="15">
        <v>2026</v>
      </c>
      <c r="B3015" s="15">
        <f t="shared" si="380"/>
        <v>31</v>
      </c>
      <c r="C3015" s="16" t="s">
        <v>19</v>
      </c>
      <c r="D3015" s="17" t="s">
        <v>12</v>
      </c>
      <c r="E3015" s="18" t="str">
        <f t="shared" si="383"/>
        <v>C/W</v>
      </c>
      <c r="F3015" s="23"/>
      <c r="H3015" s="5" t="e">
        <f ca="1">_xlfn.FORMULATEXT(표1[[#This Row],[Q''ty]])</f>
        <v>#N/A</v>
      </c>
    </row>
    <row r="3016" spans="1:8" ht="15" hidden="1" customHeight="1" thickTop="1" x14ac:dyDescent="0.4">
      <c r="A3016" s="6">
        <v>2026</v>
      </c>
      <c r="B3016" s="6">
        <f t="shared" si="380"/>
        <v>31</v>
      </c>
      <c r="C3016" s="13" t="s">
        <v>25</v>
      </c>
      <c r="D3016" s="2" t="s">
        <v>6</v>
      </c>
      <c r="E3016" s="14" t="s">
        <v>7</v>
      </c>
      <c r="F3016" s="22">
        <f t="shared" ref="F3016:F3021" si="385">F2917</f>
        <v>3</v>
      </c>
      <c r="H3016" s="5" t="str">
        <f ca="1">_xlfn.FORMULATEXT(표1[[#This Row],[Q''ty]])</f>
        <v>=F2917</v>
      </c>
    </row>
    <row r="3017" spans="1:8" ht="15" hidden="1" customHeight="1" x14ac:dyDescent="0.4">
      <c r="A3017" s="6">
        <v>2026</v>
      </c>
      <c r="B3017" s="6">
        <f t="shared" si="380"/>
        <v>31</v>
      </c>
      <c r="C3017" s="13" t="s">
        <v>25</v>
      </c>
      <c r="D3017" s="2" t="s">
        <v>6</v>
      </c>
      <c r="E3017" s="14" t="s">
        <v>8</v>
      </c>
      <c r="F3017" s="22">
        <f t="shared" si="385"/>
        <v>3</v>
      </c>
      <c r="H3017" s="5" t="str">
        <f ca="1">_xlfn.FORMULATEXT(표1[[#This Row],[Q''ty]])</f>
        <v>=F2918</v>
      </c>
    </row>
    <row r="3018" spans="1:8" ht="15" hidden="1" customHeight="1" x14ac:dyDescent="0.4">
      <c r="A3018" s="6">
        <v>2026</v>
      </c>
      <c r="B3018" s="6">
        <f t="shared" si="380"/>
        <v>31</v>
      </c>
      <c r="C3018" s="13" t="s">
        <v>25</v>
      </c>
      <c r="D3018" s="2" t="s">
        <v>6</v>
      </c>
      <c r="E3018" s="14" t="s">
        <v>9</v>
      </c>
      <c r="F3018" s="22">
        <f t="shared" si="385"/>
        <v>2</v>
      </c>
      <c r="H3018" s="5" t="str">
        <f ca="1">_xlfn.FORMULATEXT(표1[[#This Row],[Q''ty]])</f>
        <v>=F2919</v>
      </c>
    </row>
    <row r="3019" spans="1:8" ht="15" hidden="1" customHeight="1" x14ac:dyDescent="0.4">
      <c r="A3019" s="6">
        <v>2026</v>
      </c>
      <c r="B3019" s="6">
        <f t="shared" si="380"/>
        <v>31</v>
      </c>
      <c r="C3019" s="13" t="s">
        <v>25</v>
      </c>
      <c r="D3019" s="2" t="s">
        <v>6</v>
      </c>
      <c r="E3019" s="14" t="s">
        <v>27</v>
      </c>
      <c r="F3019" s="22">
        <f t="shared" si="385"/>
        <v>2</v>
      </c>
      <c r="H3019" s="5" t="str">
        <f ca="1">_xlfn.FORMULATEXT(표1[[#This Row],[Q''ty]])</f>
        <v>=F2920</v>
      </c>
    </row>
    <row r="3020" spans="1:8" ht="15" hidden="1" customHeight="1" x14ac:dyDescent="0.4">
      <c r="A3020" s="6">
        <v>2026</v>
      </c>
      <c r="B3020" s="6">
        <f t="shared" si="380"/>
        <v>31</v>
      </c>
      <c r="C3020" s="13" t="s">
        <v>25</v>
      </c>
      <c r="D3020" s="2" t="s">
        <v>6</v>
      </c>
      <c r="E3020" s="14" t="s">
        <v>10</v>
      </c>
      <c r="F3020" s="22">
        <f t="shared" si="385"/>
        <v>3</v>
      </c>
      <c r="H3020" s="5" t="str">
        <f ca="1">_xlfn.FORMULATEXT(표1[[#This Row],[Q''ty]])</f>
        <v>=F2921</v>
      </c>
    </row>
    <row r="3021" spans="1:8" ht="15" hidden="1" customHeight="1" x14ac:dyDescent="0.4">
      <c r="A3021" s="6">
        <v>2026</v>
      </c>
      <c r="B3021" s="6">
        <f t="shared" si="380"/>
        <v>31</v>
      </c>
      <c r="C3021" s="13" t="s">
        <v>25</v>
      </c>
      <c r="D3021" s="2" t="s">
        <v>6</v>
      </c>
      <c r="E3021" s="14" t="s">
        <v>11</v>
      </c>
      <c r="F3021" s="22">
        <f t="shared" si="385"/>
        <v>4</v>
      </c>
      <c r="H3021" s="5" t="str">
        <f ca="1">_xlfn.FORMULATEXT(표1[[#This Row],[Q''ty]])</f>
        <v>=F2922</v>
      </c>
    </row>
    <row r="3022" spans="1:8" ht="15" hidden="1" customHeight="1" x14ac:dyDescent="0.4">
      <c r="A3022" s="6">
        <v>2026</v>
      </c>
      <c r="B3022" s="6">
        <f t="shared" si="380"/>
        <v>31</v>
      </c>
      <c r="C3022" s="13" t="s">
        <v>25</v>
      </c>
      <c r="D3022" s="2" t="s">
        <v>12</v>
      </c>
      <c r="E3022" s="14" t="s">
        <v>13</v>
      </c>
      <c r="F3022" s="22"/>
      <c r="H3022" s="5" t="e">
        <f ca="1">_xlfn.FORMULATEXT(표1[[#This Row],[Q''ty]])</f>
        <v>#N/A</v>
      </c>
    </row>
    <row r="3023" spans="1:8" ht="15" hidden="1" customHeight="1" x14ac:dyDescent="0.4">
      <c r="A3023" s="6">
        <v>2026</v>
      </c>
      <c r="B3023" s="6">
        <f t="shared" si="380"/>
        <v>31</v>
      </c>
      <c r="C3023" s="13" t="s">
        <v>25</v>
      </c>
      <c r="D3023" s="2" t="s">
        <v>12</v>
      </c>
      <c r="E3023" s="14" t="s">
        <v>14</v>
      </c>
      <c r="F3023" s="22"/>
      <c r="H3023" s="5" t="e">
        <f ca="1">_xlfn.FORMULATEXT(표1[[#This Row],[Q''ty]])</f>
        <v>#N/A</v>
      </c>
    </row>
    <row r="3024" spans="1:8" ht="15" hidden="1" customHeight="1" x14ac:dyDescent="0.4">
      <c r="A3024" s="6">
        <v>2026</v>
      </c>
      <c r="B3024" s="6">
        <f t="shared" si="380"/>
        <v>31</v>
      </c>
      <c r="C3024" s="13" t="s">
        <v>25</v>
      </c>
      <c r="D3024" s="2" t="s">
        <v>12</v>
      </c>
      <c r="E3024" s="14" t="s">
        <v>15</v>
      </c>
      <c r="F3024" s="22"/>
      <c r="H3024" s="5" t="e">
        <f ca="1">_xlfn.FORMULATEXT(표1[[#This Row],[Q''ty]])</f>
        <v>#N/A</v>
      </c>
    </row>
    <row r="3025" spans="1:8" ht="15" hidden="1" customHeight="1" x14ac:dyDescent="0.4">
      <c r="A3025" s="6">
        <v>2026</v>
      </c>
      <c r="B3025" s="6">
        <f t="shared" si="380"/>
        <v>31</v>
      </c>
      <c r="C3025" s="13" t="s">
        <v>25</v>
      </c>
      <c r="D3025" s="2" t="s">
        <v>12</v>
      </c>
      <c r="E3025" s="14" t="s">
        <v>16</v>
      </c>
      <c r="F3025" s="22"/>
      <c r="H3025" s="5" t="e">
        <f ca="1">_xlfn.FORMULATEXT(표1[[#This Row],[Q''ty]])</f>
        <v>#N/A</v>
      </c>
    </row>
    <row r="3026" spans="1:8" ht="15" hidden="1" customHeight="1" thickBot="1" x14ac:dyDescent="0.45">
      <c r="A3026" s="15">
        <v>2026</v>
      </c>
      <c r="B3026" s="15">
        <f t="shared" si="380"/>
        <v>31</v>
      </c>
      <c r="C3026" s="16" t="s">
        <v>25</v>
      </c>
      <c r="D3026" s="17" t="s">
        <v>12</v>
      </c>
      <c r="E3026" s="18" t="s">
        <v>17</v>
      </c>
      <c r="F3026" s="23"/>
      <c r="H3026" s="5" t="e">
        <f ca="1">_xlfn.FORMULATEXT(표1[[#This Row],[Q''ty]])</f>
        <v>#N/A</v>
      </c>
    </row>
    <row r="3027" spans="1:8" ht="15" hidden="1" customHeight="1" thickTop="1" x14ac:dyDescent="0.4">
      <c r="A3027" s="6">
        <v>2026</v>
      </c>
      <c r="B3027" s="6">
        <f t="shared" si="380"/>
        <v>31</v>
      </c>
      <c r="C3027" s="13" t="s">
        <v>26</v>
      </c>
      <c r="D3027" s="2" t="s">
        <v>6</v>
      </c>
      <c r="E3027" s="14" t="s">
        <v>7</v>
      </c>
      <c r="F3027" s="22">
        <f t="shared" ref="F3027:F3032" si="386">F2928</f>
        <v>6</v>
      </c>
      <c r="H3027" s="5" t="str">
        <f ca="1">_xlfn.FORMULATEXT(표1[[#This Row],[Q''ty]])</f>
        <v>=F2928</v>
      </c>
    </row>
    <row r="3028" spans="1:8" ht="15" hidden="1" customHeight="1" x14ac:dyDescent="0.4">
      <c r="A3028" s="6">
        <v>2026</v>
      </c>
      <c r="B3028" s="6">
        <f t="shared" si="380"/>
        <v>31</v>
      </c>
      <c r="C3028" s="13" t="s">
        <v>26</v>
      </c>
      <c r="D3028" s="2" t="s">
        <v>6</v>
      </c>
      <c r="E3028" s="14" t="s">
        <v>8</v>
      </c>
      <c r="F3028" s="22">
        <f t="shared" si="386"/>
        <v>4</v>
      </c>
      <c r="H3028" s="5" t="str">
        <f ca="1">_xlfn.FORMULATEXT(표1[[#This Row],[Q''ty]])</f>
        <v>=F2929</v>
      </c>
    </row>
    <row r="3029" spans="1:8" ht="15" hidden="1" customHeight="1" x14ac:dyDescent="0.4">
      <c r="A3029" s="6">
        <v>2026</v>
      </c>
      <c r="B3029" s="6">
        <f t="shared" si="380"/>
        <v>31</v>
      </c>
      <c r="C3029" s="13" t="s">
        <v>26</v>
      </c>
      <c r="D3029" s="2" t="s">
        <v>6</v>
      </c>
      <c r="E3029" s="14" t="s">
        <v>9</v>
      </c>
      <c r="F3029" s="22">
        <f t="shared" si="386"/>
        <v>2</v>
      </c>
      <c r="H3029" s="5" t="str">
        <f ca="1">_xlfn.FORMULATEXT(표1[[#This Row],[Q''ty]])</f>
        <v>=F2930</v>
      </c>
    </row>
    <row r="3030" spans="1:8" ht="15" hidden="1" customHeight="1" x14ac:dyDescent="0.4">
      <c r="A3030" s="6">
        <v>2026</v>
      </c>
      <c r="B3030" s="6">
        <f t="shared" si="380"/>
        <v>31</v>
      </c>
      <c r="C3030" s="13" t="s">
        <v>26</v>
      </c>
      <c r="D3030" s="2" t="s">
        <v>6</v>
      </c>
      <c r="E3030" s="14" t="s">
        <v>27</v>
      </c>
      <c r="F3030" s="22">
        <f t="shared" si="386"/>
        <v>3</v>
      </c>
      <c r="H3030" s="5" t="str">
        <f ca="1">_xlfn.FORMULATEXT(표1[[#This Row],[Q''ty]])</f>
        <v>=F2931</v>
      </c>
    </row>
    <row r="3031" spans="1:8" ht="15" hidden="1" customHeight="1" x14ac:dyDescent="0.4">
      <c r="A3031" s="6">
        <v>2026</v>
      </c>
      <c r="B3031" s="6">
        <f t="shared" si="380"/>
        <v>31</v>
      </c>
      <c r="C3031" s="13" t="s">
        <v>26</v>
      </c>
      <c r="D3031" s="2" t="s">
        <v>6</v>
      </c>
      <c r="E3031" s="14" t="s">
        <v>10</v>
      </c>
      <c r="F3031" s="22">
        <f t="shared" si="386"/>
        <v>4</v>
      </c>
      <c r="H3031" s="5" t="str">
        <f ca="1">_xlfn.FORMULATEXT(표1[[#This Row],[Q''ty]])</f>
        <v>=F2932</v>
      </c>
    </row>
    <row r="3032" spans="1:8" ht="15" hidden="1" customHeight="1" x14ac:dyDescent="0.4">
      <c r="A3032" s="6">
        <v>2026</v>
      </c>
      <c r="B3032" s="6">
        <f t="shared" si="380"/>
        <v>31</v>
      </c>
      <c r="C3032" s="13" t="s">
        <v>26</v>
      </c>
      <c r="D3032" s="2" t="s">
        <v>6</v>
      </c>
      <c r="E3032" s="14" t="s">
        <v>11</v>
      </c>
      <c r="F3032" s="22">
        <f t="shared" si="386"/>
        <v>6</v>
      </c>
      <c r="H3032" s="5" t="str">
        <f ca="1">_xlfn.FORMULATEXT(표1[[#This Row],[Q''ty]])</f>
        <v>=F2933</v>
      </c>
    </row>
    <row r="3033" spans="1:8" ht="15" hidden="1" customHeight="1" x14ac:dyDescent="0.4">
      <c r="A3033" s="6">
        <v>2026</v>
      </c>
      <c r="B3033" s="6">
        <f t="shared" si="380"/>
        <v>31</v>
      </c>
      <c r="C3033" s="13" t="s">
        <v>26</v>
      </c>
      <c r="D3033" s="2" t="s">
        <v>12</v>
      </c>
      <c r="E3033" s="14" t="str">
        <f t="shared" ref="E3033:E3070" si="387">E2934</f>
        <v>BT GT</v>
      </c>
      <c r="F3033" s="22"/>
      <c r="H3033" s="5" t="e">
        <f ca="1">_xlfn.FORMULATEXT(표1[[#This Row],[Q''ty]])</f>
        <v>#N/A</v>
      </c>
    </row>
    <row r="3034" spans="1:8" ht="15" hidden="1" customHeight="1" x14ac:dyDescent="0.4">
      <c r="A3034" s="6">
        <v>2026</v>
      </c>
      <c r="B3034" s="6">
        <f t="shared" si="380"/>
        <v>31</v>
      </c>
      <c r="C3034" s="13" t="s">
        <v>26</v>
      </c>
      <c r="D3034" s="2" t="s">
        <v>12</v>
      </c>
      <c r="E3034" s="14" t="str">
        <f t="shared" si="387"/>
        <v>WT GT</v>
      </c>
      <c r="F3034" s="22"/>
      <c r="H3034" s="5" t="e">
        <f ca="1">_xlfn.FORMULATEXT(표1[[#This Row],[Q''ty]])</f>
        <v>#N/A</v>
      </c>
    </row>
    <row r="3035" spans="1:8" ht="15" hidden="1" customHeight="1" x14ac:dyDescent="0.4">
      <c r="A3035" s="6">
        <v>2026</v>
      </c>
      <c r="B3035" s="6">
        <f t="shared" si="380"/>
        <v>31</v>
      </c>
      <c r="C3035" s="13" t="s">
        <v>26</v>
      </c>
      <c r="D3035" s="2" t="s">
        <v>12</v>
      </c>
      <c r="E3035" s="14" t="str">
        <f t="shared" si="387"/>
        <v>Bending</v>
      </c>
      <c r="F3035" s="22"/>
      <c r="H3035" s="5" t="e">
        <f ca="1">_xlfn.FORMULATEXT(표1[[#This Row],[Q''ty]])</f>
        <v>#N/A</v>
      </c>
    </row>
    <row r="3036" spans="1:8" ht="15" hidden="1" customHeight="1" x14ac:dyDescent="0.4">
      <c r="A3036" s="6">
        <v>2026</v>
      </c>
      <c r="B3036" s="6">
        <f t="shared" si="380"/>
        <v>31</v>
      </c>
      <c r="C3036" s="13" t="s">
        <v>26</v>
      </c>
      <c r="D3036" s="2" t="s">
        <v>12</v>
      </c>
      <c r="E3036" s="14" t="str">
        <f t="shared" si="387"/>
        <v>L/W</v>
      </c>
      <c r="F3036" s="22"/>
      <c r="H3036" s="5" t="e">
        <f ca="1">_xlfn.FORMULATEXT(표1[[#This Row],[Q''ty]])</f>
        <v>#N/A</v>
      </c>
    </row>
    <row r="3037" spans="1:8" ht="15" hidden="1" customHeight="1" thickBot="1" x14ac:dyDescent="0.45">
      <c r="A3037" s="15">
        <v>2026</v>
      </c>
      <c r="B3037" s="15">
        <f t="shared" ref="B3037:B3070" si="388">B2938+1</f>
        <v>31</v>
      </c>
      <c r="C3037" s="16" t="s">
        <v>26</v>
      </c>
      <c r="D3037" s="17" t="s">
        <v>12</v>
      </c>
      <c r="E3037" s="18" t="str">
        <f t="shared" si="387"/>
        <v>C/W</v>
      </c>
      <c r="F3037" s="23"/>
      <c r="H3037" s="5" t="e">
        <f ca="1">_xlfn.FORMULATEXT(표1[[#This Row],[Q''ty]])</f>
        <v>#N/A</v>
      </c>
    </row>
    <row r="3038" spans="1:8" ht="15" hidden="1" customHeight="1" thickTop="1" x14ac:dyDescent="0.4">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hidden="1" customHeight="1" x14ac:dyDescent="0.4">
      <c r="A3039" s="6">
        <v>2026</v>
      </c>
      <c r="B3039" s="6">
        <f t="shared" si="388"/>
        <v>31</v>
      </c>
      <c r="C3039" s="13" t="s">
        <v>20</v>
      </c>
      <c r="D3039" s="2" t="s">
        <v>6</v>
      </c>
      <c r="E3039" s="14" t="str">
        <f t="shared" si="387"/>
        <v>Paint Booth</v>
      </c>
      <c r="F3039" s="22">
        <f t="shared" si="389"/>
        <v>16</v>
      </c>
      <c r="H3039" s="5" t="str">
        <f ca="1">_xlfn.FORMULATEXT(표1[[#This Row],[Q''ty]])</f>
        <v>=F2940</v>
      </c>
    </row>
    <row r="3040" spans="1:8" ht="15" hidden="1" customHeight="1" x14ac:dyDescent="0.4">
      <c r="A3040" s="6">
        <v>2026</v>
      </c>
      <c r="B3040" s="6">
        <f t="shared" si="388"/>
        <v>31</v>
      </c>
      <c r="C3040" s="13" t="s">
        <v>20</v>
      </c>
      <c r="D3040" s="2" t="s">
        <v>6</v>
      </c>
      <c r="E3040" s="14" t="str">
        <f t="shared" si="387"/>
        <v>Paint Line</v>
      </c>
      <c r="F3040" s="22">
        <f t="shared" si="389"/>
        <v>8</v>
      </c>
      <c r="H3040" s="5" t="str">
        <f ca="1">_xlfn.FORMULATEXT(표1[[#This Row],[Q''ty]])</f>
        <v>=F2941</v>
      </c>
    </row>
    <row r="3041" spans="1:8" ht="15" hidden="1" customHeight="1" x14ac:dyDescent="0.4">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hidden="1" customHeight="1" x14ac:dyDescent="0.4">
      <c r="A3042" s="6">
        <v>2026</v>
      </c>
      <c r="B3042" s="6">
        <f t="shared" si="388"/>
        <v>31</v>
      </c>
      <c r="C3042" s="13" t="s">
        <v>20</v>
      </c>
      <c r="D3042" s="2" t="s">
        <v>6</v>
      </c>
      <c r="E3042" s="14" t="str">
        <f t="shared" si="387"/>
        <v>L/W Machine</v>
      </c>
      <c r="F3042" s="22">
        <f t="shared" si="389"/>
        <v>11</v>
      </c>
      <c r="H3042" s="5" t="str">
        <f ca="1">_xlfn.FORMULATEXT(표1[[#This Row],[Q''ty]])</f>
        <v>=F2943</v>
      </c>
    </row>
    <row r="3043" spans="1:8" ht="15" hidden="1" customHeight="1" x14ac:dyDescent="0.4">
      <c r="A3043" s="6">
        <v>2026</v>
      </c>
      <c r="B3043" s="6">
        <f t="shared" si="388"/>
        <v>31</v>
      </c>
      <c r="C3043" s="13" t="s">
        <v>20</v>
      </c>
      <c r="D3043" s="2" t="s">
        <v>6</v>
      </c>
      <c r="E3043" s="14" t="str">
        <f t="shared" si="387"/>
        <v>C/W Machine</v>
      </c>
      <c r="F3043" s="22">
        <f t="shared" si="389"/>
        <v>15</v>
      </c>
      <c r="H3043" s="5" t="str">
        <f ca="1">_xlfn.FORMULATEXT(표1[[#This Row],[Q''ty]])</f>
        <v>=F2944</v>
      </c>
    </row>
    <row r="3044" spans="1:8" ht="15" hidden="1" customHeight="1" x14ac:dyDescent="0.4">
      <c r="A3044" s="6">
        <v>2026</v>
      </c>
      <c r="B3044" s="6">
        <f t="shared" si="388"/>
        <v>31</v>
      </c>
      <c r="C3044" s="13" t="s">
        <v>20</v>
      </c>
      <c r="D3044" s="2" t="s">
        <v>12</v>
      </c>
      <c r="E3044" s="14" t="str">
        <f t="shared" si="387"/>
        <v>BT GT</v>
      </c>
      <c r="F3044" s="22"/>
      <c r="H3044" s="5" t="e">
        <f ca="1">_xlfn.FORMULATEXT(표1[[#This Row],[Q''ty]])</f>
        <v>#N/A</v>
      </c>
    </row>
    <row r="3045" spans="1:8" ht="15" hidden="1" customHeight="1" x14ac:dyDescent="0.4">
      <c r="A3045" s="6">
        <v>2026</v>
      </c>
      <c r="B3045" s="6">
        <f t="shared" si="388"/>
        <v>31</v>
      </c>
      <c r="C3045" s="13" t="s">
        <v>20</v>
      </c>
      <c r="D3045" s="2" t="s">
        <v>12</v>
      </c>
      <c r="E3045" s="14" t="str">
        <f t="shared" si="387"/>
        <v>WT GT</v>
      </c>
      <c r="F3045" s="22"/>
      <c r="H3045" s="5" t="e">
        <f ca="1">_xlfn.FORMULATEXT(표1[[#This Row],[Q''ty]])</f>
        <v>#N/A</v>
      </c>
    </row>
    <row r="3046" spans="1:8" ht="15" hidden="1" customHeight="1" x14ac:dyDescent="0.4">
      <c r="A3046" s="6">
        <v>2026</v>
      </c>
      <c r="B3046" s="6">
        <f t="shared" si="388"/>
        <v>31</v>
      </c>
      <c r="C3046" s="13" t="s">
        <v>20</v>
      </c>
      <c r="D3046" s="2" t="s">
        <v>12</v>
      </c>
      <c r="E3046" s="14" t="str">
        <f t="shared" si="387"/>
        <v>Bending</v>
      </c>
      <c r="F3046" s="22"/>
      <c r="H3046" s="5" t="e">
        <f ca="1">_xlfn.FORMULATEXT(표1[[#This Row],[Q''ty]])</f>
        <v>#N/A</v>
      </c>
    </row>
    <row r="3047" spans="1:8" ht="15" hidden="1" customHeight="1" x14ac:dyDescent="0.4">
      <c r="A3047" s="6">
        <v>2026</v>
      </c>
      <c r="B3047" s="6">
        <f t="shared" si="388"/>
        <v>31</v>
      </c>
      <c r="C3047" s="13" t="s">
        <v>20</v>
      </c>
      <c r="D3047" s="2" t="s">
        <v>12</v>
      </c>
      <c r="E3047" s="14" t="str">
        <f t="shared" si="387"/>
        <v>L/W</v>
      </c>
      <c r="F3047" s="22"/>
      <c r="H3047" s="5" t="e">
        <f ca="1">_xlfn.FORMULATEXT(표1[[#This Row],[Q''ty]])</f>
        <v>#N/A</v>
      </c>
    </row>
    <row r="3048" spans="1:8" ht="15" hidden="1" customHeight="1" thickBot="1" x14ac:dyDescent="0.45">
      <c r="A3048" s="15">
        <v>2026</v>
      </c>
      <c r="B3048" s="15">
        <f t="shared" si="388"/>
        <v>31</v>
      </c>
      <c r="C3048" s="16" t="s">
        <v>20</v>
      </c>
      <c r="D3048" s="17" t="s">
        <v>12</v>
      </c>
      <c r="E3048" s="18" t="str">
        <f t="shared" si="387"/>
        <v>C/W</v>
      </c>
      <c r="F3048" s="23"/>
      <c r="H3048" s="5" t="e">
        <f ca="1">_xlfn.FORMULATEXT(표1[[#This Row],[Q''ty]])</f>
        <v>#N/A</v>
      </c>
    </row>
    <row r="3049" spans="1:8" ht="15" hidden="1" customHeight="1" thickTop="1" x14ac:dyDescent="0.4">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hidden="1" customHeight="1" x14ac:dyDescent="0.4">
      <c r="A3050" s="6">
        <v>2026</v>
      </c>
      <c r="B3050" s="6">
        <f t="shared" si="388"/>
        <v>31</v>
      </c>
      <c r="C3050" s="13" t="s">
        <v>21</v>
      </c>
      <c r="D3050" s="2" t="s">
        <v>6</v>
      </c>
      <c r="E3050" s="14" t="str">
        <f t="shared" si="387"/>
        <v>Paint Booth</v>
      </c>
      <c r="F3050" s="22">
        <f t="shared" si="390"/>
        <v>4</v>
      </c>
      <c r="H3050" s="5" t="str">
        <f ca="1">_xlfn.FORMULATEXT(표1[[#This Row],[Q''ty]])</f>
        <v>=F2951</v>
      </c>
    </row>
    <row r="3051" spans="1:8" ht="15" hidden="1" customHeight="1" x14ac:dyDescent="0.4">
      <c r="A3051" s="6">
        <v>2026</v>
      </c>
      <c r="B3051" s="6">
        <f t="shared" si="388"/>
        <v>31</v>
      </c>
      <c r="C3051" s="13" t="s">
        <v>21</v>
      </c>
      <c r="D3051" s="2" t="s">
        <v>6</v>
      </c>
      <c r="E3051" s="14" t="str">
        <f t="shared" si="387"/>
        <v>Paint Line</v>
      </c>
      <c r="F3051" s="22">
        <f t="shared" si="390"/>
        <v>4</v>
      </c>
      <c r="H3051" s="5" t="str">
        <f ca="1">_xlfn.FORMULATEXT(표1[[#This Row],[Q''ty]])</f>
        <v>=F2952</v>
      </c>
    </row>
    <row r="3052" spans="1:8" ht="15" hidden="1" customHeight="1" x14ac:dyDescent="0.4">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hidden="1" customHeight="1" x14ac:dyDescent="0.4">
      <c r="A3053" s="6">
        <v>2026</v>
      </c>
      <c r="B3053" s="6">
        <f t="shared" si="388"/>
        <v>31</v>
      </c>
      <c r="C3053" s="13" t="s">
        <v>21</v>
      </c>
      <c r="D3053" s="2" t="s">
        <v>6</v>
      </c>
      <c r="E3053" s="14" t="str">
        <f t="shared" si="387"/>
        <v>L/W Machine</v>
      </c>
      <c r="F3053" s="22">
        <f t="shared" si="390"/>
        <v>4</v>
      </c>
      <c r="H3053" s="5" t="str">
        <f ca="1">_xlfn.FORMULATEXT(표1[[#This Row],[Q''ty]])</f>
        <v>=F2954</v>
      </c>
    </row>
    <row r="3054" spans="1:8" ht="15" hidden="1" customHeight="1" x14ac:dyDescent="0.4">
      <c r="A3054" s="6">
        <v>2026</v>
      </c>
      <c r="B3054" s="6">
        <f t="shared" si="388"/>
        <v>31</v>
      </c>
      <c r="C3054" s="13" t="s">
        <v>21</v>
      </c>
      <c r="D3054" s="2" t="s">
        <v>6</v>
      </c>
      <c r="E3054" s="14" t="str">
        <f t="shared" si="387"/>
        <v>C/W Machine</v>
      </c>
      <c r="F3054" s="22">
        <f t="shared" si="390"/>
        <v>6.5</v>
      </c>
      <c r="H3054" s="5" t="str">
        <f ca="1">_xlfn.FORMULATEXT(표1[[#This Row],[Q''ty]])</f>
        <v>=F2955</v>
      </c>
    </row>
    <row r="3055" spans="1:8" ht="15" hidden="1" customHeight="1" x14ac:dyDescent="0.4">
      <c r="A3055" s="6">
        <v>2026</v>
      </c>
      <c r="B3055" s="6">
        <f t="shared" si="388"/>
        <v>31</v>
      </c>
      <c r="C3055" s="13" t="s">
        <v>21</v>
      </c>
      <c r="D3055" s="2" t="s">
        <v>12</v>
      </c>
      <c r="E3055" s="14" t="str">
        <f t="shared" si="387"/>
        <v>BT GT</v>
      </c>
      <c r="F3055" s="22"/>
      <c r="H3055" s="5" t="e">
        <f ca="1">_xlfn.FORMULATEXT(표1[[#This Row],[Q''ty]])</f>
        <v>#N/A</v>
      </c>
    </row>
    <row r="3056" spans="1:8" ht="15" hidden="1" customHeight="1" x14ac:dyDescent="0.4">
      <c r="A3056" s="6">
        <v>2026</v>
      </c>
      <c r="B3056" s="6">
        <f t="shared" si="388"/>
        <v>31</v>
      </c>
      <c r="C3056" s="13" t="s">
        <v>21</v>
      </c>
      <c r="D3056" s="2" t="s">
        <v>12</v>
      </c>
      <c r="E3056" s="14" t="str">
        <f t="shared" si="387"/>
        <v>WT GT</v>
      </c>
      <c r="F3056" s="22"/>
      <c r="H3056" s="5" t="e">
        <f ca="1">_xlfn.FORMULATEXT(표1[[#This Row],[Q''ty]])</f>
        <v>#N/A</v>
      </c>
    </row>
    <row r="3057" spans="1:10" ht="15" hidden="1" customHeight="1" x14ac:dyDescent="0.4">
      <c r="A3057" s="6">
        <v>2026</v>
      </c>
      <c r="B3057" s="6">
        <f t="shared" si="388"/>
        <v>31</v>
      </c>
      <c r="C3057" s="13" t="s">
        <v>21</v>
      </c>
      <c r="D3057" s="2" t="s">
        <v>12</v>
      </c>
      <c r="E3057" s="14" t="str">
        <f t="shared" si="387"/>
        <v>Bending</v>
      </c>
      <c r="F3057" s="22"/>
      <c r="H3057" s="5" t="e">
        <f ca="1">_xlfn.FORMULATEXT(표1[[#This Row],[Q''ty]])</f>
        <v>#N/A</v>
      </c>
    </row>
    <row r="3058" spans="1:10" ht="15" hidden="1" customHeight="1" x14ac:dyDescent="0.4">
      <c r="A3058" s="6">
        <v>2026</v>
      </c>
      <c r="B3058" s="6">
        <f t="shared" si="388"/>
        <v>31</v>
      </c>
      <c r="C3058" s="13" t="s">
        <v>21</v>
      </c>
      <c r="D3058" s="2" t="s">
        <v>12</v>
      </c>
      <c r="E3058" s="14" t="str">
        <f t="shared" si="387"/>
        <v>L/W</v>
      </c>
      <c r="F3058" s="22"/>
      <c r="H3058" s="5" t="e">
        <f ca="1">_xlfn.FORMULATEXT(표1[[#This Row],[Q''ty]])</f>
        <v>#N/A</v>
      </c>
    </row>
    <row r="3059" spans="1:10" ht="15" hidden="1" customHeight="1" thickBot="1" x14ac:dyDescent="0.45">
      <c r="A3059" s="15">
        <v>2026</v>
      </c>
      <c r="B3059" s="15">
        <f t="shared" si="388"/>
        <v>31</v>
      </c>
      <c r="C3059" s="16" t="s">
        <v>21</v>
      </c>
      <c r="D3059" s="17" t="s">
        <v>12</v>
      </c>
      <c r="E3059" s="18" t="str">
        <f t="shared" si="387"/>
        <v>C/W</v>
      </c>
      <c r="F3059" s="23"/>
      <c r="H3059" s="5" t="e">
        <f ca="1">_xlfn.FORMULATEXT(표1[[#This Row],[Q''ty]])</f>
        <v>#N/A</v>
      </c>
    </row>
    <row r="3060" spans="1:10" ht="15" hidden="1" customHeight="1" thickTop="1" x14ac:dyDescent="0.4">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10" ht="15" hidden="1" customHeight="1" x14ac:dyDescent="0.4">
      <c r="A3061" s="6">
        <v>2026</v>
      </c>
      <c r="B3061" s="6">
        <f t="shared" si="388"/>
        <v>31</v>
      </c>
      <c r="C3061" s="13" t="s">
        <v>22</v>
      </c>
      <c r="D3061" s="2" t="s">
        <v>6</v>
      </c>
      <c r="E3061" s="14" t="str">
        <f t="shared" si="387"/>
        <v>Paint Booth</v>
      </c>
      <c r="F3061" s="22">
        <f t="shared" si="391"/>
        <v>6</v>
      </c>
      <c r="H3061" s="5" t="str">
        <f ca="1">_xlfn.FORMULATEXT(표1[[#This Row],[Q''ty]])</f>
        <v>=F2962</v>
      </c>
    </row>
    <row r="3062" spans="1:10" ht="15" hidden="1" customHeight="1" x14ac:dyDescent="0.4">
      <c r="A3062" s="6">
        <v>2026</v>
      </c>
      <c r="B3062" s="6">
        <f t="shared" si="388"/>
        <v>31</v>
      </c>
      <c r="C3062" s="13" t="s">
        <v>22</v>
      </c>
      <c r="D3062" s="2" t="s">
        <v>6</v>
      </c>
      <c r="E3062" s="14" t="str">
        <f t="shared" si="387"/>
        <v>Paint Line</v>
      </c>
      <c r="F3062" s="22">
        <f t="shared" si="391"/>
        <v>4</v>
      </c>
      <c r="H3062" s="5" t="str">
        <f ca="1">_xlfn.FORMULATEXT(표1[[#This Row],[Q''ty]])</f>
        <v>=F2963</v>
      </c>
    </row>
    <row r="3063" spans="1:10" ht="15" hidden="1" customHeight="1" x14ac:dyDescent="0.4">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10" ht="15" hidden="1" customHeight="1" x14ac:dyDescent="0.4">
      <c r="A3064" s="6">
        <v>2026</v>
      </c>
      <c r="B3064" s="6">
        <f t="shared" si="388"/>
        <v>31</v>
      </c>
      <c r="C3064" s="13" t="s">
        <v>22</v>
      </c>
      <c r="D3064" s="2" t="s">
        <v>6</v>
      </c>
      <c r="E3064" s="14" t="str">
        <f t="shared" si="387"/>
        <v>L/W Machine</v>
      </c>
      <c r="F3064" s="22">
        <f t="shared" si="391"/>
        <v>7</v>
      </c>
      <c r="H3064" s="5" t="str">
        <f ca="1">_xlfn.FORMULATEXT(표1[[#This Row],[Q''ty]])</f>
        <v>=F2965</v>
      </c>
    </row>
    <row r="3065" spans="1:10" ht="15" hidden="1" customHeight="1" x14ac:dyDescent="0.4">
      <c r="A3065" s="6">
        <v>2026</v>
      </c>
      <c r="B3065" s="6">
        <f t="shared" si="388"/>
        <v>31</v>
      </c>
      <c r="C3065" s="13" t="s">
        <v>22</v>
      </c>
      <c r="D3065" s="2" t="s">
        <v>6</v>
      </c>
      <c r="E3065" s="14" t="str">
        <f t="shared" si="387"/>
        <v>C/W Machine</v>
      </c>
      <c r="F3065" s="22">
        <f t="shared" si="391"/>
        <v>12.5</v>
      </c>
      <c r="H3065" s="5" t="str">
        <f ca="1">_xlfn.FORMULATEXT(표1[[#This Row],[Q''ty]])</f>
        <v>=F2966</v>
      </c>
    </row>
    <row r="3066" spans="1:10" ht="15" hidden="1" customHeight="1" x14ac:dyDescent="0.4">
      <c r="A3066" s="6">
        <v>2026</v>
      </c>
      <c r="B3066" s="6">
        <f t="shared" si="388"/>
        <v>31</v>
      </c>
      <c r="C3066" s="13" t="s">
        <v>22</v>
      </c>
      <c r="D3066" s="2" t="s">
        <v>12</v>
      </c>
      <c r="E3066" s="14" t="str">
        <f t="shared" si="387"/>
        <v>BT GT</v>
      </c>
      <c r="F3066" s="22"/>
      <c r="H3066" s="5" t="e">
        <f ca="1">_xlfn.FORMULATEXT(표1[[#This Row],[Q''ty]])</f>
        <v>#N/A</v>
      </c>
    </row>
    <row r="3067" spans="1:10" ht="15" hidden="1" customHeight="1" x14ac:dyDescent="0.4">
      <c r="A3067" s="6">
        <v>2026</v>
      </c>
      <c r="B3067" s="6">
        <f t="shared" si="388"/>
        <v>31</v>
      </c>
      <c r="C3067" s="13" t="s">
        <v>22</v>
      </c>
      <c r="D3067" s="2" t="s">
        <v>12</v>
      </c>
      <c r="E3067" s="14" t="str">
        <f t="shared" si="387"/>
        <v>WT GT</v>
      </c>
      <c r="F3067" s="22"/>
      <c r="H3067" s="5" t="e">
        <f ca="1">_xlfn.FORMULATEXT(표1[[#This Row],[Q''ty]])</f>
        <v>#N/A</v>
      </c>
    </row>
    <row r="3068" spans="1:10" ht="15" hidden="1" customHeight="1" x14ac:dyDescent="0.4">
      <c r="A3068" s="6">
        <v>2026</v>
      </c>
      <c r="B3068" s="6">
        <f t="shared" si="388"/>
        <v>31</v>
      </c>
      <c r="C3068" s="13" t="s">
        <v>22</v>
      </c>
      <c r="D3068" s="2" t="s">
        <v>12</v>
      </c>
      <c r="E3068" s="14" t="str">
        <f t="shared" si="387"/>
        <v>Bending</v>
      </c>
      <c r="F3068" s="22"/>
      <c r="H3068" s="5" t="e">
        <f ca="1">_xlfn.FORMULATEXT(표1[[#This Row],[Q''ty]])</f>
        <v>#N/A</v>
      </c>
    </row>
    <row r="3069" spans="1:10" ht="15" hidden="1" customHeight="1" x14ac:dyDescent="0.4">
      <c r="A3069" s="6">
        <v>2026</v>
      </c>
      <c r="B3069" s="6">
        <f t="shared" si="388"/>
        <v>31</v>
      </c>
      <c r="C3069" s="13" t="s">
        <v>22</v>
      </c>
      <c r="D3069" s="2" t="s">
        <v>12</v>
      </c>
      <c r="E3069" s="14" t="str">
        <f t="shared" si="387"/>
        <v>L/W</v>
      </c>
      <c r="F3069" s="22"/>
      <c r="H3069" s="5" t="e">
        <f ca="1">_xlfn.FORMULATEXT(표1[[#This Row],[Q''ty]])</f>
        <v>#N/A</v>
      </c>
    </row>
    <row r="3070" spans="1:10" ht="15" hidden="1" customHeight="1" thickBot="1" x14ac:dyDescent="0.45">
      <c r="A3070" s="6">
        <v>2026</v>
      </c>
      <c r="B3070" s="6">
        <f t="shared" si="388"/>
        <v>31</v>
      </c>
      <c r="C3070" s="13" t="s">
        <v>22</v>
      </c>
      <c r="D3070" s="2" t="s">
        <v>12</v>
      </c>
      <c r="E3070" s="14" t="str">
        <f t="shared" si="387"/>
        <v>C/W</v>
      </c>
      <c r="F3070" s="22"/>
      <c r="H3070" s="5" t="e">
        <f ca="1">_xlfn.FORMULATEXT(표1[[#This Row],[Q''ty]])</f>
        <v>#N/A</v>
      </c>
    </row>
    <row r="3071" spans="1:10" ht="15" hidden="1" customHeight="1" thickTop="1" x14ac:dyDescent="0.4">
      <c r="A3071" s="9">
        <v>2026</v>
      </c>
      <c r="B3071" s="9">
        <f>B2972+1</f>
        <v>32</v>
      </c>
      <c r="C3071" s="10" t="s">
        <v>28</v>
      </c>
      <c r="D3071" s="11" t="s">
        <v>6</v>
      </c>
      <c r="E3071" s="12" t="s">
        <v>7</v>
      </c>
      <c r="F3071" s="21">
        <f t="shared" ref="F3071:F3076" si="392">F2972</f>
        <v>15</v>
      </c>
      <c r="H3071" s="5" t="str">
        <f ca="1">_xlfn.FORMULATEXT(표1[[#This Row],[Q''ty]])</f>
        <v>=F2972</v>
      </c>
    </row>
    <row r="3072" spans="1:10" s="2" customFormat="1" ht="15" hidden="1" customHeight="1" x14ac:dyDescent="0.4">
      <c r="A3072" s="6">
        <v>2026</v>
      </c>
      <c r="B3072" s="6">
        <f t="shared" ref="B3072:B3135" si="393">B2973+1</f>
        <v>32</v>
      </c>
      <c r="C3072" s="13" t="s">
        <v>23</v>
      </c>
      <c r="D3072" s="2" t="s">
        <v>6</v>
      </c>
      <c r="E3072" s="14" t="s">
        <v>8</v>
      </c>
      <c r="F3072" s="22">
        <f t="shared" si="392"/>
        <v>10</v>
      </c>
      <c r="H3072" s="5" t="str">
        <f ca="1">_xlfn.FORMULATEXT(표1[[#This Row],[Q''ty]])</f>
        <v>=F2973</v>
      </c>
      <c r="I3072" s="26"/>
      <c r="J3072" s="26"/>
    </row>
    <row r="3073" spans="1:10" s="2" customFormat="1" ht="15" hidden="1" customHeight="1" x14ac:dyDescent="0.4">
      <c r="A3073" s="6">
        <v>2026</v>
      </c>
      <c r="B3073" s="6">
        <f t="shared" si="393"/>
        <v>32</v>
      </c>
      <c r="C3073" s="13" t="s">
        <v>23</v>
      </c>
      <c r="D3073" s="2" t="s">
        <v>6</v>
      </c>
      <c r="E3073" s="14" t="s">
        <v>9</v>
      </c>
      <c r="F3073" s="22">
        <f t="shared" si="392"/>
        <v>5</v>
      </c>
      <c r="H3073" s="5" t="str">
        <f ca="1">_xlfn.FORMULATEXT(표1[[#This Row],[Q''ty]])</f>
        <v>=F2974</v>
      </c>
      <c r="I3073" s="26"/>
      <c r="J3073" s="26"/>
    </row>
    <row r="3074" spans="1:10" ht="15" hidden="1" customHeight="1" x14ac:dyDescent="0.4">
      <c r="A3074" s="6">
        <v>2026</v>
      </c>
      <c r="B3074" s="6">
        <f t="shared" si="393"/>
        <v>32</v>
      </c>
      <c r="C3074" s="13" t="s">
        <v>23</v>
      </c>
      <c r="D3074" s="2" t="s">
        <v>6</v>
      </c>
      <c r="E3074" s="14" t="s">
        <v>27</v>
      </c>
      <c r="F3074" s="22">
        <f t="shared" si="392"/>
        <v>6</v>
      </c>
      <c r="H3074" s="5" t="str">
        <f ca="1">_xlfn.FORMULATEXT(표1[[#This Row],[Q''ty]])</f>
        <v>=F2975</v>
      </c>
    </row>
    <row r="3075" spans="1:10" ht="15" hidden="1" customHeight="1" x14ac:dyDescent="0.4">
      <c r="A3075" s="6">
        <v>2026</v>
      </c>
      <c r="B3075" s="6">
        <f t="shared" si="393"/>
        <v>32</v>
      </c>
      <c r="C3075" s="13" t="s">
        <v>23</v>
      </c>
      <c r="D3075" s="2" t="s">
        <v>6</v>
      </c>
      <c r="E3075" s="14" t="s">
        <v>10</v>
      </c>
      <c r="F3075" s="22">
        <f t="shared" si="392"/>
        <v>10</v>
      </c>
      <c r="H3075" s="5" t="str">
        <f ca="1">_xlfn.FORMULATEXT(표1[[#This Row],[Q''ty]])</f>
        <v>=F2976</v>
      </c>
    </row>
    <row r="3076" spans="1:10" ht="15" hidden="1" customHeight="1" x14ac:dyDescent="0.4">
      <c r="A3076" s="6">
        <v>2026</v>
      </c>
      <c r="B3076" s="6">
        <f t="shared" si="393"/>
        <v>32</v>
      </c>
      <c r="C3076" s="13" t="s">
        <v>23</v>
      </c>
      <c r="D3076" s="2" t="s">
        <v>6</v>
      </c>
      <c r="E3076" s="14" t="s">
        <v>11</v>
      </c>
      <c r="F3076" s="22">
        <f t="shared" si="392"/>
        <v>10</v>
      </c>
      <c r="H3076" s="5" t="str">
        <f ca="1">_xlfn.FORMULATEXT(표1[[#This Row],[Q''ty]])</f>
        <v>=F2977</v>
      </c>
    </row>
    <row r="3077" spans="1:10" ht="15" hidden="1" customHeight="1" x14ac:dyDescent="0.4">
      <c r="A3077" s="6">
        <v>2026</v>
      </c>
      <c r="B3077" s="6">
        <f t="shared" si="393"/>
        <v>32</v>
      </c>
      <c r="C3077" s="13" t="s">
        <v>23</v>
      </c>
      <c r="D3077" s="2" t="s">
        <v>12</v>
      </c>
      <c r="E3077" s="14" t="s">
        <v>13</v>
      </c>
      <c r="F3077" s="22"/>
      <c r="H3077" s="5" t="e">
        <f ca="1">_xlfn.FORMULATEXT(표1[[#This Row],[Q''ty]])</f>
        <v>#N/A</v>
      </c>
    </row>
    <row r="3078" spans="1:10" s="2" customFormat="1" ht="15" hidden="1" customHeight="1" x14ac:dyDescent="0.4">
      <c r="A3078" s="6">
        <v>2026</v>
      </c>
      <c r="B3078" s="6">
        <f t="shared" si="393"/>
        <v>32</v>
      </c>
      <c r="C3078" s="13" t="s">
        <v>23</v>
      </c>
      <c r="D3078" s="2" t="s">
        <v>12</v>
      </c>
      <c r="E3078" s="14" t="s">
        <v>14</v>
      </c>
      <c r="F3078" s="22"/>
      <c r="H3078" s="5" t="e">
        <f ca="1">_xlfn.FORMULATEXT(표1[[#This Row],[Q''ty]])</f>
        <v>#N/A</v>
      </c>
      <c r="I3078" s="26"/>
      <c r="J3078" s="26"/>
    </row>
    <row r="3079" spans="1:10" ht="15" hidden="1" customHeight="1" x14ac:dyDescent="0.4">
      <c r="A3079" s="6">
        <v>2026</v>
      </c>
      <c r="B3079" s="6">
        <f t="shared" si="393"/>
        <v>32</v>
      </c>
      <c r="C3079" s="13" t="s">
        <v>23</v>
      </c>
      <c r="D3079" s="2" t="s">
        <v>12</v>
      </c>
      <c r="E3079" s="14" t="s">
        <v>15</v>
      </c>
      <c r="F3079" s="22"/>
      <c r="H3079" s="5" t="e">
        <f ca="1">_xlfn.FORMULATEXT(표1[[#This Row],[Q''ty]])</f>
        <v>#N/A</v>
      </c>
    </row>
    <row r="3080" spans="1:10" ht="15" hidden="1" customHeight="1" x14ac:dyDescent="0.4">
      <c r="A3080" s="6">
        <v>2026</v>
      </c>
      <c r="B3080" s="6">
        <f t="shared" si="393"/>
        <v>32</v>
      </c>
      <c r="C3080" s="13" t="s">
        <v>23</v>
      </c>
      <c r="D3080" s="2" t="s">
        <v>12</v>
      </c>
      <c r="E3080" s="14" t="s">
        <v>16</v>
      </c>
      <c r="F3080" s="22"/>
      <c r="H3080" s="5" t="e">
        <f ca="1">_xlfn.FORMULATEXT(표1[[#This Row],[Q''ty]])</f>
        <v>#N/A</v>
      </c>
    </row>
    <row r="3081" spans="1:10" ht="15" hidden="1" customHeight="1" thickBot="1" x14ac:dyDescent="0.45">
      <c r="A3081" s="15">
        <v>2026</v>
      </c>
      <c r="B3081" s="15">
        <f t="shared" si="393"/>
        <v>32</v>
      </c>
      <c r="C3081" s="16" t="s">
        <v>23</v>
      </c>
      <c r="D3081" s="17" t="s">
        <v>12</v>
      </c>
      <c r="E3081" s="18" t="s">
        <v>17</v>
      </c>
      <c r="F3081" s="23"/>
      <c r="H3081" s="5" t="e">
        <f ca="1">_xlfn.FORMULATEXT(표1[[#This Row],[Q''ty]])</f>
        <v>#N/A</v>
      </c>
    </row>
    <row r="3082" spans="1:10" ht="15" hidden="1" customHeight="1" thickTop="1" x14ac:dyDescent="0.4">
      <c r="A3082" s="9">
        <v>2026</v>
      </c>
      <c r="B3082" s="9">
        <f t="shared" si="393"/>
        <v>32</v>
      </c>
      <c r="C3082" s="10" t="s">
        <v>29</v>
      </c>
      <c r="D3082" s="11" t="s">
        <v>6</v>
      </c>
      <c r="E3082" s="12" t="s">
        <v>7</v>
      </c>
      <c r="F3082" s="21">
        <f t="shared" ref="F3082:F3087" si="394">F2983</f>
        <v>14</v>
      </c>
      <c r="H3082" s="5" t="str">
        <f ca="1">_xlfn.FORMULATEXT(표1[[#This Row],[Q''ty]])</f>
        <v>=F2983</v>
      </c>
    </row>
    <row r="3083" spans="1:10" s="2" customFormat="1" ht="15" hidden="1" customHeight="1" x14ac:dyDescent="0.4">
      <c r="A3083" s="6">
        <v>2026</v>
      </c>
      <c r="B3083" s="6">
        <f t="shared" si="393"/>
        <v>32</v>
      </c>
      <c r="C3083" s="13" t="s">
        <v>24</v>
      </c>
      <c r="D3083" s="2" t="s">
        <v>6</v>
      </c>
      <c r="E3083" s="14" t="s">
        <v>8</v>
      </c>
      <c r="F3083" s="22">
        <f t="shared" si="394"/>
        <v>8</v>
      </c>
      <c r="H3083" s="5" t="str">
        <f ca="1">_xlfn.FORMULATEXT(표1[[#This Row],[Q''ty]])</f>
        <v>=F2984</v>
      </c>
      <c r="I3083" s="26"/>
      <c r="J3083" s="26"/>
    </row>
    <row r="3084" spans="1:10" s="2" customFormat="1" ht="15" hidden="1" customHeight="1" x14ac:dyDescent="0.4">
      <c r="A3084" s="6">
        <v>2026</v>
      </c>
      <c r="B3084" s="6">
        <f t="shared" si="393"/>
        <v>32</v>
      </c>
      <c r="C3084" s="13" t="s">
        <v>24</v>
      </c>
      <c r="D3084" s="2" t="s">
        <v>6</v>
      </c>
      <c r="E3084" s="14" t="s">
        <v>9</v>
      </c>
      <c r="F3084" s="22">
        <f t="shared" si="394"/>
        <v>4</v>
      </c>
      <c r="H3084" s="5" t="str">
        <f ca="1">_xlfn.FORMULATEXT(표1[[#This Row],[Q''ty]])</f>
        <v>=F2985</v>
      </c>
      <c r="I3084" s="26"/>
      <c r="J3084" s="26"/>
    </row>
    <row r="3085" spans="1:10" ht="15" hidden="1" customHeight="1" x14ac:dyDescent="0.4">
      <c r="A3085" s="6">
        <v>2026</v>
      </c>
      <c r="B3085" s="6">
        <f t="shared" si="393"/>
        <v>32</v>
      </c>
      <c r="C3085" s="13" t="s">
        <v>24</v>
      </c>
      <c r="D3085" s="2" t="s">
        <v>6</v>
      </c>
      <c r="E3085" s="14" t="s">
        <v>27</v>
      </c>
      <c r="F3085" s="22">
        <f t="shared" si="394"/>
        <v>3</v>
      </c>
      <c r="H3085" s="5" t="str">
        <f ca="1">_xlfn.FORMULATEXT(표1[[#This Row],[Q''ty]])</f>
        <v>=F2986</v>
      </c>
    </row>
    <row r="3086" spans="1:10" ht="15" hidden="1" customHeight="1" x14ac:dyDescent="0.4">
      <c r="A3086" s="6">
        <v>2026</v>
      </c>
      <c r="B3086" s="6">
        <f t="shared" si="393"/>
        <v>32</v>
      </c>
      <c r="C3086" s="13" t="s">
        <v>24</v>
      </c>
      <c r="D3086" s="2" t="s">
        <v>6</v>
      </c>
      <c r="E3086" s="14" t="s">
        <v>10</v>
      </c>
      <c r="F3086" s="22">
        <f t="shared" si="394"/>
        <v>6</v>
      </c>
      <c r="H3086" s="5" t="str">
        <f ca="1">_xlfn.FORMULATEXT(표1[[#This Row],[Q''ty]])</f>
        <v>=F2987</v>
      </c>
    </row>
    <row r="3087" spans="1:10" ht="15" hidden="1" customHeight="1" x14ac:dyDescent="0.4">
      <c r="A3087" s="6">
        <v>2026</v>
      </c>
      <c r="B3087" s="6">
        <f t="shared" si="393"/>
        <v>32</v>
      </c>
      <c r="C3087" s="13" t="s">
        <v>24</v>
      </c>
      <c r="D3087" s="2" t="s">
        <v>6</v>
      </c>
      <c r="E3087" s="14" t="s">
        <v>11</v>
      </c>
      <c r="F3087" s="22">
        <f t="shared" si="394"/>
        <v>8.8000000000000007</v>
      </c>
      <c r="H3087" s="5" t="str">
        <f ca="1">_xlfn.FORMULATEXT(표1[[#This Row],[Q''ty]])</f>
        <v>=F2988</v>
      </c>
    </row>
    <row r="3088" spans="1:10" ht="15" hidden="1" customHeight="1" x14ac:dyDescent="0.4">
      <c r="A3088" s="6">
        <v>2026</v>
      </c>
      <c r="B3088" s="6">
        <f t="shared" si="393"/>
        <v>32</v>
      </c>
      <c r="C3088" s="13" t="s">
        <v>24</v>
      </c>
      <c r="D3088" s="2" t="s">
        <v>12</v>
      </c>
      <c r="E3088" s="14" t="s">
        <v>13</v>
      </c>
      <c r="F3088" s="22"/>
      <c r="H3088" s="5" t="e">
        <f ca="1">_xlfn.FORMULATEXT(표1[[#This Row],[Q''ty]])</f>
        <v>#N/A</v>
      </c>
    </row>
    <row r="3089" spans="1:10" s="2" customFormat="1" ht="15" hidden="1" customHeight="1" x14ac:dyDescent="0.4">
      <c r="A3089" s="6">
        <v>2026</v>
      </c>
      <c r="B3089" s="6">
        <f t="shared" si="393"/>
        <v>32</v>
      </c>
      <c r="C3089" s="13" t="s">
        <v>24</v>
      </c>
      <c r="D3089" s="2" t="s">
        <v>12</v>
      </c>
      <c r="E3089" s="14" t="s">
        <v>14</v>
      </c>
      <c r="F3089" s="22"/>
      <c r="H3089" s="5" t="e">
        <f ca="1">_xlfn.FORMULATEXT(표1[[#This Row],[Q''ty]])</f>
        <v>#N/A</v>
      </c>
      <c r="I3089" s="26"/>
      <c r="J3089" s="26"/>
    </row>
    <row r="3090" spans="1:10" ht="15" hidden="1" customHeight="1" x14ac:dyDescent="0.4">
      <c r="A3090" s="6">
        <v>2026</v>
      </c>
      <c r="B3090" s="6">
        <f t="shared" si="393"/>
        <v>32</v>
      </c>
      <c r="C3090" s="13" t="s">
        <v>24</v>
      </c>
      <c r="D3090" s="2" t="s">
        <v>12</v>
      </c>
      <c r="E3090" s="14" t="s">
        <v>15</v>
      </c>
      <c r="F3090" s="22"/>
      <c r="H3090" s="5" t="e">
        <f ca="1">_xlfn.FORMULATEXT(표1[[#This Row],[Q''ty]])</f>
        <v>#N/A</v>
      </c>
    </row>
    <row r="3091" spans="1:10" ht="15" hidden="1" customHeight="1" x14ac:dyDescent="0.4">
      <c r="A3091" s="6">
        <v>2026</v>
      </c>
      <c r="B3091" s="6">
        <f t="shared" si="393"/>
        <v>32</v>
      </c>
      <c r="C3091" s="13" t="s">
        <v>24</v>
      </c>
      <c r="D3091" s="2" t="s">
        <v>12</v>
      </c>
      <c r="E3091" s="14" t="s">
        <v>16</v>
      </c>
      <c r="F3091" s="22"/>
      <c r="H3091" s="5" t="e">
        <f ca="1">_xlfn.FORMULATEXT(표1[[#This Row],[Q''ty]])</f>
        <v>#N/A</v>
      </c>
    </row>
    <row r="3092" spans="1:10" ht="15" hidden="1" customHeight="1" thickBot="1" x14ac:dyDescent="0.45">
      <c r="A3092" s="15">
        <v>2026</v>
      </c>
      <c r="B3092" s="15">
        <f t="shared" si="393"/>
        <v>32</v>
      </c>
      <c r="C3092" s="16" t="s">
        <v>24</v>
      </c>
      <c r="D3092" s="17" t="s">
        <v>12</v>
      </c>
      <c r="E3092" s="18" t="s">
        <v>17</v>
      </c>
      <c r="F3092" s="23"/>
      <c r="H3092" s="5" t="e">
        <f ca="1">_xlfn.FORMULATEXT(표1[[#This Row],[Q''ty]])</f>
        <v>#N/A</v>
      </c>
    </row>
    <row r="3093" spans="1:10" ht="15" hidden="1" customHeight="1" thickTop="1" x14ac:dyDescent="0.4">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10" ht="15" hidden="1" customHeight="1" x14ac:dyDescent="0.4">
      <c r="A3094" s="6">
        <v>2026</v>
      </c>
      <c r="B3094" s="6">
        <f t="shared" si="393"/>
        <v>32</v>
      </c>
      <c r="C3094" s="13" t="s">
        <v>18</v>
      </c>
      <c r="D3094" s="2" t="s">
        <v>6</v>
      </c>
      <c r="E3094" s="14" t="str">
        <f t="shared" si="395"/>
        <v>Paint Booth</v>
      </c>
      <c r="F3094" s="22">
        <f t="shared" si="395"/>
        <v>3</v>
      </c>
      <c r="H3094" s="5" t="str">
        <f ca="1">_xlfn.FORMULATEXT(표1[[#This Row],[Q''ty]])</f>
        <v>=F2995</v>
      </c>
    </row>
    <row r="3095" spans="1:10" ht="15" hidden="1" customHeight="1" x14ac:dyDescent="0.4">
      <c r="A3095" s="6">
        <v>2026</v>
      </c>
      <c r="B3095" s="6">
        <f t="shared" si="393"/>
        <v>32</v>
      </c>
      <c r="C3095" s="13" t="s">
        <v>18</v>
      </c>
      <c r="D3095" s="2" t="s">
        <v>6</v>
      </c>
      <c r="E3095" s="14" t="str">
        <f t="shared" si="395"/>
        <v>Paint Line</v>
      </c>
      <c r="F3095" s="22">
        <f t="shared" si="395"/>
        <v>2</v>
      </c>
      <c r="H3095" s="5" t="str">
        <f ca="1">_xlfn.FORMULATEXT(표1[[#This Row],[Q''ty]])</f>
        <v>=F2996</v>
      </c>
    </row>
    <row r="3096" spans="1:10" ht="15" hidden="1" customHeight="1" x14ac:dyDescent="0.4">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10" ht="15" hidden="1" customHeight="1" x14ac:dyDescent="0.4">
      <c r="A3097" s="6">
        <v>2026</v>
      </c>
      <c r="B3097" s="6">
        <f t="shared" si="393"/>
        <v>32</v>
      </c>
      <c r="C3097" s="13" t="s">
        <v>18</v>
      </c>
      <c r="D3097" s="2" t="s">
        <v>6</v>
      </c>
      <c r="E3097" s="14" t="str">
        <f t="shared" si="395"/>
        <v>L/W Machine</v>
      </c>
      <c r="F3097" s="22">
        <f t="shared" si="395"/>
        <v>2</v>
      </c>
      <c r="H3097" s="5" t="str">
        <f ca="1">_xlfn.FORMULATEXT(표1[[#This Row],[Q''ty]])</f>
        <v>=F2998</v>
      </c>
    </row>
    <row r="3098" spans="1:10" ht="15" hidden="1" customHeight="1" x14ac:dyDescent="0.4">
      <c r="A3098" s="6">
        <v>2026</v>
      </c>
      <c r="B3098" s="6">
        <f t="shared" si="393"/>
        <v>32</v>
      </c>
      <c r="C3098" s="13" t="s">
        <v>18</v>
      </c>
      <c r="D3098" s="2" t="s">
        <v>6</v>
      </c>
      <c r="E3098" s="14" t="str">
        <f t="shared" si="395"/>
        <v>C/W Machine</v>
      </c>
      <c r="F3098" s="22">
        <f t="shared" si="395"/>
        <v>3</v>
      </c>
      <c r="H3098" s="5" t="str">
        <f ca="1">_xlfn.FORMULATEXT(표1[[#This Row],[Q''ty]])</f>
        <v>=F2999</v>
      </c>
    </row>
    <row r="3099" spans="1:10" ht="15" hidden="1" customHeight="1" x14ac:dyDescent="0.4">
      <c r="A3099" s="6">
        <v>2026</v>
      </c>
      <c r="B3099" s="6">
        <f t="shared" si="393"/>
        <v>32</v>
      </c>
      <c r="C3099" s="13" t="s">
        <v>18</v>
      </c>
      <c r="D3099" s="2" t="s">
        <v>12</v>
      </c>
      <c r="E3099" s="14" t="str">
        <f t="shared" ref="E3099:E3114" si="396">E3000</f>
        <v>BT GT</v>
      </c>
      <c r="F3099" s="22"/>
      <c r="H3099" s="5" t="e">
        <f ca="1">_xlfn.FORMULATEXT(표1[[#This Row],[Q''ty]])</f>
        <v>#N/A</v>
      </c>
    </row>
    <row r="3100" spans="1:10" ht="15" hidden="1" customHeight="1" x14ac:dyDescent="0.4">
      <c r="A3100" s="6">
        <v>2026</v>
      </c>
      <c r="B3100" s="6">
        <f t="shared" si="393"/>
        <v>32</v>
      </c>
      <c r="C3100" s="13" t="s">
        <v>18</v>
      </c>
      <c r="D3100" s="2" t="s">
        <v>12</v>
      </c>
      <c r="E3100" s="14" t="str">
        <f t="shared" si="396"/>
        <v>WT GT</v>
      </c>
      <c r="F3100" s="22"/>
      <c r="H3100" s="5" t="e">
        <f ca="1">_xlfn.FORMULATEXT(표1[[#This Row],[Q''ty]])</f>
        <v>#N/A</v>
      </c>
    </row>
    <row r="3101" spans="1:10" ht="15" hidden="1" customHeight="1" x14ac:dyDescent="0.4">
      <c r="A3101" s="6">
        <v>2026</v>
      </c>
      <c r="B3101" s="6">
        <f t="shared" si="393"/>
        <v>32</v>
      </c>
      <c r="C3101" s="13" t="s">
        <v>18</v>
      </c>
      <c r="D3101" s="2" t="s">
        <v>12</v>
      </c>
      <c r="E3101" s="14" t="str">
        <f t="shared" si="396"/>
        <v>Bending</v>
      </c>
      <c r="F3101" s="22"/>
      <c r="H3101" s="5" t="e">
        <f ca="1">_xlfn.FORMULATEXT(표1[[#This Row],[Q''ty]])</f>
        <v>#N/A</v>
      </c>
    </row>
    <row r="3102" spans="1:10" ht="15" hidden="1" customHeight="1" x14ac:dyDescent="0.4">
      <c r="A3102" s="6">
        <v>2026</v>
      </c>
      <c r="B3102" s="6">
        <f t="shared" si="393"/>
        <v>32</v>
      </c>
      <c r="C3102" s="13" t="s">
        <v>18</v>
      </c>
      <c r="D3102" s="2" t="s">
        <v>12</v>
      </c>
      <c r="E3102" s="14" t="str">
        <f t="shared" si="396"/>
        <v>L/W</v>
      </c>
      <c r="F3102" s="22"/>
      <c r="H3102" s="5" t="e">
        <f ca="1">_xlfn.FORMULATEXT(표1[[#This Row],[Q''ty]])</f>
        <v>#N/A</v>
      </c>
    </row>
    <row r="3103" spans="1:10" ht="15" hidden="1" customHeight="1" thickBot="1" x14ac:dyDescent="0.45">
      <c r="A3103" s="15">
        <v>2026</v>
      </c>
      <c r="B3103" s="15">
        <f t="shared" si="393"/>
        <v>32</v>
      </c>
      <c r="C3103" s="16" t="s">
        <v>18</v>
      </c>
      <c r="D3103" s="17" t="s">
        <v>12</v>
      </c>
      <c r="E3103" s="18" t="str">
        <f t="shared" si="396"/>
        <v>C/W</v>
      </c>
      <c r="F3103" s="23"/>
      <c r="H3103" s="5" t="e">
        <f ca="1">_xlfn.FORMULATEXT(표1[[#This Row],[Q''ty]])</f>
        <v>#N/A</v>
      </c>
    </row>
    <row r="3104" spans="1:10" ht="15" hidden="1" customHeight="1" thickTop="1" x14ac:dyDescent="0.4">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hidden="1" customHeight="1" x14ac:dyDescent="0.4">
      <c r="A3105" s="6">
        <v>2026</v>
      </c>
      <c r="B3105" s="6">
        <f t="shared" si="393"/>
        <v>32</v>
      </c>
      <c r="C3105" s="13" t="s">
        <v>19</v>
      </c>
      <c r="D3105" s="2" t="s">
        <v>6</v>
      </c>
      <c r="E3105" s="14" t="str">
        <f t="shared" si="396"/>
        <v>Paint Booth</v>
      </c>
      <c r="F3105" s="22">
        <f t="shared" si="397"/>
        <v>22</v>
      </c>
      <c r="H3105" s="5" t="str">
        <f ca="1">_xlfn.FORMULATEXT(표1[[#This Row],[Q''ty]])</f>
        <v>=F3006</v>
      </c>
    </row>
    <row r="3106" spans="1:8" ht="15" hidden="1" customHeight="1" x14ac:dyDescent="0.4">
      <c r="A3106" s="6">
        <v>2026</v>
      </c>
      <c r="B3106" s="6">
        <f t="shared" si="393"/>
        <v>32</v>
      </c>
      <c r="C3106" s="13" t="s">
        <v>19</v>
      </c>
      <c r="D3106" s="2" t="s">
        <v>6</v>
      </c>
      <c r="E3106" s="14" t="str">
        <f t="shared" si="396"/>
        <v>Paint Line</v>
      </c>
      <c r="F3106" s="22">
        <f t="shared" si="397"/>
        <v>6</v>
      </c>
      <c r="H3106" s="5" t="str">
        <f ca="1">_xlfn.FORMULATEXT(표1[[#This Row],[Q''ty]])</f>
        <v>=F3007</v>
      </c>
    </row>
    <row r="3107" spans="1:8" ht="15" hidden="1" customHeight="1" x14ac:dyDescent="0.4">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hidden="1" customHeight="1" x14ac:dyDescent="0.4">
      <c r="A3108" s="6">
        <v>2026</v>
      </c>
      <c r="B3108" s="6">
        <f t="shared" si="393"/>
        <v>32</v>
      </c>
      <c r="C3108" s="13" t="s">
        <v>19</v>
      </c>
      <c r="D3108" s="2" t="s">
        <v>6</v>
      </c>
      <c r="E3108" s="14" t="str">
        <f t="shared" si="396"/>
        <v>L/W Machine</v>
      </c>
      <c r="F3108" s="22">
        <f t="shared" si="397"/>
        <v>10</v>
      </c>
      <c r="H3108" s="5" t="str">
        <f ca="1">_xlfn.FORMULATEXT(표1[[#This Row],[Q''ty]])</f>
        <v>=F3009</v>
      </c>
    </row>
    <row r="3109" spans="1:8" ht="15" hidden="1" customHeight="1" x14ac:dyDescent="0.4">
      <c r="A3109" s="6">
        <v>2026</v>
      </c>
      <c r="B3109" s="6">
        <f t="shared" si="393"/>
        <v>32</v>
      </c>
      <c r="C3109" s="13" t="s">
        <v>19</v>
      </c>
      <c r="D3109" s="2" t="s">
        <v>6</v>
      </c>
      <c r="E3109" s="14" t="str">
        <f t="shared" si="396"/>
        <v>C/W Machine</v>
      </c>
      <c r="F3109" s="22">
        <f t="shared" si="397"/>
        <v>12</v>
      </c>
      <c r="H3109" s="5" t="str">
        <f ca="1">_xlfn.FORMULATEXT(표1[[#This Row],[Q''ty]])</f>
        <v>=F3010</v>
      </c>
    </row>
    <row r="3110" spans="1:8" ht="15" hidden="1" customHeight="1" x14ac:dyDescent="0.4">
      <c r="A3110" s="6">
        <v>2026</v>
      </c>
      <c r="B3110" s="6">
        <f t="shared" si="393"/>
        <v>32</v>
      </c>
      <c r="C3110" s="13" t="s">
        <v>19</v>
      </c>
      <c r="D3110" s="2" t="s">
        <v>12</v>
      </c>
      <c r="E3110" s="14" t="str">
        <f t="shared" si="396"/>
        <v>BT GT</v>
      </c>
      <c r="F3110" s="22"/>
      <c r="H3110" s="5" t="e">
        <f ca="1">_xlfn.FORMULATEXT(표1[[#This Row],[Q''ty]])</f>
        <v>#N/A</v>
      </c>
    </row>
    <row r="3111" spans="1:8" ht="15" hidden="1" customHeight="1" x14ac:dyDescent="0.4">
      <c r="A3111" s="6">
        <v>2026</v>
      </c>
      <c r="B3111" s="6">
        <f t="shared" si="393"/>
        <v>32</v>
      </c>
      <c r="C3111" s="13" t="s">
        <v>19</v>
      </c>
      <c r="D3111" s="2" t="s">
        <v>12</v>
      </c>
      <c r="E3111" s="14" t="str">
        <f t="shared" si="396"/>
        <v>WT GT</v>
      </c>
      <c r="F3111" s="22"/>
      <c r="H3111" s="5" t="e">
        <f ca="1">_xlfn.FORMULATEXT(표1[[#This Row],[Q''ty]])</f>
        <v>#N/A</v>
      </c>
    </row>
    <row r="3112" spans="1:8" ht="15" hidden="1" customHeight="1" x14ac:dyDescent="0.4">
      <c r="A3112" s="6">
        <v>2026</v>
      </c>
      <c r="B3112" s="6">
        <f t="shared" si="393"/>
        <v>32</v>
      </c>
      <c r="C3112" s="13" t="s">
        <v>19</v>
      </c>
      <c r="D3112" s="2" t="s">
        <v>12</v>
      </c>
      <c r="E3112" s="14" t="str">
        <f t="shared" si="396"/>
        <v>Bending</v>
      </c>
      <c r="F3112" s="22"/>
      <c r="H3112" s="5" t="e">
        <f ca="1">_xlfn.FORMULATEXT(표1[[#This Row],[Q''ty]])</f>
        <v>#N/A</v>
      </c>
    </row>
    <row r="3113" spans="1:8" ht="15" hidden="1" customHeight="1" x14ac:dyDescent="0.4">
      <c r="A3113" s="6">
        <v>2026</v>
      </c>
      <c r="B3113" s="6">
        <f t="shared" si="393"/>
        <v>32</v>
      </c>
      <c r="C3113" s="13" t="s">
        <v>19</v>
      </c>
      <c r="D3113" s="2" t="s">
        <v>12</v>
      </c>
      <c r="E3113" s="14" t="str">
        <f t="shared" si="396"/>
        <v>L/W</v>
      </c>
      <c r="F3113" s="22"/>
      <c r="H3113" s="5" t="e">
        <f ca="1">_xlfn.FORMULATEXT(표1[[#This Row],[Q''ty]])</f>
        <v>#N/A</v>
      </c>
    </row>
    <row r="3114" spans="1:8" ht="15" hidden="1" customHeight="1" thickBot="1" x14ac:dyDescent="0.45">
      <c r="A3114" s="15">
        <v>2026</v>
      </c>
      <c r="B3114" s="15">
        <f t="shared" si="393"/>
        <v>32</v>
      </c>
      <c r="C3114" s="16" t="s">
        <v>19</v>
      </c>
      <c r="D3114" s="17" t="s">
        <v>12</v>
      </c>
      <c r="E3114" s="18" t="str">
        <f t="shared" si="396"/>
        <v>C/W</v>
      </c>
      <c r="F3114" s="23"/>
      <c r="H3114" s="5" t="e">
        <f ca="1">_xlfn.FORMULATEXT(표1[[#This Row],[Q''ty]])</f>
        <v>#N/A</v>
      </c>
    </row>
    <row r="3115" spans="1:8" ht="15" hidden="1" customHeight="1" thickTop="1" x14ac:dyDescent="0.4">
      <c r="A3115" s="6">
        <v>2026</v>
      </c>
      <c r="B3115" s="6">
        <f t="shared" si="393"/>
        <v>32</v>
      </c>
      <c r="C3115" s="13" t="s">
        <v>25</v>
      </c>
      <c r="D3115" s="2" t="s">
        <v>6</v>
      </c>
      <c r="E3115" s="14" t="s">
        <v>7</v>
      </c>
      <c r="F3115" s="22">
        <f t="shared" ref="F3115:F3120" si="398">F3016</f>
        <v>3</v>
      </c>
      <c r="H3115" s="5" t="str">
        <f ca="1">_xlfn.FORMULATEXT(표1[[#This Row],[Q''ty]])</f>
        <v>=F3016</v>
      </c>
    </row>
    <row r="3116" spans="1:8" ht="15" hidden="1" customHeight="1" x14ac:dyDescent="0.4">
      <c r="A3116" s="6">
        <v>2026</v>
      </c>
      <c r="B3116" s="6">
        <f t="shared" si="393"/>
        <v>32</v>
      </c>
      <c r="C3116" s="13" t="s">
        <v>25</v>
      </c>
      <c r="D3116" s="2" t="s">
        <v>6</v>
      </c>
      <c r="E3116" s="14" t="s">
        <v>8</v>
      </c>
      <c r="F3116" s="22">
        <f t="shared" si="398"/>
        <v>3</v>
      </c>
      <c r="H3116" s="5" t="str">
        <f ca="1">_xlfn.FORMULATEXT(표1[[#This Row],[Q''ty]])</f>
        <v>=F3017</v>
      </c>
    </row>
    <row r="3117" spans="1:8" ht="15" hidden="1" customHeight="1" x14ac:dyDescent="0.4">
      <c r="A3117" s="6">
        <v>2026</v>
      </c>
      <c r="B3117" s="6">
        <f t="shared" si="393"/>
        <v>32</v>
      </c>
      <c r="C3117" s="13" t="s">
        <v>25</v>
      </c>
      <c r="D3117" s="2" t="s">
        <v>6</v>
      </c>
      <c r="E3117" s="14" t="s">
        <v>9</v>
      </c>
      <c r="F3117" s="22">
        <f t="shared" si="398"/>
        <v>2</v>
      </c>
      <c r="H3117" s="5" t="str">
        <f ca="1">_xlfn.FORMULATEXT(표1[[#This Row],[Q''ty]])</f>
        <v>=F3018</v>
      </c>
    </row>
    <row r="3118" spans="1:8" ht="15" hidden="1" customHeight="1" x14ac:dyDescent="0.4">
      <c r="A3118" s="6">
        <v>2026</v>
      </c>
      <c r="B3118" s="6">
        <f t="shared" si="393"/>
        <v>32</v>
      </c>
      <c r="C3118" s="13" t="s">
        <v>25</v>
      </c>
      <c r="D3118" s="2" t="s">
        <v>6</v>
      </c>
      <c r="E3118" s="14" t="s">
        <v>27</v>
      </c>
      <c r="F3118" s="22">
        <f t="shared" si="398"/>
        <v>2</v>
      </c>
      <c r="H3118" s="5" t="str">
        <f ca="1">_xlfn.FORMULATEXT(표1[[#This Row],[Q''ty]])</f>
        <v>=F3019</v>
      </c>
    </row>
    <row r="3119" spans="1:8" ht="15" hidden="1" customHeight="1" x14ac:dyDescent="0.4">
      <c r="A3119" s="6">
        <v>2026</v>
      </c>
      <c r="B3119" s="6">
        <f t="shared" si="393"/>
        <v>32</v>
      </c>
      <c r="C3119" s="13" t="s">
        <v>25</v>
      </c>
      <c r="D3119" s="2" t="s">
        <v>6</v>
      </c>
      <c r="E3119" s="14" t="s">
        <v>10</v>
      </c>
      <c r="F3119" s="22">
        <f t="shared" si="398"/>
        <v>3</v>
      </c>
      <c r="H3119" s="5" t="str">
        <f ca="1">_xlfn.FORMULATEXT(표1[[#This Row],[Q''ty]])</f>
        <v>=F3020</v>
      </c>
    </row>
    <row r="3120" spans="1:8" ht="15" hidden="1" customHeight="1" x14ac:dyDescent="0.4">
      <c r="A3120" s="6">
        <v>2026</v>
      </c>
      <c r="B3120" s="6">
        <f t="shared" si="393"/>
        <v>32</v>
      </c>
      <c r="C3120" s="13" t="s">
        <v>25</v>
      </c>
      <c r="D3120" s="2" t="s">
        <v>6</v>
      </c>
      <c r="E3120" s="14" t="s">
        <v>11</v>
      </c>
      <c r="F3120" s="22">
        <f t="shared" si="398"/>
        <v>4</v>
      </c>
      <c r="H3120" s="5" t="str">
        <f ca="1">_xlfn.FORMULATEXT(표1[[#This Row],[Q''ty]])</f>
        <v>=F3021</v>
      </c>
    </row>
    <row r="3121" spans="1:8" ht="15" hidden="1" customHeight="1" x14ac:dyDescent="0.4">
      <c r="A3121" s="6">
        <v>2026</v>
      </c>
      <c r="B3121" s="6">
        <f t="shared" si="393"/>
        <v>32</v>
      </c>
      <c r="C3121" s="13" t="s">
        <v>25</v>
      </c>
      <c r="D3121" s="2" t="s">
        <v>12</v>
      </c>
      <c r="E3121" s="14" t="s">
        <v>13</v>
      </c>
      <c r="F3121" s="22"/>
      <c r="H3121" s="5" t="e">
        <f ca="1">_xlfn.FORMULATEXT(표1[[#This Row],[Q''ty]])</f>
        <v>#N/A</v>
      </c>
    </row>
    <row r="3122" spans="1:8" ht="15" hidden="1" customHeight="1" x14ac:dyDescent="0.4">
      <c r="A3122" s="6">
        <v>2026</v>
      </c>
      <c r="B3122" s="6">
        <f t="shared" si="393"/>
        <v>32</v>
      </c>
      <c r="C3122" s="13" t="s">
        <v>25</v>
      </c>
      <c r="D3122" s="2" t="s">
        <v>12</v>
      </c>
      <c r="E3122" s="14" t="s">
        <v>14</v>
      </c>
      <c r="F3122" s="22"/>
      <c r="H3122" s="5" t="e">
        <f ca="1">_xlfn.FORMULATEXT(표1[[#This Row],[Q''ty]])</f>
        <v>#N/A</v>
      </c>
    </row>
    <row r="3123" spans="1:8" ht="15" hidden="1" customHeight="1" x14ac:dyDescent="0.4">
      <c r="A3123" s="6">
        <v>2026</v>
      </c>
      <c r="B3123" s="6">
        <f t="shared" si="393"/>
        <v>32</v>
      </c>
      <c r="C3123" s="13" t="s">
        <v>25</v>
      </c>
      <c r="D3123" s="2" t="s">
        <v>12</v>
      </c>
      <c r="E3123" s="14" t="s">
        <v>15</v>
      </c>
      <c r="F3123" s="22"/>
      <c r="H3123" s="5" t="e">
        <f ca="1">_xlfn.FORMULATEXT(표1[[#This Row],[Q''ty]])</f>
        <v>#N/A</v>
      </c>
    </row>
    <row r="3124" spans="1:8" ht="15" hidden="1" customHeight="1" x14ac:dyDescent="0.4">
      <c r="A3124" s="6">
        <v>2026</v>
      </c>
      <c r="B3124" s="6">
        <f t="shared" si="393"/>
        <v>32</v>
      </c>
      <c r="C3124" s="13" t="s">
        <v>25</v>
      </c>
      <c r="D3124" s="2" t="s">
        <v>12</v>
      </c>
      <c r="E3124" s="14" t="s">
        <v>16</v>
      </c>
      <c r="F3124" s="22"/>
      <c r="H3124" s="5" t="e">
        <f ca="1">_xlfn.FORMULATEXT(표1[[#This Row],[Q''ty]])</f>
        <v>#N/A</v>
      </c>
    </row>
    <row r="3125" spans="1:8" ht="15" hidden="1" customHeight="1" thickBot="1" x14ac:dyDescent="0.45">
      <c r="A3125" s="15">
        <v>2026</v>
      </c>
      <c r="B3125" s="15">
        <f t="shared" si="393"/>
        <v>32</v>
      </c>
      <c r="C3125" s="16" t="s">
        <v>25</v>
      </c>
      <c r="D3125" s="17" t="s">
        <v>12</v>
      </c>
      <c r="E3125" s="18" t="s">
        <v>17</v>
      </c>
      <c r="F3125" s="23"/>
      <c r="H3125" s="5" t="e">
        <f ca="1">_xlfn.FORMULATEXT(표1[[#This Row],[Q''ty]])</f>
        <v>#N/A</v>
      </c>
    </row>
    <row r="3126" spans="1:8" ht="15" hidden="1" customHeight="1" thickTop="1" x14ac:dyDescent="0.4">
      <c r="A3126" s="6">
        <v>2026</v>
      </c>
      <c r="B3126" s="6">
        <f t="shared" si="393"/>
        <v>32</v>
      </c>
      <c r="C3126" s="13" t="s">
        <v>26</v>
      </c>
      <c r="D3126" s="2" t="s">
        <v>6</v>
      </c>
      <c r="E3126" s="14" t="s">
        <v>7</v>
      </c>
      <c r="F3126" s="22">
        <f t="shared" ref="F3126:F3131" si="399">F3027</f>
        <v>6</v>
      </c>
      <c r="H3126" s="5" t="str">
        <f ca="1">_xlfn.FORMULATEXT(표1[[#This Row],[Q''ty]])</f>
        <v>=F3027</v>
      </c>
    </row>
    <row r="3127" spans="1:8" ht="15" hidden="1" customHeight="1" x14ac:dyDescent="0.4">
      <c r="A3127" s="6">
        <v>2026</v>
      </c>
      <c r="B3127" s="6">
        <f t="shared" si="393"/>
        <v>32</v>
      </c>
      <c r="C3127" s="13" t="s">
        <v>26</v>
      </c>
      <c r="D3127" s="2" t="s">
        <v>6</v>
      </c>
      <c r="E3127" s="14" t="s">
        <v>8</v>
      </c>
      <c r="F3127" s="22">
        <f t="shared" si="399"/>
        <v>4</v>
      </c>
      <c r="H3127" s="5" t="str">
        <f ca="1">_xlfn.FORMULATEXT(표1[[#This Row],[Q''ty]])</f>
        <v>=F3028</v>
      </c>
    </row>
    <row r="3128" spans="1:8" ht="15" hidden="1" customHeight="1" x14ac:dyDescent="0.4">
      <c r="A3128" s="6">
        <v>2026</v>
      </c>
      <c r="B3128" s="6">
        <f t="shared" si="393"/>
        <v>32</v>
      </c>
      <c r="C3128" s="13" t="s">
        <v>26</v>
      </c>
      <c r="D3128" s="2" t="s">
        <v>6</v>
      </c>
      <c r="E3128" s="14" t="s">
        <v>9</v>
      </c>
      <c r="F3128" s="22">
        <f t="shared" si="399"/>
        <v>2</v>
      </c>
      <c r="H3128" s="5" t="str">
        <f ca="1">_xlfn.FORMULATEXT(표1[[#This Row],[Q''ty]])</f>
        <v>=F3029</v>
      </c>
    </row>
    <row r="3129" spans="1:8" ht="15" hidden="1" customHeight="1" x14ac:dyDescent="0.4">
      <c r="A3129" s="6">
        <v>2026</v>
      </c>
      <c r="B3129" s="6">
        <f t="shared" si="393"/>
        <v>32</v>
      </c>
      <c r="C3129" s="13" t="s">
        <v>26</v>
      </c>
      <c r="D3129" s="2" t="s">
        <v>6</v>
      </c>
      <c r="E3129" s="14" t="s">
        <v>27</v>
      </c>
      <c r="F3129" s="22">
        <f t="shared" si="399"/>
        <v>3</v>
      </c>
      <c r="H3129" s="5" t="str">
        <f ca="1">_xlfn.FORMULATEXT(표1[[#This Row],[Q''ty]])</f>
        <v>=F3030</v>
      </c>
    </row>
    <row r="3130" spans="1:8" ht="15" hidden="1" customHeight="1" x14ac:dyDescent="0.4">
      <c r="A3130" s="6">
        <v>2026</v>
      </c>
      <c r="B3130" s="6">
        <f t="shared" si="393"/>
        <v>32</v>
      </c>
      <c r="C3130" s="13" t="s">
        <v>26</v>
      </c>
      <c r="D3130" s="2" t="s">
        <v>6</v>
      </c>
      <c r="E3130" s="14" t="s">
        <v>10</v>
      </c>
      <c r="F3130" s="22">
        <f t="shared" si="399"/>
        <v>4</v>
      </c>
      <c r="H3130" s="5" t="str">
        <f ca="1">_xlfn.FORMULATEXT(표1[[#This Row],[Q''ty]])</f>
        <v>=F3031</v>
      </c>
    </row>
    <row r="3131" spans="1:8" ht="15" hidden="1" customHeight="1" x14ac:dyDescent="0.4">
      <c r="A3131" s="6">
        <v>2026</v>
      </c>
      <c r="B3131" s="6">
        <f t="shared" si="393"/>
        <v>32</v>
      </c>
      <c r="C3131" s="13" t="s">
        <v>26</v>
      </c>
      <c r="D3131" s="2" t="s">
        <v>6</v>
      </c>
      <c r="E3131" s="14" t="s">
        <v>11</v>
      </c>
      <c r="F3131" s="22">
        <f t="shared" si="399"/>
        <v>6</v>
      </c>
      <c r="H3131" s="5" t="str">
        <f ca="1">_xlfn.FORMULATEXT(표1[[#This Row],[Q''ty]])</f>
        <v>=F3032</v>
      </c>
    </row>
    <row r="3132" spans="1:8" ht="15" hidden="1" customHeight="1" x14ac:dyDescent="0.4">
      <c r="A3132" s="6">
        <v>2026</v>
      </c>
      <c r="B3132" s="6">
        <f t="shared" si="393"/>
        <v>32</v>
      </c>
      <c r="C3132" s="13" t="s">
        <v>26</v>
      </c>
      <c r="D3132" s="2" t="s">
        <v>12</v>
      </c>
      <c r="E3132" s="14" t="str">
        <f t="shared" ref="E3132:E3169" si="400">E3033</f>
        <v>BT GT</v>
      </c>
      <c r="F3132" s="22"/>
      <c r="H3132" s="5" t="e">
        <f ca="1">_xlfn.FORMULATEXT(표1[[#This Row],[Q''ty]])</f>
        <v>#N/A</v>
      </c>
    </row>
    <row r="3133" spans="1:8" ht="15" hidden="1" customHeight="1" x14ac:dyDescent="0.4">
      <c r="A3133" s="6">
        <v>2026</v>
      </c>
      <c r="B3133" s="6">
        <f t="shared" si="393"/>
        <v>32</v>
      </c>
      <c r="C3133" s="13" t="s">
        <v>26</v>
      </c>
      <c r="D3133" s="2" t="s">
        <v>12</v>
      </c>
      <c r="E3133" s="14" t="str">
        <f t="shared" si="400"/>
        <v>WT GT</v>
      </c>
      <c r="F3133" s="22"/>
      <c r="H3133" s="5" t="e">
        <f ca="1">_xlfn.FORMULATEXT(표1[[#This Row],[Q''ty]])</f>
        <v>#N/A</v>
      </c>
    </row>
    <row r="3134" spans="1:8" ht="15" hidden="1" customHeight="1" x14ac:dyDescent="0.4">
      <c r="A3134" s="6">
        <v>2026</v>
      </c>
      <c r="B3134" s="6">
        <f t="shared" si="393"/>
        <v>32</v>
      </c>
      <c r="C3134" s="13" t="s">
        <v>26</v>
      </c>
      <c r="D3134" s="2" t="s">
        <v>12</v>
      </c>
      <c r="E3134" s="14" t="str">
        <f t="shared" si="400"/>
        <v>Bending</v>
      </c>
      <c r="F3134" s="22"/>
      <c r="H3134" s="5" t="e">
        <f ca="1">_xlfn.FORMULATEXT(표1[[#This Row],[Q''ty]])</f>
        <v>#N/A</v>
      </c>
    </row>
    <row r="3135" spans="1:8" ht="15" hidden="1" customHeight="1" x14ac:dyDescent="0.4">
      <c r="A3135" s="6">
        <v>2026</v>
      </c>
      <c r="B3135" s="6">
        <f t="shared" si="393"/>
        <v>32</v>
      </c>
      <c r="C3135" s="13" t="s">
        <v>26</v>
      </c>
      <c r="D3135" s="2" t="s">
        <v>12</v>
      </c>
      <c r="E3135" s="14" t="str">
        <f t="shared" si="400"/>
        <v>L/W</v>
      </c>
      <c r="F3135" s="22"/>
      <c r="H3135" s="5" t="e">
        <f ca="1">_xlfn.FORMULATEXT(표1[[#This Row],[Q''ty]])</f>
        <v>#N/A</v>
      </c>
    </row>
    <row r="3136" spans="1:8" ht="15" hidden="1" customHeight="1" thickBot="1" x14ac:dyDescent="0.45">
      <c r="A3136" s="15">
        <v>2026</v>
      </c>
      <c r="B3136" s="15">
        <f t="shared" ref="B3136:B3169" si="401">B3037+1</f>
        <v>32</v>
      </c>
      <c r="C3136" s="16" t="s">
        <v>26</v>
      </c>
      <c r="D3136" s="17" t="s">
        <v>12</v>
      </c>
      <c r="E3136" s="18" t="str">
        <f t="shared" si="400"/>
        <v>C/W</v>
      </c>
      <c r="F3136" s="23"/>
      <c r="H3136" s="5" t="e">
        <f ca="1">_xlfn.FORMULATEXT(표1[[#This Row],[Q''ty]])</f>
        <v>#N/A</v>
      </c>
    </row>
    <row r="3137" spans="1:8" ht="15" hidden="1" customHeight="1" thickTop="1" x14ac:dyDescent="0.4">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hidden="1" customHeight="1" x14ac:dyDescent="0.4">
      <c r="A3138" s="6">
        <v>2026</v>
      </c>
      <c r="B3138" s="6">
        <f t="shared" si="401"/>
        <v>32</v>
      </c>
      <c r="C3138" s="13" t="s">
        <v>20</v>
      </c>
      <c r="D3138" s="2" t="s">
        <v>6</v>
      </c>
      <c r="E3138" s="14" t="str">
        <f t="shared" si="400"/>
        <v>Paint Booth</v>
      </c>
      <c r="F3138" s="22">
        <f t="shared" si="402"/>
        <v>16</v>
      </c>
      <c r="H3138" s="5" t="str">
        <f ca="1">_xlfn.FORMULATEXT(표1[[#This Row],[Q''ty]])</f>
        <v>=F3039</v>
      </c>
    </row>
    <row r="3139" spans="1:8" ht="15" hidden="1" customHeight="1" x14ac:dyDescent="0.4">
      <c r="A3139" s="6">
        <v>2026</v>
      </c>
      <c r="B3139" s="6">
        <f t="shared" si="401"/>
        <v>32</v>
      </c>
      <c r="C3139" s="13" t="s">
        <v>20</v>
      </c>
      <c r="D3139" s="2" t="s">
        <v>6</v>
      </c>
      <c r="E3139" s="14" t="str">
        <f t="shared" si="400"/>
        <v>Paint Line</v>
      </c>
      <c r="F3139" s="22">
        <f t="shared" si="402"/>
        <v>8</v>
      </c>
      <c r="H3139" s="5" t="str">
        <f ca="1">_xlfn.FORMULATEXT(표1[[#This Row],[Q''ty]])</f>
        <v>=F3040</v>
      </c>
    </row>
    <row r="3140" spans="1:8" ht="15" hidden="1" customHeight="1" x14ac:dyDescent="0.4">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hidden="1" customHeight="1" x14ac:dyDescent="0.4">
      <c r="A3141" s="6">
        <v>2026</v>
      </c>
      <c r="B3141" s="6">
        <f t="shared" si="401"/>
        <v>32</v>
      </c>
      <c r="C3141" s="13" t="s">
        <v>20</v>
      </c>
      <c r="D3141" s="2" t="s">
        <v>6</v>
      </c>
      <c r="E3141" s="14" t="str">
        <f t="shared" si="400"/>
        <v>L/W Machine</v>
      </c>
      <c r="F3141" s="22">
        <f t="shared" si="402"/>
        <v>11</v>
      </c>
      <c r="H3141" s="5" t="str">
        <f ca="1">_xlfn.FORMULATEXT(표1[[#This Row],[Q''ty]])</f>
        <v>=F3042</v>
      </c>
    </row>
    <row r="3142" spans="1:8" ht="15" hidden="1" customHeight="1" x14ac:dyDescent="0.4">
      <c r="A3142" s="6">
        <v>2026</v>
      </c>
      <c r="B3142" s="6">
        <f t="shared" si="401"/>
        <v>32</v>
      </c>
      <c r="C3142" s="13" t="s">
        <v>20</v>
      </c>
      <c r="D3142" s="2" t="s">
        <v>6</v>
      </c>
      <c r="E3142" s="14" t="str">
        <f t="shared" si="400"/>
        <v>C/W Machine</v>
      </c>
      <c r="F3142" s="22">
        <f t="shared" si="402"/>
        <v>15</v>
      </c>
      <c r="H3142" s="5" t="str">
        <f ca="1">_xlfn.FORMULATEXT(표1[[#This Row],[Q''ty]])</f>
        <v>=F3043</v>
      </c>
    </row>
    <row r="3143" spans="1:8" ht="15" hidden="1" customHeight="1" x14ac:dyDescent="0.4">
      <c r="A3143" s="6">
        <v>2026</v>
      </c>
      <c r="B3143" s="6">
        <f t="shared" si="401"/>
        <v>32</v>
      </c>
      <c r="C3143" s="13" t="s">
        <v>20</v>
      </c>
      <c r="D3143" s="2" t="s">
        <v>12</v>
      </c>
      <c r="E3143" s="14" t="str">
        <f t="shared" si="400"/>
        <v>BT GT</v>
      </c>
      <c r="F3143" s="22"/>
      <c r="H3143" s="5" t="e">
        <f ca="1">_xlfn.FORMULATEXT(표1[[#This Row],[Q''ty]])</f>
        <v>#N/A</v>
      </c>
    </row>
    <row r="3144" spans="1:8" ht="15" hidden="1" customHeight="1" x14ac:dyDescent="0.4">
      <c r="A3144" s="6">
        <v>2026</v>
      </c>
      <c r="B3144" s="6">
        <f t="shared" si="401"/>
        <v>32</v>
      </c>
      <c r="C3144" s="13" t="s">
        <v>20</v>
      </c>
      <c r="D3144" s="2" t="s">
        <v>12</v>
      </c>
      <c r="E3144" s="14" t="str">
        <f t="shared" si="400"/>
        <v>WT GT</v>
      </c>
      <c r="F3144" s="22"/>
      <c r="H3144" s="5" t="e">
        <f ca="1">_xlfn.FORMULATEXT(표1[[#This Row],[Q''ty]])</f>
        <v>#N/A</v>
      </c>
    </row>
    <row r="3145" spans="1:8" ht="15" hidden="1" customHeight="1" x14ac:dyDescent="0.4">
      <c r="A3145" s="6">
        <v>2026</v>
      </c>
      <c r="B3145" s="6">
        <f t="shared" si="401"/>
        <v>32</v>
      </c>
      <c r="C3145" s="13" t="s">
        <v>20</v>
      </c>
      <c r="D3145" s="2" t="s">
        <v>12</v>
      </c>
      <c r="E3145" s="14" t="str">
        <f t="shared" si="400"/>
        <v>Bending</v>
      </c>
      <c r="F3145" s="22"/>
      <c r="H3145" s="5" t="e">
        <f ca="1">_xlfn.FORMULATEXT(표1[[#This Row],[Q''ty]])</f>
        <v>#N/A</v>
      </c>
    </row>
    <row r="3146" spans="1:8" ht="15" hidden="1" customHeight="1" x14ac:dyDescent="0.4">
      <c r="A3146" s="6">
        <v>2026</v>
      </c>
      <c r="B3146" s="6">
        <f t="shared" si="401"/>
        <v>32</v>
      </c>
      <c r="C3146" s="13" t="s">
        <v>20</v>
      </c>
      <c r="D3146" s="2" t="s">
        <v>12</v>
      </c>
      <c r="E3146" s="14" t="str">
        <f t="shared" si="400"/>
        <v>L/W</v>
      </c>
      <c r="F3146" s="22"/>
      <c r="H3146" s="5" t="e">
        <f ca="1">_xlfn.FORMULATEXT(표1[[#This Row],[Q''ty]])</f>
        <v>#N/A</v>
      </c>
    </row>
    <row r="3147" spans="1:8" ht="15" hidden="1" customHeight="1" thickBot="1" x14ac:dyDescent="0.45">
      <c r="A3147" s="15">
        <v>2026</v>
      </c>
      <c r="B3147" s="15">
        <f t="shared" si="401"/>
        <v>32</v>
      </c>
      <c r="C3147" s="16" t="s">
        <v>20</v>
      </c>
      <c r="D3147" s="17" t="s">
        <v>12</v>
      </c>
      <c r="E3147" s="18" t="str">
        <f t="shared" si="400"/>
        <v>C/W</v>
      </c>
      <c r="F3147" s="23"/>
      <c r="H3147" s="5" t="e">
        <f ca="1">_xlfn.FORMULATEXT(표1[[#This Row],[Q''ty]])</f>
        <v>#N/A</v>
      </c>
    </row>
    <row r="3148" spans="1:8" ht="15" hidden="1" customHeight="1" thickTop="1" x14ac:dyDescent="0.4">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hidden="1" customHeight="1" x14ac:dyDescent="0.4">
      <c r="A3149" s="6">
        <v>2026</v>
      </c>
      <c r="B3149" s="6">
        <f t="shared" si="401"/>
        <v>32</v>
      </c>
      <c r="C3149" s="13" t="s">
        <v>21</v>
      </c>
      <c r="D3149" s="2" t="s">
        <v>6</v>
      </c>
      <c r="E3149" s="14" t="str">
        <f t="shared" si="400"/>
        <v>Paint Booth</v>
      </c>
      <c r="F3149" s="22">
        <f t="shared" si="403"/>
        <v>4</v>
      </c>
      <c r="H3149" s="5" t="str">
        <f ca="1">_xlfn.FORMULATEXT(표1[[#This Row],[Q''ty]])</f>
        <v>=F3050</v>
      </c>
    </row>
    <row r="3150" spans="1:8" ht="15" hidden="1" customHeight="1" x14ac:dyDescent="0.4">
      <c r="A3150" s="6">
        <v>2026</v>
      </c>
      <c r="B3150" s="6">
        <f t="shared" si="401"/>
        <v>32</v>
      </c>
      <c r="C3150" s="13" t="s">
        <v>21</v>
      </c>
      <c r="D3150" s="2" t="s">
        <v>6</v>
      </c>
      <c r="E3150" s="14" t="str">
        <f t="shared" si="400"/>
        <v>Paint Line</v>
      </c>
      <c r="F3150" s="22">
        <f t="shared" si="403"/>
        <v>4</v>
      </c>
      <c r="H3150" s="5" t="str">
        <f ca="1">_xlfn.FORMULATEXT(표1[[#This Row],[Q''ty]])</f>
        <v>=F3051</v>
      </c>
    </row>
    <row r="3151" spans="1:8" ht="15" hidden="1" customHeight="1" x14ac:dyDescent="0.4">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hidden="1" customHeight="1" x14ac:dyDescent="0.4">
      <c r="A3152" s="6">
        <v>2026</v>
      </c>
      <c r="B3152" s="6">
        <f t="shared" si="401"/>
        <v>32</v>
      </c>
      <c r="C3152" s="13" t="s">
        <v>21</v>
      </c>
      <c r="D3152" s="2" t="s">
        <v>6</v>
      </c>
      <c r="E3152" s="14" t="str">
        <f t="shared" si="400"/>
        <v>L/W Machine</v>
      </c>
      <c r="F3152" s="22">
        <f t="shared" si="403"/>
        <v>4</v>
      </c>
      <c r="H3152" s="5" t="str">
        <f ca="1">_xlfn.FORMULATEXT(표1[[#This Row],[Q''ty]])</f>
        <v>=F3053</v>
      </c>
    </row>
    <row r="3153" spans="1:8" ht="15" hidden="1" customHeight="1" x14ac:dyDescent="0.4">
      <c r="A3153" s="6">
        <v>2026</v>
      </c>
      <c r="B3153" s="6">
        <f t="shared" si="401"/>
        <v>32</v>
      </c>
      <c r="C3153" s="13" t="s">
        <v>21</v>
      </c>
      <c r="D3153" s="2" t="s">
        <v>6</v>
      </c>
      <c r="E3153" s="14" t="str">
        <f t="shared" si="400"/>
        <v>C/W Machine</v>
      </c>
      <c r="F3153" s="22">
        <f t="shared" si="403"/>
        <v>6.5</v>
      </c>
      <c r="H3153" s="5" t="str">
        <f ca="1">_xlfn.FORMULATEXT(표1[[#This Row],[Q''ty]])</f>
        <v>=F3054</v>
      </c>
    </row>
    <row r="3154" spans="1:8" ht="15" hidden="1" customHeight="1" x14ac:dyDescent="0.4">
      <c r="A3154" s="6">
        <v>2026</v>
      </c>
      <c r="B3154" s="6">
        <f t="shared" si="401"/>
        <v>32</v>
      </c>
      <c r="C3154" s="13" t="s">
        <v>21</v>
      </c>
      <c r="D3154" s="2" t="s">
        <v>12</v>
      </c>
      <c r="E3154" s="14" t="str">
        <f t="shared" si="400"/>
        <v>BT GT</v>
      </c>
      <c r="F3154" s="22"/>
      <c r="H3154" s="5" t="e">
        <f ca="1">_xlfn.FORMULATEXT(표1[[#This Row],[Q''ty]])</f>
        <v>#N/A</v>
      </c>
    </row>
    <row r="3155" spans="1:8" ht="15" hidden="1" customHeight="1" x14ac:dyDescent="0.4">
      <c r="A3155" s="6">
        <v>2026</v>
      </c>
      <c r="B3155" s="6">
        <f t="shared" si="401"/>
        <v>32</v>
      </c>
      <c r="C3155" s="13" t="s">
        <v>21</v>
      </c>
      <c r="D3155" s="2" t="s">
        <v>12</v>
      </c>
      <c r="E3155" s="14" t="str">
        <f t="shared" si="400"/>
        <v>WT GT</v>
      </c>
      <c r="F3155" s="22"/>
      <c r="H3155" s="5" t="e">
        <f ca="1">_xlfn.FORMULATEXT(표1[[#This Row],[Q''ty]])</f>
        <v>#N/A</v>
      </c>
    </row>
    <row r="3156" spans="1:8" ht="15" hidden="1" customHeight="1" x14ac:dyDescent="0.4">
      <c r="A3156" s="6">
        <v>2026</v>
      </c>
      <c r="B3156" s="6">
        <f t="shared" si="401"/>
        <v>32</v>
      </c>
      <c r="C3156" s="13" t="s">
        <v>21</v>
      </c>
      <c r="D3156" s="2" t="s">
        <v>12</v>
      </c>
      <c r="E3156" s="14" t="str">
        <f t="shared" si="400"/>
        <v>Bending</v>
      </c>
      <c r="F3156" s="22"/>
      <c r="H3156" s="5" t="e">
        <f ca="1">_xlfn.FORMULATEXT(표1[[#This Row],[Q''ty]])</f>
        <v>#N/A</v>
      </c>
    </row>
    <row r="3157" spans="1:8" ht="15" hidden="1" customHeight="1" x14ac:dyDescent="0.4">
      <c r="A3157" s="6">
        <v>2026</v>
      </c>
      <c r="B3157" s="6">
        <f t="shared" si="401"/>
        <v>32</v>
      </c>
      <c r="C3157" s="13" t="s">
        <v>21</v>
      </c>
      <c r="D3157" s="2" t="s">
        <v>12</v>
      </c>
      <c r="E3157" s="14" t="str">
        <f t="shared" si="400"/>
        <v>L/W</v>
      </c>
      <c r="F3157" s="22"/>
      <c r="H3157" s="5" t="e">
        <f ca="1">_xlfn.FORMULATEXT(표1[[#This Row],[Q''ty]])</f>
        <v>#N/A</v>
      </c>
    </row>
    <row r="3158" spans="1:8" ht="15" hidden="1" customHeight="1" thickBot="1" x14ac:dyDescent="0.45">
      <c r="A3158" s="15">
        <v>2026</v>
      </c>
      <c r="B3158" s="15">
        <f t="shared" si="401"/>
        <v>32</v>
      </c>
      <c r="C3158" s="16" t="s">
        <v>21</v>
      </c>
      <c r="D3158" s="17" t="s">
        <v>12</v>
      </c>
      <c r="E3158" s="18" t="str">
        <f t="shared" si="400"/>
        <v>C/W</v>
      </c>
      <c r="F3158" s="23"/>
      <c r="H3158" s="5" t="e">
        <f ca="1">_xlfn.FORMULATEXT(표1[[#This Row],[Q''ty]])</f>
        <v>#N/A</v>
      </c>
    </row>
    <row r="3159" spans="1:8" ht="15" hidden="1" customHeight="1" thickTop="1" x14ac:dyDescent="0.4">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hidden="1" customHeight="1" x14ac:dyDescent="0.4">
      <c r="A3160" s="6">
        <v>2026</v>
      </c>
      <c r="B3160" s="6">
        <f t="shared" si="401"/>
        <v>32</v>
      </c>
      <c r="C3160" s="13" t="s">
        <v>22</v>
      </c>
      <c r="D3160" s="2" t="s">
        <v>6</v>
      </c>
      <c r="E3160" s="14" t="str">
        <f t="shared" si="400"/>
        <v>Paint Booth</v>
      </c>
      <c r="F3160" s="22">
        <f t="shared" si="404"/>
        <v>6</v>
      </c>
      <c r="H3160" s="5" t="str">
        <f ca="1">_xlfn.FORMULATEXT(표1[[#This Row],[Q''ty]])</f>
        <v>=F3061</v>
      </c>
    </row>
    <row r="3161" spans="1:8" ht="15" hidden="1" customHeight="1" x14ac:dyDescent="0.4">
      <c r="A3161" s="6">
        <v>2026</v>
      </c>
      <c r="B3161" s="6">
        <f t="shared" si="401"/>
        <v>32</v>
      </c>
      <c r="C3161" s="13" t="s">
        <v>22</v>
      </c>
      <c r="D3161" s="2" t="s">
        <v>6</v>
      </c>
      <c r="E3161" s="14" t="str">
        <f t="shared" si="400"/>
        <v>Paint Line</v>
      </c>
      <c r="F3161" s="22">
        <f t="shared" si="404"/>
        <v>4</v>
      </c>
      <c r="H3161" s="5" t="str">
        <f ca="1">_xlfn.FORMULATEXT(표1[[#This Row],[Q''ty]])</f>
        <v>=F3062</v>
      </c>
    </row>
    <row r="3162" spans="1:8" ht="15" hidden="1" customHeight="1" x14ac:dyDescent="0.4">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hidden="1" customHeight="1" x14ac:dyDescent="0.4">
      <c r="A3163" s="6">
        <v>2026</v>
      </c>
      <c r="B3163" s="6">
        <f t="shared" si="401"/>
        <v>32</v>
      </c>
      <c r="C3163" s="13" t="s">
        <v>22</v>
      </c>
      <c r="D3163" s="2" t="s">
        <v>6</v>
      </c>
      <c r="E3163" s="14" t="str">
        <f t="shared" si="400"/>
        <v>L/W Machine</v>
      </c>
      <c r="F3163" s="22">
        <f t="shared" si="404"/>
        <v>7</v>
      </c>
      <c r="H3163" s="5" t="str">
        <f ca="1">_xlfn.FORMULATEXT(표1[[#This Row],[Q''ty]])</f>
        <v>=F3064</v>
      </c>
    </row>
    <row r="3164" spans="1:8" ht="15" hidden="1" customHeight="1" x14ac:dyDescent="0.4">
      <c r="A3164" s="6">
        <v>2026</v>
      </c>
      <c r="B3164" s="6">
        <f t="shared" si="401"/>
        <v>32</v>
      </c>
      <c r="C3164" s="13" t="s">
        <v>22</v>
      </c>
      <c r="D3164" s="2" t="s">
        <v>6</v>
      </c>
      <c r="E3164" s="14" t="str">
        <f t="shared" si="400"/>
        <v>C/W Machine</v>
      </c>
      <c r="F3164" s="22">
        <f t="shared" si="404"/>
        <v>12.5</v>
      </c>
      <c r="H3164" s="5" t="str">
        <f ca="1">_xlfn.FORMULATEXT(표1[[#This Row],[Q''ty]])</f>
        <v>=F3065</v>
      </c>
    </row>
    <row r="3165" spans="1:8" ht="15" hidden="1" customHeight="1" x14ac:dyDescent="0.4">
      <c r="A3165" s="6">
        <v>2026</v>
      </c>
      <c r="B3165" s="6">
        <f t="shared" si="401"/>
        <v>32</v>
      </c>
      <c r="C3165" s="13" t="s">
        <v>22</v>
      </c>
      <c r="D3165" s="2" t="s">
        <v>12</v>
      </c>
      <c r="E3165" s="14" t="str">
        <f t="shared" si="400"/>
        <v>BT GT</v>
      </c>
      <c r="F3165" s="22"/>
      <c r="H3165" s="5" t="e">
        <f ca="1">_xlfn.FORMULATEXT(표1[[#This Row],[Q''ty]])</f>
        <v>#N/A</v>
      </c>
    </row>
    <row r="3166" spans="1:8" ht="15" hidden="1" customHeight="1" x14ac:dyDescent="0.4">
      <c r="A3166" s="6">
        <v>2026</v>
      </c>
      <c r="B3166" s="6">
        <f t="shared" si="401"/>
        <v>32</v>
      </c>
      <c r="C3166" s="13" t="s">
        <v>22</v>
      </c>
      <c r="D3166" s="2" t="s">
        <v>12</v>
      </c>
      <c r="E3166" s="14" t="str">
        <f t="shared" si="400"/>
        <v>WT GT</v>
      </c>
      <c r="F3166" s="22"/>
      <c r="H3166" s="5" t="e">
        <f ca="1">_xlfn.FORMULATEXT(표1[[#This Row],[Q''ty]])</f>
        <v>#N/A</v>
      </c>
    </row>
    <row r="3167" spans="1:8" ht="15" hidden="1" customHeight="1" x14ac:dyDescent="0.4">
      <c r="A3167" s="6">
        <v>2026</v>
      </c>
      <c r="B3167" s="6">
        <f t="shared" si="401"/>
        <v>32</v>
      </c>
      <c r="C3167" s="13" t="s">
        <v>22</v>
      </c>
      <c r="D3167" s="2" t="s">
        <v>12</v>
      </c>
      <c r="E3167" s="14" t="str">
        <f t="shared" si="400"/>
        <v>Bending</v>
      </c>
      <c r="F3167" s="22"/>
      <c r="H3167" s="5" t="e">
        <f ca="1">_xlfn.FORMULATEXT(표1[[#This Row],[Q''ty]])</f>
        <v>#N/A</v>
      </c>
    </row>
    <row r="3168" spans="1:8" ht="15" hidden="1" customHeight="1" x14ac:dyDescent="0.4">
      <c r="A3168" s="6">
        <v>2026</v>
      </c>
      <c r="B3168" s="6">
        <f t="shared" si="401"/>
        <v>32</v>
      </c>
      <c r="C3168" s="13" t="s">
        <v>22</v>
      </c>
      <c r="D3168" s="2" t="s">
        <v>12</v>
      </c>
      <c r="E3168" s="14" t="str">
        <f t="shared" si="400"/>
        <v>L/W</v>
      </c>
      <c r="F3168" s="22"/>
      <c r="H3168" s="5" t="e">
        <f ca="1">_xlfn.FORMULATEXT(표1[[#This Row],[Q''ty]])</f>
        <v>#N/A</v>
      </c>
    </row>
    <row r="3169" spans="1:10" ht="15" hidden="1" customHeight="1" thickBot="1" x14ac:dyDescent="0.45">
      <c r="A3169" s="6">
        <v>2026</v>
      </c>
      <c r="B3169" s="6">
        <f t="shared" si="401"/>
        <v>32</v>
      </c>
      <c r="C3169" s="13" t="s">
        <v>22</v>
      </c>
      <c r="D3169" s="2" t="s">
        <v>12</v>
      </c>
      <c r="E3169" s="14" t="str">
        <f t="shared" si="400"/>
        <v>C/W</v>
      </c>
      <c r="F3169" s="22"/>
      <c r="H3169" s="5" t="e">
        <f ca="1">_xlfn.FORMULATEXT(표1[[#This Row],[Q''ty]])</f>
        <v>#N/A</v>
      </c>
    </row>
    <row r="3170" spans="1:10" ht="15" hidden="1" customHeight="1" thickTop="1" x14ac:dyDescent="0.4">
      <c r="A3170" s="9">
        <v>2026</v>
      </c>
      <c r="B3170" s="9">
        <f>B3071+1</f>
        <v>33</v>
      </c>
      <c r="C3170" s="10" t="s">
        <v>28</v>
      </c>
      <c r="D3170" s="11" t="s">
        <v>6</v>
      </c>
      <c r="E3170" s="12" t="s">
        <v>7</v>
      </c>
      <c r="F3170" s="21">
        <f t="shared" ref="F3170:F3175" si="405">F3071</f>
        <v>15</v>
      </c>
      <c r="H3170" s="5" t="str">
        <f ca="1">_xlfn.FORMULATEXT(표1[[#This Row],[Q''ty]])</f>
        <v>=F3071</v>
      </c>
    </row>
    <row r="3171" spans="1:10" s="2" customFormat="1" ht="15" hidden="1" customHeight="1" x14ac:dyDescent="0.4">
      <c r="A3171" s="6">
        <v>2026</v>
      </c>
      <c r="B3171" s="6">
        <f t="shared" ref="B3171:B3234" si="406">B3072+1</f>
        <v>33</v>
      </c>
      <c r="C3171" s="13" t="s">
        <v>23</v>
      </c>
      <c r="D3171" s="2" t="s">
        <v>6</v>
      </c>
      <c r="E3171" s="14" t="s">
        <v>8</v>
      </c>
      <c r="F3171" s="22">
        <f t="shared" si="405"/>
        <v>10</v>
      </c>
      <c r="H3171" s="5" t="str">
        <f ca="1">_xlfn.FORMULATEXT(표1[[#This Row],[Q''ty]])</f>
        <v>=F3072</v>
      </c>
      <c r="I3171" s="26"/>
      <c r="J3171" s="26"/>
    </row>
    <row r="3172" spans="1:10" s="2" customFormat="1" ht="15" hidden="1" customHeight="1" x14ac:dyDescent="0.4">
      <c r="A3172" s="6">
        <v>2026</v>
      </c>
      <c r="B3172" s="6">
        <f t="shared" si="406"/>
        <v>33</v>
      </c>
      <c r="C3172" s="13" t="s">
        <v>23</v>
      </c>
      <c r="D3172" s="2" t="s">
        <v>6</v>
      </c>
      <c r="E3172" s="14" t="s">
        <v>9</v>
      </c>
      <c r="F3172" s="22">
        <f t="shared" si="405"/>
        <v>5</v>
      </c>
      <c r="H3172" s="5" t="str">
        <f ca="1">_xlfn.FORMULATEXT(표1[[#This Row],[Q''ty]])</f>
        <v>=F3073</v>
      </c>
      <c r="I3172" s="26"/>
      <c r="J3172" s="26"/>
    </row>
    <row r="3173" spans="1:10" ht="15" hidden="1" customHeight="1" x14ac:dyDescent="0.4">
      <c r="A3173" s="6">
        <v>2026</v>
      </c>
      <c r="B3173" s="6">
        <f t="shared" si="406"/>
        <v>33</v>
      </c>
      <c r="C3173" s="13" t="s">
        <v>23</v>
      </c>
      <c r="D3173" s="2" t="s">
        <v>6</v>
      </c>
      <c r="E3173" s="14" t="s">
        <v>27</v>
      </c>
      <c r="F3173" s="22">
        <f t="shared" si="405"/>
        <v>6</v>
      </c>
      <c r="H3173" s="5" t="str">
        <f ca="1">_xlfn.FORMULATEXT(표1[[#This Row],[Q''ty]])</f>
        <v>=F3074</v>
      </c>
    </row>
    <row r="3174" spans="1:10" ht="15" hidden="1" customHeight="1" x14ac:dyDescent="0.4">
      <c r="A3174" s="6">
        <v>2026</v>
      </c>
      <c r="B3174" s="6">
        <f t="shared" si="406"/>
        <v>33</v>
      </c>
      <c r="C3174" s="13" t="s">
        <v>23</v>
      </c>
      <c r="D3174" s="2" t="s">
        <v>6</v>
      </c>
      <c r="E3174" s="14" t="s">
        <v>10</v>
      </c>
      <c r="F3174" s="22">
        <f t="shared" si="405"/>
        <v>10</v>
      </c>
      <c r="H3174" s="5" t="str">
        <f ca="1">_xlfn.FORMULATEXT(표1[[#This Row],[Q''ty]])</f>
        <v>=F3075</v>
      </c>
    </row>
    <row r="3175" spans="1:10" ht="15" hidden="1" customHeight="1" x14ac:dyDescent="0.4">
      <c r="A3175" s="6">
        <v>2026</v>
      </c>
      <c r="B3175" s="6">
        <f t="shared" si="406"/>
        <v>33</v>
      </c>
      <c r="C3175" s="13" t="s">
        <v>23</v>
      </c>
      <c r="D3175" s="2" t="s">
        <v>6</v>
      </c>
      <c r="E3175" s="14" t="s">
        <v>11</v>
      </c>
      <c r="F3175" s="22">
        <f t="shared" si="405"/>
        <v>10</v>
      </c>
      <c r="H3175" s="5" t="str">
        <f ca="1">_xlfn.FORMULATEXT(표1[[#This Row],[Q''ty]])</f>
        <v>=F3076</v>
      </c>
    </row>
    <row r="3176" spans="1:10" ht="15" hidden="1" customHeight="1" x14ac:dyDescent="0.4">
      <c r="A3176" s="6">
        <v>2026</v>
      </c>
      <c r="B3176" s="6">
        <f t="shared" si="406"/>
        <v>33</v>
      </c>
      <c r="C3176" s="13" t="s">
        <v>23</v>
      </c>
      <c r="D3176" s="2" t="s">
        <v>12</v>
      </c>
      <c r="E3176" s="14" t="s">
        <v>13</v>
      </c>
      <c r="F3176" s="22"/>
      <c r="H3176" s="5" t="e">
        <f ca="1">_xlfn.FORMULATEXT(표1[[#This Row],[Q''ty]])</f>
        <v>#N/A</v>
      </c>
    </row>
    <row r="3177" spans="1:10" s="2" customFormat="1" ht="15" hidden="1" customHeight="1" x14ac:dyDescent="0.4">
      <c r="A3177" s="6">
        <v>2026</v>
      </c>
      <c r="B3177" s="6">
        <f t="shared" si="406"/>
        <v>33</v>
      </c>
      <c r="C3177" s="13" t="s">
        <v>23</v>
      </c>
      <c r="D3177" s="2" t="s">
        <v>12</v>
      </c>
      <c r="E3177" s="14" t="s">
        <v>14</v>
      </c>
      <c r="F3177" s="22"/>
      <c r="H3177" s="5" t="e">
        <f ca="1">_xlfn.FORMULATEXT(표1[[#This Row],[Q''ty]])</f>
        <v>#N/A</v>
      </c>
      <c r="I3177" s="26"/>
      <c r="J3177" s="26"/>
    </row>
    <row r="3178" spans="1:10" ht="15" hidden="1" customHeight="1" x14ac:dyDescent="0.4">
      <c r="A3178" s="6">
        <v>2026</v>
      </c>
      <c r="B3178" s="6">
        <f t="shared" si="406"/>
        <v>33</v>
      </c>
      <c r="C3178" s="13" t="s">
        <v>23</v>
      </c>
      <c r="D3178" s="2" t="s">
        <v>12</v>
      </c>
      <c r="E3178" s="14" t="s">
        <v>15</v>
      </c>
      <c r="F3178" s="22"/>
      <c r="H3178" s="5" t="e">
        <f ca="1">_xlfn.FORMULATEXT(표1[[#This Row],[Q''ty]])</f>
        <v>#N/A</v>
      </c>
    </row>
    <row r="3179" spans="1:10" ht="15" hidden="1" customHeight="1" x14ac:dyDescent="0.4">
      <c r="A3179" s="6">
        <v>2026</v>
      </c>
      <c r="B3179" s="6">
        <f t="shared" si="406"/>
        <v>33</v>
      </c>
      <c r="C3179" s="13" t="s">
        <v>23</v>
      </c>
      <c r="D3179" s="2" t="s">
        <v>12</v>
      </c>
      <c r="E3179" s="14" t="s">
        <v>16</v>
      </c>
      <c r="F3179" s="22"/>
      <c r="H3179" s="5" t="e">
        <f ca="1">_xlfn.FORMULATEXT(표1[[#This Row],[Q''ty]])</f>
        <v>#N/A</v>
      </c>
    </row>
    <row r="3180" spans="1:10" ht="15" hidden="1" customHeight="1" thickBot="1" x14ac:dyDescent="0.45">
      <c r="A3180" s="15">
        <v>2026</v>
      </c>
      <c r="B3180" s="15">
        <f t="shared" si="406"/>
        <v>33</v>
      </c>
      <c r="C3180" s="16" t="s">
        <v>23</v>
      </c>
      <c r="D3180" s="17" t="s">
        <v>12</v>
      </c>
      <c r="E3180" s="18" t="s">
        <v>17</v>
      </c>
      <c r="F3180" s="23"/>
      <c r="H3180" s="5" t="e">
        <f ca="1">_xlfn.FORMULATEXT(표1[[#This Row],[Q''ty]])</f>
        <v>#N/A</v>
      </c>
    </row>
    <row r="3181" spans="1:10" ht="15" hidden="1" customHeight="1" thickTop="1" x14ac:dyDescent="0.4">
      <c r="A3181" s="9">
        <v>2026</v>
      </c>
      <c r="B3181" s="9">
        <f t="shared" si="406"/>
        <v>33</v>
      </c>
      <c r="C3181" s="10" t="s">
        <v>29</v>
      </c>
      <c r="D3181" s="11" t="s">
        <v>6</v>
      </c>
      <c r="E3181" s="12" t="s">
        <v>7</v>
      </c>
      <c r="F3181" s="21">
        <f t="shared" ref="F3181:F3186" si="407">F3082</f>
        <v>14</v>
      </c>
      <c r="H3181" s="5" t="str">
        <f ca="1">_xlfn.FORMULATEXT(표1[[#This Row],[Q''ty]])</f>
        <v>=F3082</v>
      </c>
    </row>
    <row r="3182" spans="1:10" s="2" customFormat="1" ht="15" hidden="1" customHeight="1" x14ac:dyDescent="0.4">
      <c r="A3182" s="6">
        <v>2026</v>
      </c>
      <c r="B3182" s="6">
        <f t="shared" si="406"/>
        <v>33</v>
      </c>
      <c r="C3182" s="13" t="s">
        <v>24</v>
      </c>
      <c r="D3182" s="2" t="s">
        <v>6</v>
      </c>
      <c r="E3182" s="14" t="s">
        <v>8</v>
      </c>
      <c r="F3182" s="22">
        <f t="shared" si="407"/>
        <v>8</v>
      </c>
      <c r="H3182" s="5" t="str">
        <f ca="1">_xlfn.FORMULATEXT(표1[[#This Row],[Q''ty]])</f>
        <v>=F3083</v>
      </c>
      <c r="I3182" s="26"/>
      <c r="J3182" s="26"/>
    </row>
    <row r="3183" spans="1:10" s="2" customFormat="1" ht="15" hidden="1" customHeight="1" x14ac:dyDescent="0.4">
      <c r="A3183" s="6">
        <v>2026</v>
      </c>
      <c r="B3183" s="6">
        <f t="shared" si="406"/>
        <v>33</v>
      </c>
      <c r="C3183" s="13" t="s">
        <v>24</v>
      </c>
      <c r="D3183" s="2" t="s">
        <v>6</v>
      </c>
      <c r="E3183" s="14" t="s">
        <v>9</v>
      </c>
      <c r="F3183" s="22">
        <f t="shared" si="407"/>
        <v>4</v>
      </c>
      <c r="H3183" s="5" t="str">
        <f ca="1">_xlfn.FORMULATEXT(표1[[#This Row],[Q''ty]])</f>
        <v>=F3084</v>
      </c>
      <c r="I3183" s="26"/>
      <c r="J3183" s="26"/>
    </row>
    <row r="3184" spans="1:10" ht="15" hidden="1" customHeight="1" x14ac:dyDescent="0.4">
      <c r="A3184" s="6">
        <v>2026</v>
      </c>
      <c r="B3184" s="6">
        <f t="shared" si="406"/>
        <v>33</v>
      </c>
      <c r="C3184" s="13" t="s">
        <v>24</v>
      </c>
      <c r="D3184" s="2" t="s">
        <v>6</v>
      </c>
      <c r="E3184" s="14" t="s">
        <v>27</v>
      </c>
      <c r="F3184" s="22">
        <f t="shared" si="407"/>
        <v>3</v>
      </c>
      <c r="H3184" s="5" t="str">
        <f ca="1">_xlfn.FORMULATEXT(표1[[#This Row],[Q''ty]])</f>
        <v>=F3085</v>
      </c>
    </row>
    <row r="3185" spans="1:10" ht="15" hidden="1" customHeight="1" x14ac:dyDescent="0.4">
      <c r="A3185" s="6">
        <v>2026</v>
      </c>
      <c r="B3185" s="6">
        <f t="shared" si="406"/>
        <v>33</v>
      </c>
      <c r="C3185" s="13" t="s">
        <v>24</v>
      </c>
      <c r="D3185" s="2" t="s">
        <v>6</v>
      </c>
      <c r="E3185" s="14" t="s">
        <v>10</v>
      </c>
      <c r="F3185" s="22">
        <f t="shared" si="407"/>
        <v>6</v>
      </c>
      <c r="H3185" s="5" t="str">
        <f ca="1">_xlfn.FORMULATEXT(표1[[#This Row],[Q''ty]])</f>
        <v>=F3086</v>
      </c>
    </row>
    <row r="3186" spans="1:10" ht="15" hidden="1" customHeight="1" x14ac:dyDescent="0.4">
      <c r="A3186" s="6">
        <v>2026</v>
      </c>
      <c r="B3186" s="6">
        <f t="shared" si="406"/>
        <v>33</v>
      </c>
      <c r="C3186" s="13" t="s">
        <v>24</v>
      </c>
      <c r="D3186" s="2" t="s">
        <v>6</v>
      </c>
      <c r="E3186" s="14" t="s">
        <v>11</v>
      </c>
      <c r="F3186" s="22">
        <f t="shared" si="407"/>
        <v>8.8000000000000007</v>
      </c>
      <c r="H3186" s="5" t="str">
        <f ca="1">_xlfn.FORMULATEXT(표1[[#This Row],[Q''ty]])</f>
        <v>=F3087</v>
      </c>
    </row>
    <row r="3187" spans="1:10" ht="15" hidden="1" customHeight="1" x14ac:dyDescent="0.4">
      <c r="A3187" s="6">
        <v>2026</v>
      </c>
      <c r="B3187" s="6">
        <f t="shared" si="406"/>
        <v>33</v>
      </c>
      <c r="C3187" s="13" t="s">
        <v>24</v>
      </c>
      <c r="D3187" s="2" t="s">
        <v>12</v>
      </c>
      <c r="E3187" s="14" t="s">
        <v>13</v>
      </c>
      <c r="F3187" s="22"/>
      <c r="H3187" s="5" t="e">
        <f ca="1">_xlfn.FORMULATEXT(표1[[#This Row],[Q''ty]])</f>
        <v>#N/A</v>
      </c>
    </row>
    <row r="3188" spans="1:10" s="2" customFormat="1" ht="15" hidden="1" customHeight="1" x14ac:dyDescent="0.4">
      <c r="A3188" s="6">
        <v>2026</v>
      </c>
      <c r="B3188" s="6">
        <f t="shared" si="406"/>
        <v>33</v>
      </c>
      <c r="C3188" s="13" t="s">
        <v>24</v>
      </c>
      <c r="D3188" s="2" t="s">
        <v>12</v>
      </c>
      <c r="E3188" s="14" t="s">
        <v>14</v>
      </c>
      <c r="F3188" s="22"/>
      <c r="H3188" s="5" t="e">
        <f ca="1">_xlfn.FORMULATEXT(표1[[#This Row],[Q''ty]])</f>
        <v>#N/A</v>
      </c>
      <c r="I3188" s="26"/>
      <c r="J3188" s="26"/>
    </row>
    <row r="3189" spans="1:10" ht="15" hidden="1" customHeight="1" x14ac:dyDescent="0.4">
      <c r="A3189" s="6">
        <v>2026</v>
      </c>
      <c r="B3189" s="6">
        <f t="shared" si="406"/>
        <v>33</v>
      </c>
      <c r="C3189" s="13" t="s">
        <v>24</v>
      </c>
      <c r="D3189" s="2" t="s">
        <v>12</v>
      </c>
      <c r="E3189" s="14" t="s">
        <v>15</v>
      </c>
      <c r="F3189" s="22"/>
      <c r="H3189" s="5" t="e">
        <f ca="1">_xlfn.FORMULATEXT(표1[[#This Row],[Q''ty]])</f>
        <v>#N/A</v>
      </c>
    </row>
    <row r="3190" spans="1:10" ht="15" hidden="1" customHeight="1" x14ac:dyDescent="0.4">
      <c r="A3190" s="6">
        <v>2026</v>
      </c>
      <c r="B3190" s="6">
        <f t="shared" si="406"/>
        <v>33</v>
      </c>
      <c r="C3190" s="13" t="s">
        <v>24</v>
      </c>
      <c r="D3190" s="2" t="s">
        <v>12</v>
      </c>
      <c r="E3190" s="14" t="s">
        <v>16</v>
      </c>
      <c r="F3190" s="22"/>
      <c r="H3190" s="5" t="e">
        <f ca="1">_xlfn.FORMULATEXT(표1[[#This Row],[Q''ty]])</f>
        <v>#N/A</v>
      </c>
    </row>
    <row r="3191" spans="1:10" ht="15" hidden="1" customHeight="1" thickBot="1" x14ac:dyDescent="0.45">
      <c r="A3191" s="15">
        <v>2026</v>
      </c>
      <c r="B3191" s="15">
        <f t="shared" si="406"/>
        <v>33</v>
      </c>
      <c r="C3191" s="16" t="s">
        <v>24</v>
      </c>
      <c r="D3191" s="17" t="s">
        <v>12</v>
      </c>
      <c r="E3191" s="18" t="s">
        <v>17</v>
      </c>
      <c r="F3191" s="23"/>
      <c r="H3191" s="5" t="e">
        <f ca="1">_xlfn.FORMULATEXT(표1[[#This Row],[Q''ty]])</f>
        <v>#N/A</v>
      </c>
    </row>
    <row r="3192" spans="1:10" ht="15" hidden="1" customHeight="1" thickTop="1" x14ac:dyDescent="0.4">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10" ht="15" hidden="1" customHeight="1" x14ac:dyDescent="0.4">
      <c r="A3193" s="6">
        <v>2026</v>
      </c>
      <c r="B3193" s="6">
        <f t="shared" si="406"/>
        <v>33</v>
      </c>
      <c r="C3193" s="13" t="s">
        <v>18</v>
      </c>
      <c r="D3193" s="2" t="s">
        <v>6</v>
      </c>
      <c r="E3193" s="14" t="str">
        <f t="shared" si="408"/>
        <v>Paint Booth</v>
      </c>
      <c r="F3193" s="22">
        <f t="shared" si="408"/>
        <v>3</v>
      </c>
      <c r="H3193" s="5" t="str">
        <f ca="1">_xlfn.FORMULATEXT(표1[[#This Row],[Q''ty]])</f>
        <v>=F3094</v>
      </c>
    </row>
    <row r="3194" spans="1:10" ht="15" hidden="1" customHeight="1" x14ac:dyDescent="0.4">
      <c r="A3194" s="6">
        <v>2026</v>
      </c>
      <c r="B3194" s="6">
        <f t="shared" si="406"/>
        <v>33</v>
      </c>
      <c r="C3194" s="13" t="s">
        <v>18</v>
      </c>
      <c r="D3194" s="2" t="s">
        <v>6</v>
      </c>
      <c r="E3194" s="14" t="str">
        <f t="shared" si="408"/>
        <v>Paint Line</v>
      </c>
      <c r="F3194" s="22">
        <f t="shared" si="408"/>
        <v>2</v>
      </c>
      <c r="H3194" s="5" t="str">
        <f ca="1">_xlfn.FORMULATEXT(표1[[#This Row],[Q''ty]])</f>
        <v>=F3095</v>
      </c>
    </row>
    <row r="3195" spans="1:10" ht="15" hidden="1" customHeight="1" x14ac:dyDescent="0.4">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10" ht="15" hidden="1" customHeight="1" x14ac:dyDescent="0.4">
      <c r="A3196" s="6">
        <v>2026</v>
      </c>
      <c r="B3196" s="6">
        <f t="shared" si="406"/>
        <v>33</v>
      </c>
      <c r="C3196" s="13" t="s">
        <v>18</v>
      </c>
      <c r="D3196" s="2" t="s">
        <v>6</v>
      </c>
      <c r="E3196" s="14" t="str">
        <f t="shared" si="408"/>
        <v>L/W Machine</v>
      </c>
      <c r="F3196" s="22">
        <f t="shared" si="408"/>
        <v>2</v>
      </c>
      <c r="H3196" s="5" t="str">
        <f ca="1">_xlfn.FORMULATEXT(표1[[#This Row],[Q''ty]])</f>
        <v>=F3097</v>
      </c>
    </row>
    <row r="3197" spans="1:10" ht="15" hidden="1" customHeight="1" x14ac:dyDescent="0.4">
      <c r="A3197" s="6">
        <v>2026</v>
      </c>
      <c r="B3197" s="6">
        <f t="shared" si="406"/>
        <v>33</v>
      </c>
      <c r="C3197" s="13" t="s">
        <v>18</v>
      </c>
      <c r="D3197" s="2" t="s">
        <v>6</v>
      </c>
      <c r="E3197" s="14" t="str">
        <f t="shared" si="408"/>
        <v>C/W Machine</v>
      </c>
      <c r="F3197" s="22">
        <f t="shared" si="408"/>
        <v>3</v>
      </c>
      <c r="H3197" s="5" t="str">
        <f ca="1">_xlfn.FORMULATEXT(표1[[#This Row],[Q''ty]])</f>
        <v>=F3098</v>
      </c>
    </row>
    <row r="3198" spans="1:10" ht="15" hidden="1" customHeight="1" x14ac:dyDescent="0.4">
      <c r="A3198" s="6">
        <v>2026</v>
      </c>
      <c r="B3198" s="6">
        <f t="shared" si="406"/>
        <v>33</v>
      </c>
      <c r="C3198" s="13" t="s">
        <v>18</v>
      </c>
      <c r="D3198" s="2" t="s">
        <v>12</v>
      </c>
      <c r="E3198" s="14" t="str">
        <f t="shared" ref="E3198:E3213" si="409">E3099</f>
        <v>BT GT</v>
      </c>
      <c r="F3198" s="22"/>
      <c r="H3198" s="5" t="e">
        <f ca="1">_xlfn.FORMULATEXT(표1[[#This Row],[Q''ty]])</f>
        <v>#N/A</v>
      </c>
    </row>
    <row r="3199" spans="1:10" ht="15" hidden="1" customHeight="1" x14ac:dyDescent="0.4">
      <c r="A3199" s="6">
        <v>2026</v>
      </c>
      <c r="B3199" s="6">
        <f t="shared" si="406"/>
        <v>33</v>
      </c>
      <c r="C3199" s="13" t="s">
        <v>18</v>
      </c>
      <c r="D3199" s="2" t="s">
        <v>12</v>
      </c>
      <c r="E3199" s="14" t="str">
        <f t="shared" si="409"/>
        <v>WT GT</v>
      </c>
      <c r="F3199" s="22"/>
      <c r="H3199" s="5" t="e">
        <f ca="1">_xlfn.FORMULATEXT(표1[[#This Row],[Q''ty]])</f>
        <v>#N/A</v>
      </c>
    </row>
    <row r="3200" spans="1:10" ht="15" hidden="1" customHeight="1" x14ac:dyDescent="0.4">
      <c r="A3200" s="6">
        <v>2026</v>
      </c>
      <c r="B3200" s="6">
        <f t="shared" si="406"/>
        <v>33</v>
      </c>
      <c r="C3200" s="13" t="s">
        <v>18</v>
      </c>
      <c r="D3200" s="2" t="s">
        <v>12</v>
      </c>
      <c r="E3200" s="14" t="str">
        <f t="shared" si="409"/>
        <v>Bending</v>
      </c>
      <c r="F3200" s="22"/>
      <c r="H3200" s="5" t="e">
        <f ca="1">_xlfn.FORMULATEXT(표1[[#This Row],[Q''ty]])</f>
        <v>#N/A</v>
      </c>
    </row>
    <row r="3201" spans="1:8" ht="15" hidden="1" customHeight="1" x14ac:dyDescent="0.4">
      <c r="A3201" s="6">
        <v>2026</v>
      </c>
      <c r="B3201" s="6">
        <f t="shared" si="406"/>
        <v>33</v>
      </c>
      <c r="C3201" s="13" t="s">
        <v>18</v>
      </c>
      <c r="D3201" s="2" t="s">
        <v>12</v>
      </c>
      <c r="E3201" s="14" t="str">
        <f t="shared" si="409"/>
        <v>L/W</v>
      </c>
      <c r="F3201" s="22"/>
      <c r="H3201" s="5" t="e">
        <f ca="1">_xlfn.FORMULATEXT(표1[[#This Row],[Q''ty]])</f>
        <v>#N/A</v>
      </c>
    </row>
    <row r="3202" spans="1:8" ht="15" hidden="1" customHeight="1" thickBot="1" x14ac:dyDescent="0.45">
      <c r="A3202" s="15">
        <v>2026</v>
      </c>
      <c r="B3202" s="15">
        <f t="shared" si="406"/>
        <v>33</v>
      </c>
      <c r="C3202" s="16" t="s">
        <v>18</v>
      </c>
      <c r="D3202" s="17" t="s">
        <v>12</v>
      </c>
      <c r="E3202" s="18" t="str">
        <f t="shared" si="409"/>
        <v>C/W</v>
      </c>
      <c r="F3202" s="23"/>
      <c r="H3202" s="5" t="e">
        <f ca="1">_xlfn.FORMULATEXT(표1[[#This Row],[Q''ty]])</f>
        <v>#N/A</v>
      </c>
    </row>
    <row r="3203" spans="1:8" ht="15" hidden="1" customHeight="1" thickTop="1" x14ac:dyDescent="0.4">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hidden="1" customHeight="1" x14ac:dyDescent="0.4">
      <c r="A3204" s="6">
        <v>2026</v>
      </c>
      <c r="B3204" s="6">
        <f t="shared" si="406"/>
        <v>33</v>
      </c>
      <c r="C3204" s="13" t="s">
        <v>19</v>
      </c>
      <c r="D3204" s="2" t="s">
        <v>6</v>
      </c>
      <c r="E3204" s="14" t="str">
        <f t="shared" si="409"/>
        <v>Paint Booth</v>
      </c>
      <c r="F3204" s="22">
        <f t="shared" si="410"/>
        <v>22</v>
      </c>
      <c r="H3204" s="5" t="str">
        <f ca="1">_xlfn.FORMULATEXT(표1[[#This Row],[Q''ty]])</f>
        <v>=F3105</v>
      </c>
    </row>
    <row r="3205" spans="1:8" ht="15" hidden="1" customHeight="1" x14ac:dyDescent="0.4">
      <c r="A3205" s="6">
        <v>2026</v>
      </c>
      <c r="B3205" s="6">
        <f t="shared" si="406"/>
        <v>33</v>
      </c>
      <c r="C3205" s="13" t="s">
        <v>19</v>
      </c>
      <c r="D3205" s="2" t="s">
        <v>6</v>
      </c>
      <c r="E3205" s="14" t="str">
        <f t="shared" si="409"/>
        <v>Paint Line</v>
      </c>
      <c r="F3205" s="22">
        <f t="shared" si="410"/>
        <v>6</v>
      </c>
      <c r="H3205" s="5" t="str">
        <f ca="1">_xlfn.FORMULATEXT(표1[[#This Row],[Q''ty]])</f>
        <v>=F3106</v>
      </c>
    </row>
    <row r="3206" spans="1:8" ht="15" hidden="1" customHeight="1" x14ac:dyDescent="0.4">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hidden="1" customHeight="1" x14ac:dyDescent="0.4">
      <c r="A3207" s="6">
        <v>2026</v>
      </c>
      <c r="B3207" s="6">
        <f t="shared" si="406"/>
        <v>33</v>
      </c>
      <c r="C3207" s="13" t="s">
        <v>19</v>
      </c>
      <c r="D3207" s="2" t="s">
        <v>6</v>
      </c>
      <c r="E3207" s="14" t="str">
        <f t="shared" si="409"/>
        <v>L/W Machine</v>
      </c>
      <c r="F3207" s="22">
        <f t="shared" si="410"/>
        <v>10</v>
      </c>
      <c r="H3207" s="5" t="str">
        <f ca="1">_xlfn.FORMULATEXT(표1[[#This Row],[Q''ty]])</f>
        <v>=F3108</v>
      </c>
    </row>
    <row r="3208" spans="1:8" ht="15" hidden="1" customHeight="1" x14ac:dyDescent="0.4">
      <c r="A3208" s="6">
        <v>2026</v>
      </c>
      <c r="B3208" s="6">
        <f t="shared" si="406"/>
        <v>33</v>
      </c>
      <c r="C3208" s="13" t="s">
        <v>19</v>
      </c>
      <c r="D3208" s="2" t="s">
        <v>6</v>
      </c>
      <c r="E3208" s="14" t="str">
        <f t="shared" si="409"/>
        <v>C/W Machine</v>
      </c>
      <c r="F3208" s="22">
        <f t="shared" si="410"/>
        <v>12</v>
      </c>
      <c r="H3208" s="5" t="str">
        <f ca="1">_xlfn.FORMULATEXT(표1[[#This Row],[Q''ty]])</f>
        <v>=F3109</v>
      </c>
    </row>
    <row r="3209" spans="1:8" ht="15" hidden="1" customHeight="1" x14ac:dyDescent="0.4">
      <c r="A3209" s="6">
        <v>2026</v>
      </c>
      <c r="B3209" s="6">
        <f t="shared" si="406"/>
        <v>33</v>
      </c>
      <c r="C3209" s="13" t="s">
        <v>19</v>
      </c>
      <c r="D3209" s="2" t="s">
        <v>12</v>
      </c>
      <c r="E3209" s="14" t="str">
        <f t="shared" si="409"/>
        <v>BT GT</v>
      </c>
      <c r="F3209" s="22"/>
      <c r="H3209" s="5" t="e">
        <f ca="1">_xlfn.FORMULATEXT(표1[[#This Row],[Q''ty]])</f>
        <v>#N/A</v>
      </c>
    </row>
    <row r="3210" spans="1:8" ht="15" hidden="1" customHeight="1" x14ac:dyDescent="0.4">
      <c r="A3210" s="6">
        <v>2026</v>
      </c>
      <c r="B3210" s="6">
        <f t="shared" si="406"/>
        <v>33</v>
      </c>
      <c r="C3210" s="13" t="s">
        <v>19</v>
      </c>
      <c r="D3210" s="2" t="s">
        <v>12</v>
      </c>
      <c r="E3210" s="14" t="str">
        <f t="shared" si="409"/>
        <v>WT GT</v>
      </c>
      <c r="F3210" s="22"/>
      <c r="H3210" s="5" t="e">
        <f ca="1">_xlfn.FORMULATEXT(표1[[#This Row],[Q''ty]])</f>
        <v>#N/A</v>
      </c>
    </row>
    <row r="3211" spans="1:8" ht="15" hidden="1" customHeight="1" x14ac:dyDescent="0.4">
      <c r="A3211" s="6">
        <v>2026</v>
      </c>
      <c r="B3211" s="6">
        <f t="shared" si="406"/>
        <v>33</v>
      </c>
      <c r="C3211" s="13" t="s">
        <v>19</v>
      </c>
      <c r="D3211" s="2" t="s">
        <v>12</v>
      </c>
      <c r="E3211" s="14" t="str">
        <f t="shared" si="409"/>
        <v>Bending</v>
      </c>
      <c r="F3211" s="22"/>
      <c r="H3211" s="5" t="e">
        <f ca="1">_xlfn.FORMULATEXT(표1[[#This Row],[Q''ty]])</f>
        <v>#N/A</v>
      </c>
    </row>
    <row r="3212" spans="1:8" ht="15" hidden="1" customHeight="1" x14ac:dyDescent="0.4">
      <c r="A3212" s="6">
        <v>2026</v>
      </c>
      <c r="B3212" s="6">
        <f t="shared" si="406"/>
        <v>33</v>
      </c>
      <c r="C3212" s="13" t="s">
        <v>19</v>
      </c>
      <c r="D3212" s="2" t="s">
        <v>12</v>
      </c>
      <c r="E3212" s="14" t="str">
        <f t="shared" si="409"/>
        <v>L/W</v>
      </c>
      <c r="F3212" s="22"/>
      <c r="H3212" s="5" t="e">
        <f ca="1">_xlfn.FORMULATEXT(표1[[#This Row],[Q''ty]])</f>
        <v>#N/A</v>
      </c>
    </row>
    <row r="3213" spans="1:8" ht="15" hidden="1" customHeight="1" thickBot="1" x14ac:dyDescent="0.45">
      <c r="A3213" s="15">
        <v>2026</v>
      </c>
      <c r="B3213" s="15">
        <f t="shared" si="406"/>
        <v>33</v>
      </c>
      <c r="C3213" s="16" t="s">
        <v>19</v>
      </c>
      <c r="D3213" s="17" t="s">
        <v>12</v>
      </c>
      <c r="E3213" s="18" t="str">
        <f t="shared" si="409"/>
        <v>C/W</v>
      </c>
      <c r="F3213" s="23"/>
      <c r="H3213" s="5" t="e">
        <f ca="1">_xlfn.FORMULATEXT(표1[[#This Row],[Q''ty]])</f>
        <v>#N/A</v>
      </c>
    </row>
    <row r="3214" spans="1:8" ht="15" hidden="1" customHeight="1" thickTop="1" x14ac:dyDescent="0.4">
      <c r="A3214" s="6">
        <v>2026</v>
      </c>
      <c r="B3214" s="6">
        <f t="shared" si="406"/>
        <v>33</v>
      </c>
      <c r="C3214" s="13" t="s">
        <v>25</v>
      </c>
      <c r="D3214" s="2" t="s">
        <v>6</v>
      </c>
      <c r="E3214" s="14" t="s">
        <v>7</v>
      </c>
      <c r="F3214" s="22">
        <f t="shared" ref="F3214:F3219" si="411">F3115</f>
        <v>3</v>
      </c>
      <c r="H3214" s="5" t="str">
        <f ca="1">_xlfn.FORMULATEXT(표1[[#This Row],[Q''ty]])</f>
        <v>=F3115</v>
      </c>
    </row>
    <row r="3215" spans="1:8" ht="15" hidden="1" customHeight="1" x14ac:dyDescent="0.4">
      <c r="A3215" s="6">
        <v>2026</v>
      </c>
      <c r="B3215" s="6">
        <f t="shared" si="406"/>
        <v>33</v>
      </c>
      <c r="C3215" s="13" t="s">
        <v>25</v>
      </c>
      <c r="D3215" s="2" t="s">
        <v>6</v>
      </c>
      <c r="E3215" s="14" t="s">
        <v>8</v>
      </c>
      <c r="F3215" s="22">
        <f t="shared" si="411"/>
        <v>3</v>
      </c>
      <c r="H3215" s="5" t="str">
        <f ca="1">_xlfn.FORMULATEXT(표1[[#This Row],[Q''ty]])</f>
        <v>=F3116</v>
      </c>
    </row>
    <row r="3216" spans="1:8" ht="15" hidden="1" customHeight="1" x14ac:dyDescent="0.4">
      <c r="A3216" s="6">
        <v>2026</v>
      </c>
      <c r="B3216" s="6">
        <f t="shared" si="406"/>
        <v>33</v>
      </c>
      <c r="C3216" s="13" t="s">
        <v>25</v>
      </c>
      <c r="D3216" s="2" t="s">
        <v>6</v>
      </c>
      <c r="E3216" s="14" t="s">
        <v>9</v>
      </c>
      <c r="F3216" s="22">
        <f t="shared" si="411"/>
        <v>2</v>
      </c>
      <c r="H3216" s="5" t="str">
        <f ca="1">_xlfn.FORMULATEXT(표1[[#This Row],[Q''ty]])</f>
        <v>=F3117</v>
      </c>
    </row>
    <row r="3217" spans="1:8" ht="15" hidden="1" customHeight="1" x14ac:dyDescent="0.4">
      <c r="A3217" s="6">
        <v>2026</v>
      </c>
      <c r="B3217" s="6">
        <f t="shared" si="406"/>
        <v>33</v>
      </c>
      <c r="C3217" s="13" t="s">
        <v>25</v>
      </c>
      <c r="D3217" s="2" t="s">
        <v>6</v>
      </c>
      <c r="E3217" s="14" t="s">
        <v>27</v>
      </c>
      <c r="F3217" s="22">
        <f t="shared" si="411"/>
        <v>2</v>
      </c>
      <c r="H3217" s="5" t="str">
        <f ca="1">_xlfn.FORMULATEXT(표1[[#This Row],[Q''ty]])</f>
        <v>=F3118</v>
      </c>
    </row>
    <row r="3218" spans="1:8" ht="15" hidden="1" customHeight="1" x14ac:dyDescent="0.4">
      <c r="A3218" s="6">
        <v>2026</v>
      </c>
      <c r="B3218" s="6">
        <f t="shared" si="406"/>
        <v>33</v>
      </c>
      <c r="C3218" s="13" t="s">
        <v>25</v>
      </c>
      <c r="D3218" s="2" t="s">
        <v>6</v>
      </c>
      <c r="E3218" s="14" t="s">
        <v>10</v>
      </c>
      <c r="F3218" s="22">
        <f t="shared" si="411"/>
        <v>3</v>
      </c>
      <c r="H3218" s="5" t="str">
        <f ca="1">_xlfn.FORMULATEXT(표1[[#This Row],[Q''ty]])</f>
        <v>=F3119</v>
      </c>
    </row>
    <row r="3219" spans="1:8" ht="15" hidden="1" customHeight="1" x14ac:dyDescent="0.4">
      <c r="A3219" s="6">
        <v>2026</v>
      </c>
      <c r="B3219" s="6">
        <f t="shared" si="406"/>
        <v>33</v>
      </c>
      <c r="C3219" s="13" t="s">
        <v>25</v>
      </c>
      <c r="D3219" s="2" t="s">
        <v>6</v>
      </c>
      <c r="E3219" s="14" t="s">
        <v>11</v>
      </c>
      <c r="F3219" s="22">
        <f t="shared" si="411"/>
        <v>4</v>
      </c>
      <c r="H3219" s="5" t="str">
        <f ca="1">_xlfn.FORMULATEXT(표1[[#This Row],[Q''ty]])</f>
        <v>=F3120</v>
      </c>
    </row>
    <row r="3220" spans="1:8" ht="15" hidden="1" customHeight="1" x14ac:dyDescent="0.4">
      <c r="A3220" s="6">
        <v>2026</v>
      </c>
      <c r="B3220" s="6">
        <f t="shared" si="406"/>
        <v>33</v>
      </c>
      <c r="C3220" s="13" t="s">
        <v>25</v>
      </c>
      <c r="D3220" s="2" t="s">
        <v>12</v>
      </c>
      <c r="E3220" s="14" t="s">
        <v>13</v>
      </c>
      <c r="F3220" s="22"/>
      <c r="H3220" s="5" t="e">
        <f ca="1">_xlfn.FORMULATEXT(표1[[#This Row],[Q''ty]])</f>
        <v>#N/A</v>
      </c>
    </row>
    <row r="3221" spans="1:8" ht="15" hidden="1" customHeight="1" x14ac:dyDescent="0.4">
      <c r="A3221" s="6">
        <v>2026</v>
      </c>
      <c r="B3221" s="6">
        <f t="shared" si="406"/>
        <v>33</v>
      </c>
      <c r="C3221" s="13" t="s">
        <v>25</v>
      </c>
      <c r="D3221" s="2" t="s">
        <v>12</v>
      </c>
      <c r="E3221" s="14" t="s">
        <v>14</v>
      </c>
      <c r="F3221" s="22"/>
      <c r="H3221" s="5" t="e">
        <f ca="1">_xlfn.FORMULATEXT(표1[[#This Row],[Q''ty]])</f>
        <v>#N/A</v>
      </c>
    </row>
    <row r="3222" spans="1:8" ht="15" hidden="1" customHeight="1" x14ac:dyDescent="0.4">
      <c r="A3222" s="6">
        <v>2026</v>
      </c>
      <c r="B3222" s="6">
        <f t="shared" si="406"/>
        <v>33</v>
      </c>
      <c r="C3222" s="13" t="s">
        <v>25</v>
      </c>
      <c r="D3222" s="2" t="s">
        <v>12</v>
      </c>
      <c r="E3222" s="14" t="s">
        <v>15</v>
      </c>
      <c r="F3222" s="22"/>
      <c r="H3222" s="5" t="e">
        <f ca="1">_xlfn.FORMULATEXT(표1[[#This Row],[Q''ty]])</f>
        <v>#N/A</v>
      </c>
    </row>
    <row r="3223" spans="1:8" ht="15" hidden="1" customHeight="1" x14ac:dyDescent="0.4">
      <c r="A3223" s="6">
        <v>2026</v>
      </c>
      <c r="B3223" s="6">
        <f t="shared" si="406"/>
        <v>33</v>
      </c>
      <c r="C3223" s="13" t="s">
        <v>25</v>
      </c>
      <c r="D3223" s="2" t="s">
        <v>12</v>
      </c>
      <c r="E3223" s="14" t="s">
        <v>16</v>
      </c>
      <c r="F3223" s="22"/>
      <c r="H3223" s="5" t="e">
        <f ca="1">_xlfn.FORMULATEXT(표1[[#This Row],[Q''ty]])</f>
        <v>#N/A</v>
      </c>
    </row>
    <row r="3224" spans="1:8" ht="15" hidden="1" customHeight="1" thickBot="1" x14ac:dyDescent="0.45">
      <c r="A3224" s="15">
        <v>2026</v>
      </c>
      <c r="B3224" s="15">
        <f t="shared" si="406"/>
        <v>33</v>
      </c>
      <c r="C3224" s="16" t="s">
        <v>25</v>
      </c>
      <c r="D3224" s="17" t="s">
        <v>12</v>
      </c>
      <c r="E3224" s="18" t="s">
        <v>17</v>
      </c>
      <c r="F3224" s="23"/>
      <c r="H3224" s="5" t="e">
        <f ca="1">_xlfn.FORMULATEXT(표1[[#This Row],[Q''ty]])</f>
        <v>#N/A</v>
      </c>
    </row>
    <row r="3225" spans="1:8" ht="15" hidden="1" customHeight="1" thickTop="1" x14ac:dyDescent="0.4">
      <c r="A3225" s="6">
        <v>2026</v>
      </c>
      <c r="B3225" s="6">
        <f t="shared" si="406"/>
        <v>33</v>
      </c>
      <c r="C3225" s="13" t="s">
        <v>26</v>
      </c>
      <c r="D3225" s="2" t="s">
        <v>6</v>
      </c>
      <c r="E3225" s="14" t="s">
        <v>7</v>
      </c>
      <c r="F3225" s="22">
        <f t="shared" ref="F3225:F3230" si="412">F3126</f>
        <v>6</v>
      </c>
      <c r="H3225" s="5" t="str">
        <f ca="1">_xlfn.FORMULATEXT(표1[[#This Row],[Q''ty]])</f>
        <v>=F3126</v>
      </c>
    </row>
    <row r="3226" spans="1:8" ht="15" hidden="1" customHeight="1" x14ac:dyDescent="0.4">
      <c r="A3226" s="6">
        <v>2026</v>
      </c>
      <c r="B3226" s="6">
        <f t="shared" si="406"/>
        <v>33</v>
      </c>
      <c r="C3226" s="13" t="s">
        <v>26</v>
      </c>
      <c r="D3226" s="2" t="s">
        <v>6</v>
      </c>
      <c r="E3226" s="14" t="s">
        <v>8</v>
      </c>
      <c r="F3226" s="22">
        <f t="shared" si="412"/>
        <v>4</v>
      </c>
      <c r="H3226" s="5" t="str">
        <f ca="1">_xlfn.FORMULATEXT(표1[[#This Row],[Q''ty]])</f>
        <v>=F3127</v>
      </c>
    </row>
    <row r="3227" spans="1:8" ht="15" hidden="1" customHeight="1" x14ac:dyDescent="0.4">
      <c r="A3227" s="6">
        <v>2026</v>
      </c>
      <c r="B3227" s="6">
        <f t="shared" si="406"/>
        <v>33</v>
      </c>
      <c r="C3227" s="13" t="s">
        <v>26</v>
      </c>
      <c r="D3227" s="2" t="s">
        <v>6</v>
      </c>
      <c r="E3227" s="14" t="s">
        <v>9</v>
      </c>
      <c r="F3227" s="22">
        <f t="shared" si="412"/>
        <v>2</v>
      </c>
      <c r="H3227" s="5" t="str">
        <f ca="1">_xlfn.FORMULATEXT(표1[[#This Row],[Q''ty]])</f>
        <v>=F3128</v>
      </c>
    </row>
    <row r="3228" spans="1:8" ht="15" hidden="1" customHeight="1" x14ac:dyDescent="0.4">
      <c r="A3228" s="6">
        <v>2026</v>
      </c>
      <c r="B3228" s="6">
        <f t="shared" si="406"/>
        <v>33</v>
      </c>
      <c r="C3228" s="13" t="s">
        <v>26</v>
      </c>
      <c r="D3228" s="2" t="s">
        <v>6</v>
      </c>
      <c r="E3228" s="14" t="s">
        <v>27</v>
      </c>
      <c r="F3228" s="22">
        <f t="shared" si="412"/>
        <v>3</v>
      </c>
      <c r="H3228" s="5" t="str">
        <f ca="1">_xlfn.FORMULATEXT(표1[[#This Row],[Q''ty]])</f>
        <v>=F3129</v>
      </c>
    </row>
    <row r="3229" spans="1:8" ht="15" hidden="1" customHeight="1" x14ac:dyDescent="0.4">
      <c r="A3229" s="6">
        <v>2026</v>
      </c>
      <c r="B3229" s="6">
        <f t="shared" si="406"/>
        <v>33</v>
      </c>
      <c r="C3229" s="13" t="s">
        <v>26</v>
      </c>
      <c r="D3229" s="2" t="s">
        <v>6</v>
      </c>
      <c r="E3229" s="14" t="s">
        <v>10</v>
      </c>
      <c r="F3229" s="22">
        <f t="shared" si="412"/>
        <v>4</v>
      </c>
      <c r="H3229" s="5" t="str">
        <f ca="1">_xlfn.FORMULATEXT(표1[[#This Row],[Q''ty]])</f>
        <v>=F3130</v>
      </c>
    </row>
    <row r="3230" spans="1:8" ht="15" hidden="1" customHeight="1" x14ac:dyDescent="0.4">
      <c r="A3230" s="6">
        <v>2026</v>
      </c>
      <c r="B3230" s="6">
        <f t="shared" si="406"/>
        <v>33</v>
      </c>
      <c r="C3230" s="13" t="s">
        <v>26</v>
      </c>
      <c r="D3230" s="2" t="s">
        <v>6</v>
      </c>
      <c r="E3230" s="14" t="s">
        <v>11</v>
      </c>
      <c r="F3230" s="22">
        <f t="shared" si="412"/>
        <v>6</v>
      </c>
      <c r="H3230" s="5" t="str">
        <f ca="1">_xlfn.FORMULATEXT(표1[[#This Row],[Q''ty]])</f>
        <v>=F3131</v>
      </c>
    </row>
    <row r="3231" spans="1:8" ht="15" hidden="1" customHeight="1" x14ac:dyDescent="0.4">
      <c r="A3231" s="6">
        <v>2026</v>
      </c>
      <c r="B3231" s="6">
        <f t="shared" si="406"/>
        <v>33</v>
      </c>
      <c r="C3231" s="13" t="s">
        <v>26</v>
      </c>
      <c r="D3231" s="2" t="s">
        <v>12</v>
      </c>
      <c r="E3231" s="14" t="str">
        <f t="shared" ref="E3231:E3268" si="413">E3132</f>
        <v>BT GT</v>
      </c>
      <c r="F3231" s="22"/>
      <c r="H3231" s="5" t="e">
        <f ca="1">_xlfn.FORMULATEXT(표1[[#This Row],[Q''ty]])</f>
        <v>#N/A</v>
      </c>
    </row>
    <row r="3232" spans="1:8" ht="15" hidden="1" customHeight="1" x14ac:dyDescent="0.4">
      <c r="A3232" s="6">
        <v>2026</v>
      </c>
      <c r="B3232" s="6">
        <f t="shared" si="406"/>
        <v>33</v>
      </c>
      <c r="C3232" s="13" t="s">
        <v>26</v>
      </c>
      <c r="D3232" s="2" t="s">
        <v>12</v>
      </c>
      <c r="E3232" s="14" t="str">
        <f t="shared" si="413"/>
        <v>WT GT</v>
      </c>
      <c r="F3232" s="22"/>
      <c r="H3232" s="5" t="e">
        <f ca="1">_xlfn.FORMULATEXT(표1[[#This Row],[Q''ty]])</f>
        <v>#N/A</v>
      </c>
    </row>
    <row r="3233" spans="1:8" ht="15" hidden="1" customHeight="1" x14ac:dyDescent="0.4">
      <c r="A3233" s="6">
        <v>2026</v>
      </c>
      <c r="B3233" s="6">
        <f t="shared" si="406"/>
        <v>33</v>
      </c>
      <c r="C3233" s="13" t="s">
        <v>26</v>
      </c>
      <c r="D3233" s="2" t="s">
        <v>12</v>
      </c>
      <c r="E3233" s="14" t="str">
        <f t="shared" si="413"/>
        <v>Bending</v>
      </c>
      <c r="F3233" s="22"/>
      <c r="H3233" s="5" t="e">
        <f ca="1">_xlfn.FORMULATEXT(표1[[#This Row],[Q''ty]])</f>
        <v>#N/A</v>
      </c>
    </row>
    <row r="3234" spans="1:8" ht="15" hidden="1" customHeight="1" x14ac:dyDescent="0.4">
      <c r="A3234" s="6">
        <v>2026</v>
      </c>
      <c r="B3234" s="6">
        <f t="shared" si="406"/>
        <v>33</v>
      </c>
      <c r="C3234" s="13" t="s">
        <v>26</v>
      </c>
      <c r="D3234" s="2" t="s">
        <v>12</v>
      </c>
      <c r="E3234" s="14" t="str">
        <f t="shared" si="413"/>
        <v>L/W</v>
      </c>
      <c r="F3234" s="22"/>
      <c r="H3234" s="5" t="e">
        <f ca="1">_xlfn.FORMULATEXT(표1[[#This Row],[Q''ty]])</f>
        <v>#N/A</v>
      </c>
    </row>
    <row r="3235" spans="1:8" ht="15" hidden="1" customHeight="1" thickBot="1" x14ac:dyDescent="0.45">
      <c r="A3235" s="15">
        <v>2026</v>
      </c>
      <c r="B3235" s="15">
        <f t="shared" ref="B3235:B3268" si="414">B3136+1</f>
        <v>33</v>
      </c>
      <c r="C3235" s="16" t="s">
        <v>26</v>
      </c>
      <c r="D3235" s="17" t="s">
        <v>12</v>
      </c>
      <c r="E3235" s="18" t="str">
        <f t="shared" si="413"/>
        <v>C/W</v>
      </c>
      <c r="F3235" s="23"/>
      <c r="H3235" s="5" t="e">
        <f ca="1">_xlfn.FORMULATEXT(표1[[#This Row],[Q''ty]])</f>
        <v>#N/A</v>
      </c>
    </row>
    <row r="3236" spans="1:8" ht="15" hidden="1" customHeight="1" thickTop="1" x14ac:dyDescent="0.4">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hidden="1" customHeight="1" x14ac:dyDescent="0.4">
      <c r="A3237" s="6">
        <v>2026</v>
      </c>
      <c r="B3237" s="6">
        <f t="shared" si="414"/>
        <v>33</v>
      </c>
      <c r="C3237" s="13" t="s">
        <v>20</v>
      </c>
      <c r="D3237" s="2" t="s">
        <v>6</v>
      </c>
      <c r="E3237" s="14" t="str">
        <f t="shared" si="413"/>
        <v>Paint Booth</v>
      </c>
      <c r="F3237" s="22">
        <f t="shared" si="415"/>
        <v>16</v>
      </c>
      <c r="H3237" s="5" t="str">
        <f ca="1">_xlfn.FORMULATEXT(표1[[#This Row],[Q''ty]])</f>
        <v>=F3138</v>
      </c>
    </row>
    <row r="3238" spans="1:8" ht="15" hidden="1" customHeight="1" x14ac:dyDescent="0.4">
      <c r="A3238" s="6">
        <v>2026</v>
      </c>
      <c r="B3238" s="6">
        <f t="shared" si="414"/>
        <v>33</v>
      </c>
      <c r="C3238" s="13" t="s">
        <v>20</v>
      </c>
      <c r="D3238" s="2" t="s">
        <v>6</v>
      </c>
      <c r="E3238" s="14" t="str">
        <f t="shared" si="413"/>
        <v>Paint Line</v>
      </c>
      <c r="F3238" s="22">
        <f t="shared" si="415"/>
        <v>8</v>
      </c>
      <c r="H3238" s="5" t="str">
        <f ca="1">_xlfn.FORMULATEXT(표1[[#This Row],[Q''ty]])</f>
        <v>=F3139</v>
      </c>
    </row>
    <row r="3239" spans="1:8" ht="15" hidden="1" customHeight="1" x14ac:dyDescent="0.4">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hidden="1" customHeight="1" x14ac:dyDescent="0.4">
      <c r="A3240" s="6">
        <v>2026</v>
      </c>
      <c r="B3240" s="6">
        <f t="shared" si="414"/>
        <v>33</v>
      </c>
      <c r="C3240" s="13" t="s">
        <v>20</v>
      </c>
      <c r="D3240" s="2" t="s">
        <v>6</v>
      </c>
      <c r="E3240" s="14" t="str">
        <f t="shared" si="413"/>
        <v>L/W Machine</v>
      </c>
      <c r="F3240" s="22">
        <f t="shared" si="415"/>
        <v>11</v>
      </c>
      <c r="H3240" s="5" t="str">
        <f ca="1">_xlfn.FORMULATEXT(표1[[#This Row],[Q''ty]])</f>
        <v>=F3141</v>
      </c>
    </row>
    <row r="3241" spans="1:8" ht="15" hidden="1" customHeight="1" x14ac:dyDescent="0.4">
      <c r="A3241" s="6">
        <v>2026</v>
      </c>
      <c r="B3241" s="6">
        <f t="shared" si="414"/>
        <v>33</v>
      </c>
      <c r="C3241" s="13" t="s">
        <v>20</v>
      </c>
      <c r="D3241" s="2" t="s">
        <v>6</v>
      </c>
      <c r="E3241" s="14" t="str">
        <f t="shared" si="413"/>
        <v>C/W Machine</v>
      </c>
      <c r="F3241" s="22">
        <f t="shared" si="415"/>
        <v>15</v>
      </c>
      <c r="H3241" s="5" t="str">
        <f ca="1">_xlfn.FORMULATEXT(표1[[#This Row],[Q''ty]])</f>
        <v>=F3142</v>
      </c>
    </row>
    <row r="3242" spans="1:8" ht="15" hidden="1" customHeight="1" x14ac:dyDescent="0.4">
      <c r="A3242" s="6">
        <v>2026</v>
      </c>
      <c r="B3242" s="6">
        <f t="shared" si="414"/>
        <v>33</v>
      </c>
      <c r="C3242" s="13" t="s">
        <v>20</v>
      </c>
      <c r="D3242" s="2" t="s">
        <v>12</v>
      </c>
      <c r="E3242" s="14" t="str">
        <f t="shared" si="413"/>
        <v>BT GT</v>
      </c>
      <c r="F3242" s="22"/>
      <c r="H3242" s="5" t="e">
        <f ca="1">_xlfn.FORMULATEXT(표1[[#This Row],[Q''ty]])</f>
        <v>#N/A</v>
      </c>
    </row>
    <row r="3243" spans="1:8" ht="15" hidden="1" customHeight="1" x14ac:dyDescent="0.4">
      <c r="A3243" s="6">
        <v>2026</v>
      </c>
      <c r="B3243" s="6">
        <f t="shared" si="414"/>
        <v>33</v>
      </c>
      <c r="C3243" s="13" t="s">
        <v>20</v>
      </c>
      <c r="D3243" s="2" t="s">
        <v>12</v>
      </c>
      <c r="E3243" s="14" t="str">
        <f t="shared" si="413"/>
        <v>WT GT</v>
      </c>
      <c r="F3243" s="22"/>
      <c r="H3243" s="5" t="e">
        <f ca="1">_xlfn.FORMULATEXT(표1[[#This Row],[Q''ty]])</f>
        <v>#N/A</v>
      </c>
    </row>
    <row r="3244" spans="1:8" ht="15" hidden="1" customHeight="1" x14ac:dyDescent="0.4">
      <c r="A3244" s="6">
        <v>2026</v>
      </c>
      <c r="B3244" s="6">
        <f t="shared" si="414"/>
        <v>33</v>
      </c>
      <c r="C3244" s="13" t="s">
        <v>20</v>
      </c>
      <c r="D3244" s="2" t="s">
        <v>12</v>
      </c>
      <c r="E3244" s="14" t="str">
        <f t="shared" si="413"/>
        <v>Bending</v>
      </c>
      <c r="F3244" s="22"/>
      <c r="H3244" s="5" t="e">
        <f ca="1">_xlfn.FORMULATEXT(표1[[#This Row],[Q''ty]])</f>
        <v>#N/A</v>
      </c>
    </row>
    <row r="3245" spans="1:8" ht="15" hidden="1" customHeight="1" x14ac:dyDescent="0.4">
      <c r="A3245" s="6">
        <v>2026</v>
      </c>
      <c r="B3245" s="6">
        <f t="shared" si="414"/>
        <v>33</v>
      </c>
      <c r="C3245" s="13" t="s">
        <v>20</v>
      </c>
      <c r="D3245" s="2" t="s">
        <v>12</v>
      </c>
      <c r="E3245" s="14" t="str">
        <f t="shared" si="413"/>
        <v>L/W</v>
      </c>
      <c r="F3245" s="22"/>
      <c r="H3245" s="5" t="e">
        <f ca="1">_xlfn.FORMULATEXT(표1[[#This Row],[Q''ty]])</f>
        <v>#N/A</v>
      </c>
    </row>
    <row r="3246" spans="1:8" ht="15" hidden="1" customHeight="1" thickBot="1" x14ac:dyDescent="0.45">
      <c r="A3246" s="15">
        <v>2026</v>
      </c>
      <c r="B3246" s="15">
        <f t="shared" si="414"/>
        <v>33</v>
      </c>
      <c r="C3246" s="16" t="s">
        <v>20</v>
      </c>
      <c r="D3246" s="17" t="s">
        <v>12</v>
      </c>
      <c r="E3246" s="18" t="str">
        <f t="shared" si="413"/>
        <v>C/W</v>
      </c>
      <c r="F3246" s="23"/>
      <c r="H3246" s="5" t="e">
        <f ca="1">_xlfn.FORMULATEXT(표1[[#This Row],[Q''ty]])</f>
        <v>#N/A</v>
      </c>
    </row>
    <row r="3247" spans="1:8" ht="15" hidden="1" customHeight="1" thickTop="1" x14ac:dyDescent="0.4">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hidden="1" customHeight="1" x14ac:dyDescent="0.4">
      <c r="A3248" s="6">
        <v>2026</v>
      </c>
      <c r="B3248" s="6">
        <f t="shared" si="414"/>
        <v>33</v>
      </c>
      <c r="C3248" s="13" t="s">
        <v>21</v>
      </c>
      <c r="D3248" s="2" t="s">
        <v>6</v>
      </c>
      <c r="E3248" s="14" t="str">
        <f t="shared" si="413"/>
        <v>Paint Booth</v>
      </c>
      <c r="F3248" s="22">
        <f t="shared" si="416"/>
        <v>4</v>
      </c>
      <c r="H3248" s="5" t="str">
        <f ca="1">_xlfn.FORMULATEXT(표1[[#This Row],[Q''ty]])</f>
        <v>=F3149</v>
      </c>
    </row>
    <row r="3249" spans="1:8" ht="15" hidden="1" customHeight="1" x14ac:dyDescent="0.4">
      <c r="A3249" s="6">
        <v>2026</v>
      </c>
      <c r="B3249" s="6">
        <f t="shared" si="414"/>
        <v>33</v>
      </c>
      <c r="C3249" s="13" t="s">
        <v>21</v>
      </c>
      <c r="D3249" s="2" t="s">
        <v>6</v>
      </c>
      <c r="E3249" s="14" t="str">
        <f t="shared" si="413"/>
        <v>Paint Line</v>
      </c>
      <c r="F3249" s="22">
        <f t="shared" si="416"/>
        <v>4</v>
      </c>
      <c r="H3249" s="5" t="str">
        <f ca="1">_xlfn.FORMULATEXT(표1[[#This Row],[Q''ty]])</f>
        <v>=F3150</v>
      </c>
    </row>
    <row r="3250" spans="1:8" ht="15" hidden="1" customHeight="1" x14ac:dyDescent="0.4">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hidden="1" customHeight="1" x14ac:dyDescent="0.4">
      <c r="A3251" s="6">
        <v>2026</v>
      </c>
      <c r="B3251" s="6">
        <f t="shared" si="414"/>
        <v>33</v>
      </c>
      <c r="C3251" s="13" t="s">
        <v>21</v>
      </c>
      <c r="D3251" s="2" t="s">
        <v>6</v>
      </c>
      <c r="E3251" s="14" t="str">
        <f t="shared" si="413"/>
        <v>L/W Machine</v>
      </c>
      <c r="F3251" s="22">
        <f t="shared" si="416"/>
        <v>4</v>
      </c>
      <c r="H3251" s="5" t="str">
        <f ca="1">_xlfn.FORMULATEXT(표1[[#This Row],[Q''ty]])</f>
        <v>=F3152</v>
      </c>
    </row>
    <row r="3252" spans="1:8" ht="15" hidden="1" customHeight="1" x14ac:dyDescent="0.4">
      <c r="A3252" s="6">
        <v>2026</v>
      </c>
      <c r="B3252" s="6">
        <f t="shared" si="414"/>
        <v>33</v>
      </c>
      <c r="C3252" s="13" t="s">
        <v>21</v>
      </c>
      <c r="D3252" s="2" t="s">
        <v>6</v>
      </c>
      <c r="E3252" s="14" t="str">
        <f t="shared" si="413"/>
        <v>C/W Machine</v>
      </c>
      <c r="F3252" s="22">
        <f t="shared" si="416"/>
        <v>6.5</v>
      </c>
      <c r="H3252" s="5" t="str">
        <f ca="1">_xlfn.FORMULATEXT(표1[[#This Row],[Q''ty]])</f>
        <v>=F3153</v>
      </c>
    </row>
    <row r="3253" spans="1:8" ht="15" hidden="1" customHeight="1" x14ac:dyDescent="0.4">
      <c r="A3253" s="6">
        <v>2026</v>
      </c>
      <c r="B3253" s="6">
        <f t="shared" si="414"/>
        <v>33</v>
      </c>
      <c r="C3253" s="13" t="s">
        <v>21</v>
      </c>
      <c r="D3253" s="2" t="s">
        <v>12</v>
      </c>
      <c r="E3253" s="14" t="str">
        <f t="shared" si="413"/>
        <v>BT GT</v>
      </c>
      <c r="F3253" s="22"/>
      <c r="H3253" s="5" t="e">
        <f ca="1">_xlfn.FORMULATEXT(표1[[#This Row],[Q''ty]])</f>
        <v>#N/A</v>
      </c>
    </row>
    <row r="3254" spans="1:8" ht="15" hidden="1" customHeight="1" x14ac:dyDescent="0.4">
      <c r="A3254" s="6">
        <v>2026</v>
      </c>
      <c r="B3254" s="6">
        <f t="shared" si="414"/>
        <v>33</v>
      </c>
      <c r="C3254" s="13" t="s">
        <v>21</v>
      </c>
      <c r="D3254" s="2" t="s">
        <v>12</v>
      </c>
      <c r="E3254" s="14" t="str">
        <f t="shared" si="413"/>
        <v>WT GT</v>
      </c>
      <c r="F3254" s="22"/>
      <c r="H3254" s="5" t="e">
        <f ca="1">_xlfn.FORMULATEXT(표1[[#This Row],[Q''ty]])</f>
        <v>#N/A</v>
      </c>
    </row>
    <row r="3255" spans="1:8" ht="15" hidden="1" customHeight="1" x14ac:dyDescent="0.4">
      <c r="A3255" s="6">
        <v>2026</v>
      </c>
      <c r="B3255" s="6">
        <f t="shared" si="414"/>
        <v>33</v>
      </c>
      <c r="C3255" s="13" t="s">
        <v>21</v>
      </c>
      <c r="D3255" s="2" t="s">
        <v>12</v>
      </c>
      <c r="E3255" s="14" t="str">
        <f t="shared" si="413"/>
        <v>Bending</v>
      </c>
      <c r="F3255" s="22"/>
      <c r="H3255" s="5" t="e">
        <f ca="1">_xlfn.FORMULATEXT(표1[[#This Row],[Q''ty]])</f>
        <v>#N/A</v>
      </c>
    </row>
    <row r="3256" spans="1:8" ht="15" hidden="1" customHeight="1" x14ac:dyDescent="0.4">
      <c r="A3256" s="6">
        <v>2026</v>
      </c>
      <c r="B3256" s="6">
        <f t="shared" si="414"/>
        <v>33</v>
      </c>
      <c r="C3256" s="13" t="s">
        <v>21</v>
      </c>
      <c r="D3256" s="2" t="s">
        <v>12</v>
      </c>
      <c r="E3256" s="14" t="str">
        <f t="shared" si="413"/>
        <v>L/W</v>
      </c>
      <c r="F3256" s="22"/>
      <c r="H3256" s="5" t="e">
        <f ca="1">_xlfn.FORMULATEXT(표1[[#This Row],[Q''ty]])</f>
        <v>#N/A</v>
      </c>
    </row>
    <row r="3257" spans="1:8" ht="15" hidden="1" customHeight="1" thickBot="1" x14ac:dyDescent="0.45">
      <c r="A3257" s="15">
        <v>2026</v>
      </c>
      <c r="B3257" s="15">
        <f t="shared" si="414"/>
        <v>33</v>
      </c>
      <c r="C3257" s="16" t="s">
        <v>21</v>
      </c>
      <c r="D3257" s="17" t="s">
        <v>12</v>
      </c>
      <c r="E3257" s="18" t="str">
        <f t="shared" si="413"/>
        <v>C/W</v>
      </c>
      <c r="F3257" s="23"/>
      <c r="H3257" s="5" t="e">
        <f ca="1">_xlfn.FORMULATEXT(표1[[#This Row],[Q''ty]])</f>
        <v>#N/A</v>
      </c>
    </row>
    <row r="3258" spans="1:8" ht="15" hidden="1" customHeight="1" thickTop="1" x14ac:dyDescent="0.4">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hidden="1" customHeight="1" x14ac:dyDescent="0.4">
      <c r="A3259" s="6">
        <v>2026</v>
      </c>
      <c r="B3259" s="6">
        <f t="shared" si="414"/>
        <v>33</v>
      </c>
      <c r="C3259" s="13" t="s">
        <v>22</v>
      </c>
      <c r="D3259" s="2" t="s">
        <v>6</v>
      </c>
      <c r="E3259" s="14" t="str">
        <f t="shared" si="413"/>
        <v>Paint Booth</v>
      </c>
      <c r="F3259" s="22">
        <f t="shared" si="417"/>
        <v>6</v>
      </c>
      <c r="H3259" s="5" t="str">
        <f ca="1">_xlfn.FORMULATEXT(표1[[#This Row],[Q''ty]])</f>
        <v>=F3160</v>
      </c>
    </row>
    <row r="3260" spans="1:8" ht="15" hidden="1" customHeight="1" x14ac:dyDescent="0.4">
      <c r="A3260" s="6">
        <v>2026</v>
      </c>
      <c r="B3260" s="6">
        <f t="shared" si="414"/>
        <v>33</v>
      </c>
      <c r="C3260" s="13" t="s">
        <v>22</v>
      </c>
      <c r="D3260" s="2" t="s">
        <v>6</v>
      </c>
      <c r="E3260" s="14" t="str">
        <f t="shared" si="413"/>
        <v>Paint Line</v>
      </c>
      <c r="F3260" s="22">
        <f t="shared" si="417"/>
        <v>4</v>
      </c>
      <c r="H3260" s="5" t="str">
        <f ca="1">_xlfn.FORMULATEXT(표1[[#This Row],[Q''ty]])</f>
        <v>=F3161</v>
      </c>
    </row>
    <row r="3261" spans="1:8" ht="15" hidden="1" customHeight="1" x14ac:dyDescent="0.4">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hidden="1" customHeight="1" x14ac:dyDescent="0.4">
      <c r="A3262" s="6">
        <v>2026</v>
      </c>
      <c r="B3262" s="6">
        <f t="shared" si="414"/>
        <v>33</v>
      </c>
      <c r="C3262" s="13" t="s">
        <v>22</v>
      </c>
      <c r="D3262" s="2" t="s">
        <v>6</v>
      </c>
      <c r="E3262" s="14" t="str">
        <f t="shared" si="413"/>
        <v>L/W Machine</v>
      </c>
      <c r="F3262" s="22">
        <f t="shared" si="417"/>
        <v>7</v>
      </c>
      <c r="H3262" s="5" t="str">
        <f ca="1">_xlfn.FORMULATEXT(표1[[#This Row],[Q''ty]])</f>
        <v>=F3163</v>
      </c>
    </row>
    <row r="3263" spans="1:8" ht="15" hidden="1" customHeight="1" x14ac:dyDescent="0.4">
      <c r="A3263" s="6">
        <v>2026</v>
      </c>
      <c r="B3263" s="6">
        <f t="shared" si="414"/>
        <v>33</v>
      </c>
      <c r="C3263" s="13" t="s">
        <v>22</v>
      </c>
      <c r="D3263" s="2" t="s">
        <v>6</v>
      </c>
      <c r="E3263" s="14" t="str">
        <f t="shared" si="413"/>
        <v>C/W Machine</v>
      </c>
      <c r="F3263" s="22">
        <f t="shared" si="417"/>
        <v>12.5</v>
      </c>
      <c r="H3263" s="5" t="str">
        <f ca="1">_xlfn.FORMULATEXT(표1[[#This Row],[Q''ty]])</f>
        <v>=F3164</v>
      </c>
    </row>
    <row r="3264" spans="1:8" ht="15" hidden="1" customHeight="1" x14ac:dyDescent="0.4">
      <c r="A3264" s="6">
        <v>2026</v>
      </c>
      <c r="B3264" s="6">
        <f t="shared" si="414"/>
        <v>33</v>
      </c>
      <c r="C3264" s="13" t="s">
        <v>22</v>
      </c>
      <c r="D3264" s="2" t="s">
        <v>12</v>
      </c>
      <c r="E3264" s="14" t="str">
        <f t="shared" si="413"/>
        <v>BT GT</v>
      </c>
      <c r="F3264" s="22"/>
      <c r="H3264" s="5" t="e">
        <f ca="1">_xlfn.FORMULATEXT(표1[[#This Row],[Q''ty]])</f>
        <v>#N/A</v>
      </c>
    </row>
    <row r="3265" spans="1:10" ht="15" hidden="1" customHeight="1" x14ac:dyDescent="0.4">
      <c r="A3265" s="6">
        <v>2026</v>
      </c>
      <c r="B3265" s="6">
        <f t="shared" si="414"/>
        <v>33</v>
      </c>
      <c r="C3265" s="13" t="s">
        <v>22</v>
      </c>
      <c r="D3265" s="2" t="s">
        <v>12</v>
      </c>
      <c r="E3265" s="14" t="str">
        <f t="shared" si="413"/>
        <v>WT GT</v>
      </c>
      <c r="F3265" s="22"/>
      <c r="H3265" s="5" t="e">
        <f ca="1">_xlfn.FORMULATEXT(표1[[#This Row],[Q''ty]])</f>
        <v>#N/A</v>
      </c>
    </row>
    <row r="3266" spans="1:10" ht="15" hidden="1" customHeight="1" x14ac:dyDescent="0.4">
      <c r="A3266" s="6">
        <v>2026</v>
      </c>
      <c r="B3266" s="6">
        <f t="shared" si="414"/>
        <v>33</v>
      </c>
      <c r="C3266" s="13" t="s">
        <v>22</v>
      </c>
      <c r="D3266" s="2" t="s">
        <v>12</v>
      </c>
      <c r="E3266" s="14" t="str">
        <f t="shared" si="413"/>
        <v>Bending</v>
      </c>
      <c r="F3266" s="22"/>
      <c r="H3266" s="5" t="e">
        <f ca="1">_xlfn.FORMULATEXT(표1[[#This Row],[Q''ty]])</f>
        <v>#N/A</v>
      </c>
    </row>
    <row r="3267" spans="1:10" ht="15" hidden="1" customHeight="1" x14ac:dyDescent="0.4">
      <c r="A3267" s="6">
        <v>2026</v>
      </c>
      <c r="B3267" s="6">
        <f t="shared" si="414"/>
        <v>33</v>
      </c>
      <c r="C3267" s="13" t="s">
        <v>22</v>
      </c>
      <c r="D3267" s="2" t="s">
        <v>12</v>
      </c>
      <c r="E3267" s="14" t="str">
        <f t="shared" si="413"/>
        <v>L/W</v>
      </c>
      <c r="F3267" s="22"/>
      <c r="H3267" s="5" t="e">
        <f ca="1">_xlfn.FORMULATEXT(표1[[#This Row],[Q''ty]])</f>
        <v>#N/A</v>
      </c>
    </row>
    <row r="3268" spans="1:10" ht="15" hidden="1" customHeight="1" thickBot="1" x14ac:dyDescent="0.45">
      <c r="A3268" s="6">
        <v>2026</v>
      </c>
      <c r="B3268" s="6">
        <f t="shared" si="414"/>
        <v>33</v>
      </c>
      <c r="C3268" s="13" t="s">
        <v>22</v>
      </c>
      <c r="D3268" s="2" t="s">
        <v>12</v>
      </c>
      <c r="E3268" s="14" t="str">
        <f t="shared" si="413"/>
        <v>C/W</v>
      </c>
      <c r="F3268" s="22"/>
      <c r="H3268" s="5" t="e">
        <f ca="1">_xlfn.FORMULATEXT(표1[[#This Row],[Q''ty]])</f>
        <v>#N/A</v>
      </c>
    </row>
    <row r="3269" spans="1:10" ht="15" hidden="1" customHeight="1" thickTop="1" x14ac:dyDescent="0.4">
      <c r="A3269" s="9">
        <v>2026</v>
      </c>
      <c r="B3269" s="9">
        <f>B3170+1</f>
        <v>34</v>
      </c>
      <c r="C3269" s="10" t="s">
        <v>28</v>
      </c>
      <c r="D3269" s="11" t="s">
        <v>6</v>
      </c>
      <c r="E3269" s="12" t="s">
        <v>7</v>
      </c>
      <c r="F3269" s="21">
        <f t="shared" ref="F3269:F3274" si="418">F3170</f>
        <v>15</v>
      </c>
      <c r="H3269" s="5" t="str">
        <f ca="1">_xlfn.FORMULATEXT(표1[[#This Row],[Q''ty]])</f>
        <v>=F3170</v>
      </c>
    </row>
    <row r="3270" spans="1:10" s="2" customFormat="1" ht="15" hidden="1" customHeight="1" x14ac:dyDescent="0.4">
      <c r="A3270" s="6">
        <v>2026</v>
      </c>
      <c r="B3270" s="6">
        <f t="shared" ref="B3270:B3333" si="419">B3171+1</f>
        <v>34</v>
      </c>
      <c r="C3270" s="13" t="s">
        <v>23</v>
      </c>
      <c r="D3270" s="2" t="s">
        <v>6</v>
      </c>
      <c r="E3270" s="14" t="s">
        <v>8</v>
      </c>
      <c r="F3270" s="22">
        <f t="shared" si="418"/>
        <v>10</v>
      </c>
      <c r="H3270" s="5" t="str">
        <f ca="1">_xlfn.FORMULATEXT(표1[[#This Row],[Q''ty]])</f>
        <v>=F3171</v>
      </c>
      <c r="I3270" s="26"/>
      <c r="J3270" s="26"/>
    </row>
    <row r="3271" spans="1:10" s="2" customFormat="1" ht="15" hidden="1" customHeight="1" x14ac:dyDescent="0.4">
      <c r="A3271" s="6">
        <v>2026</v>
      </c>
      <c r="B3271" s="6">
        <f t="shared" si="419"/>
        <v>34</v>
      </c>
      <c r="C3271" s="13" t="s">
        <v>23</v>
      </c>
      <c r="D3271" s="2" t="s">
        <v>6</v>
      </c>
      <c r="E3271" s="14" t="s">
        <v>9</v>
      </c>
      <c r="F3271" s="22">
        <f t="shared" si="418"/>
        <v>5</v>
      </c>
      <c r="H3271" s="5" t="str">
        <f ca="1">_xlfn.FORMULATEXT(표1[[#This Row],[Q''ty]])</f>
        <v>=F3172</v>
      </c>
      <c r="I3271" s="26"/>
      <c r="J3271" s="26"/>
    </row>
    <row r="3272" spans="1:10" ht="15" hidden="1" customHeight="1" x14ac:dyDescent="0.4">
      <c r="A3272" s="6">
        <v>2026</v>
      </c>
      <c r="B3272" s="6">
        <f t="shared" si="419"/>
        <v>34</v>
      </c>
      <c r="C3272" s="13" t="s">
        <v>23</v>
      </c>
      <c r="D3272" s="2" t="s">
        <v>6</v>
      </c>
      <c r="E3272" s="14" t="s">
        <v>27</v>
      </c>
      <c r="F3272" s="22">
        <f t="shared" si="418"/>
        <v>6</v>
      </c>
      <c r="H3272" s="5" t="str">
        <f ca="1">_xlfn.FORMULATEXT(표1[[#This Row],[Q''ty]])</f>
        <v>=F3173</v>
      </c>
    </row>
    <row r="3273" spans="1:10" ht="15" hidden="1" customHeight="1" x14ac:dyDescent="0.4">
      <c r="A3273" s="6">
        <v>2026</v>
      </c>
      <c r="B3273" s="6">
        <f t="shared" si="419"/>
        <v>34</v>
      </c>
      <c r="C3273" s="13" t="s">
        <v>23</v>
      </c>
      <c r="D3273" s="2" t="s">
        <v>6</v>
      </c>
      <c r="E3273" s="14" t="s">
        <v>10</v>
      </c>
      <c r="F3273" s="22">
        <f t="shared" si="418"/>
        <v>10</v>
      </c>
      <c r="H3273" s="5" t="str">
        <f ca="1">_xlfn.FORMULATEXT(표1[[#This Row],[Q''ty]])</f>
        <v>=F3174</v>
      </c>
    </row>
    <row r="3274" spans="1:10" ht="15" hidden="1" customHeight="1" x14ac:dyDescent="0.4">
      <c r="A3274" s="6">
        <v>2026</v>
      </c>
      <c r="B3274" s="6">
        <f t="shared" si="419"/>
        <v>34</v>
      </c>
      <c r="C3274" s="13" t="s">
        <v>23</v>
      </c>
      <c r="D3274" s="2" t="s">
        <v>6</v>
      </c>
      <c r="E3274" s="14" t="s">
        <v>11</v>
      </c>
      <c r="F3274" s="22">
        <f t="shared" si="418"/>
        <v>10</v>
      </c>
      <c r="H3274" s="5" t="str">
        <f ca="1">_xlfn.FORMULATEXT(표1[[#This Row],[Q''ty]])</f>
        <v>=F3175</v>
      </c>
    </row>
    <row r="3275" spans="1:10" ht="15" hidden="1" customHeight="1" x14ac:dyDescent="0.4">
      <c r="A3275" s="6">
        <v>2026</v>
      </c>
      <c r="B3275" s="6">
        <f t="shared" si="419"/>
        <v>34</v>
      </c>
      <c r="C3275" s="13" t="s">
        <v>23</v>
      </c>
      <c r="D3275" s="2" t="s">
        <v>12</v>
      </c>
      <c r="E3275" s="14" t="s">
        <v>13</v>
      </c>
      <c r="F3275" s="22"/>
      <c r="H3275" s="5" t="e">
        <f ca="1">_xlfn.FORMULATEXT(표1[[#This Row],[Q''ty]])</f>
        <v>#N/A</v>
      </c>
    </row>
    <row r="3276" spans="1:10" s="2" customFormat="1" ht="15" hidden="1" customHeight="1" x14ac:dyDescent="0.4">
      <c r="A3276" s="6">
        <v>2026</v>
      </c>
      <c r="B3276" s="6">
        <f t="shared" si="419"/>
        <v>34</v>
      </c>
      <c r="C3276" s="13" t="s">
        <v>23</v>
      </c>
      <c r="D3276" s="2" t="s">
        <v>12</v>
      </c>
      <c r="E3276" s="14" t="s">
        <v>14</v>
      </c>
      <c r="F3276" s="22"/>
      <c r="H3276" s="5" t="e">
        <f ca="1">_xlfn.FORMULATEXT(표1[[#This Row],[Q''ty]])</f>
        <v>#N/A</v>
      </c>
      <c r="I3276" s="26"/>
      <c r="J3276" s="26"/>
    </row>
    <row r="3277" spans="1:10" ht="15" hidden="1" customHeight="1" x14ac:dyDescent="0.4">
      <c r="A3277" s="6">
        <v>2026</v>
      </c>
      <c r="B3277" s="6">
        <f t="shared" si="419"/>
        <v>34</v>
      </c>
      <c r="C3277" s="13" t="s">
        <v>23</v>
      </c>
      <c r="D3277" s="2" t="s">
        <v>12</v>
      </c>
      <c r="E3277" s="14" t="s">
        <v>15</v>
      </c>
      <c r="F3277" s="22"/>
      <c r="H3277" s="5" t="e">
        <f ca="1">_xlfn.FORMULATEXT(표1[[#This Row],[Q''ty]])</f>
        <v>#N/A</v>
      </c>
    </row>
    <row r="3278" spans="1:10" ht="15" hidden="1" customHeight="1" x14ac:dyDescent="0.4">
      <c r="A3278" s="6">
        <v>2026</v>
      </c>
      <c r="B3278" s="6">
        <f t="shared" si="419"/>
        <v>34</v>
      </c>
      <c r="C3278" s="13" t="s">
        <v>23</v>
      </c>
      <c r="D3278" s="2" t="s">
        <v>12</v>
      </c>
      <c r="E3278" s="14" t="s">
        <v>16</v>
      </c>
      <c r="F3278" s="22"/>
      <c r="H3278" s="5" t="e">
        <f ca="1">_xlfn.FORMULATEXT(표1[[#This Row],[Q''ty]])</f>
        <v>#N/A</v>
      </c>
    </row>
    <row r="3279" spans="1:10" ht="15" hidden="1" customHeight="1" thickBot="1" x14ac:dyDescent="0.45">
      <c r="A3279" s="15">
        <v>2026</v>
      </c>
      <c r="B3279" s="15">
        <f t="shared" si="419"/>
        <v>34</v>
      </c>
      <c r="C3279" s="16" t="s">
        <v>23</v>
      </c>
      <c r="D3279" s="17" t="s">
        <v>12</v>
      </c>
      <c r="E3279" s="18" t="s">
        <v>17</v>
      </c>
      <c r="F3279" s="23"/>
      <c r="H3279" s="5" t="e">
        <f ca="1">_xlfn.FORMULATEXT(표1[[#This Row],[Q''ty]])</f>
        <v>#N/A</v>
      </c>
    </row>
    <row r="3280" spans="1:10" ht="15" hidden="1" customHeight="1" thickTop="1" x14ac:dyDescent="0.4">
      <c r="A3280" s="9">
        <v>2026</v>
      </c>
      <c r="B3280" s="9">
        <f t="shared" si="419"/>
        <v>34</v>
      </c>
      <c r="C3280" s="10" t="s">
        <v>29</v>
      </c>
      <c r="D3280" s="11" t="s">
        <v>6</v>
      </c>
      <c r="E3280" s="12" t="s">
        <v>7</v>
      </c>
      <c r="F3280" s="21">
        <f t="shared" ref="F3280:F3285" si="420">F3181</f>
        <v>14</v>
      </c>
      <c r="H3280" s="5" t="str">
        <f ca="1">_xlfn.FORMULATEXT(표1[[#This Row],[Q''ty]])</f>
        <v>=F3181</v>
      </c>
    </row>
    <row r="3281" spans="1:10" s="2" customFormat="1" ht="15" hidden="1" customHeight="1" x14ac:dyDescent="0.4">
      <c r="A3281" s="6">
        <v>2026</v>
      </c>
      <c r="B3281" s="6">
        <f t="shared" si="419"/>
        <v>34</v>
      </c>
      <c r="C3281" s="13" t="s">
        <v>24</v>
      </c>
      <c r="D3281" s="2" t="s">
        <v>6</v>
      </c>
      <c r="E3281" s="14" t="s">
        <v>8</v>
      </c>
      <c r="F3281" s="22">
        <f t="shared" si="420"/>
        <v>8</v>
      </c>
      <c r="H3281" s="5" t="str">
        <f ca="1">_xlfn.FORMULATEXT(표1[[#This Row],[Q''ty]])</f>
        <v>=F3182</v>
      </c>
      <c r="I3281" s="26"/>
      <c r="J3281" s="26"/>
    </row>
    <row r="3282" spans="1:10" s="2" customFormat="1" ht="15" hidden="1" customHeight="1" x14ac:dyDescent="0.4">
      <c r="A3282" s="6">
        <v>2026</v>
      </c>
      <c r="B3282" s="6">
        <f t="shared" si="419"/>
        <v>34</v>
      </c>
      <c r="C3282" s="13" t="s">
        <v>24</v>
      </c>
      <c r="D3282" s="2" t="s">
        <v>6</v>
      </c>
      <c r="E3282" s="14" t="s">
        <v>9</v>
      </c>
      <c r="F3282" s="22">
        <f t="shared" si="420"/>
        <v>4</v>
      </c>
      <c r="H3282" s="5" t="str">
        <f ca="1">_xlfn.FORMULATEXT(표1[[#This Row],[Q''ty]])</f>
        <v>=F3183</v>
      </c>
      <c r="I3282" s="26"/>
      <c r="J3282" s="26"/>
    </row>
    <row r="3283" spans="1:10" ht="15" hidden="1" customHeight="1" x14ac:dyDescent="0.4">
      <c r="A3283" s="6">
        <v>2026</v>
      </c>
      <c r="B3283" s="6">
        <f t="shared" si="419"/>
        <v>34</v>
      </c>
      <c r="C3283" s="13" t="s">
        <v>24</v>
      </c>
      <c r="D3283" s="2" t="s">
        <v>6</v>
      </c>
      <c r="E3283" s="14" t="s">
        <v>27</v>
      </c>
      <c r="F3283" s="22">
        <f t="shared" si="420"/>
        <v>3</v>
      </c>
      <c r="H3283" s="5" t="str">
        <f ca="1">_xlfn.FORMULATEXT(표1[[#This Row],[Q''ty]])</f>
        <v>=F3184</v>
      </c>
    </row>
    <row r="3284" spans="1:10" ht="15" hidden="1" customHeight="1" x14ac:dyDescent="0.4">
      <c r="A3284" s="6">
        <v>2026</v>
      </c>
      <c r="B3284" s="6">
        <f t="shared" si="419"/>
        <v>34</v>
      </c>
      <c r="C3284" s="13" t="s">
        <v>24</v>
      </c>
      <c r="D3284" s="2" t="s">
        <v>6</v>
      </c>
      <c r="E3284" s="14" t="s">
        <v>10</v>
      </c>
      <c r="F3284" s="22">
        <f t="shared" si="420"/>
        <v>6</v>
      </c>
      <c r="H3284" s="5" t="str">
        <f ca="1">_xlfn.FORMULATEXT(표1[[#This Row],[Q''ty]])</f>
        <v>=F3185</v>
      </c>
    </row>
    <row r="3285" spans="1:10" ht="15" hidden="1" customHeight="1" x14ac:dyDescent="0.4">
      <c r="A3285" s="6">
        <v>2026</v>
      </c>
      <c r="B3285" s="6">
        <f t="shared" si="419"/>
        <v>34</v>
      </c>
      <c r="C3285" s="13" t="s">
        <v>24</v>
      </c>
      <c r="D3285" s="2" t="s">
        <v>6</v>
      </c>
      <c r="E3285" s="14" t="s">
        <v>11</v>
      </c>
      <c r="F3285" s="22">
        <f t="shared" si="420"/>
        <v>8.8000000000000007</v>
      </c>
      <c r="H3285" s="5" t="str">
        <f ca="1">_xlfn.FORMULATEXT(표1[[#This Row],[Q''ty]])</f>
        <v>=F3186</v>
      </c>
    </row>
    <row r="3286" spans="1:10" ht="15" hidden="1" customHeight="1" x14ac:dyDescent="0.4">
      <c r="A3286" s="6">
        <v>2026</v>
      </c>
      <c r="B3286" s="6">
        <f t="shared" si="419"/>
        <v>34</v>
      </c>
      <c r="C3286" s="13" t="s">
        <v>24</v>
      </c>
      <c r="D3286" s="2" t="s">
        <v>12</v>
      </c>
      <c r="E3286" s="14" t="s">
        <v>13</v>
      </c>
      <c r="F3286" s="22"/>
      <c r="H3286" s="5" t="e">
        <f ca="1">_xlfn.FORMULATEXT(표1[[#This Row],[Q''ty]])</f>
        <v>#N/A</v>
      </c>
    </row>
    <row r="3287" spans="1:10" s="2" customFormat="1" ht="15" hidden="1" customHeight="1" x14ac:dyDescent="0.4">
      <c r="A3287" s="6">
        <v>2026</v>
      </c>
      <c r="B3287" s="6">
        <f t="shared" si="419"/>
        <v>34</v>
      </c>
      <c r="C3287" s="13" t="s">
        <v>24</v>
      </c>
      <c r="D3287" s="2" t="s">
        <v>12</v>
      </c>
      <c r="E3287" s="14" t="s">
        <v>14</v>
      </c>
      <c r="F3287" s="22"/>
      <c r="H3287" s="5" t="e">
        <f ca="1">_xlfn.FORMULATEXT(표1[[#This Row],[Q''ty]])</f>
        <v>#N/A</v>
      </c>
      <c r="I3287" s="26"/>
      <c r="J3287" s="26"/>
    </row>
    <row r="3288" spans="1:10" ht="15" hidden="1" customHeight="1" x14ac:dyDescent="0.4">
      <c r="A3288" s="6">
        <v>2026</v>
      </c>
      <c r="B3288" s="6">
        <f t="shared" si="419"/>
        <v>34</v>
      </c>
      <c r="C3288" s="13" t="s">
        <v>24</v>
      </c>
      <c r="D3288" s="2" t="s">
        <v>12</v>
      </c>
      <c r="E3288" s="14" t="s">
        <v>15</v>
      </c>
      <c r="F3288" s="22"/>
      <c r="H3288" s="5" t="e">
        <f ca="1">_xlfn.FORMULATEXT(표1[[#This Row],[Q''ty]])</f>
        <v>#N/A</v>
      </c>
    </row>
    <row r="3289" spans="1:10" ht="15" hidden="1" customHeight="1" x14ac:dyDescent="0.4">
      <c r="A3289" s="6">
        <v>2026</v>
      </c>
      <c r="B3289" s="6">
        <f t="shared" si="419"/>
        <v>34</v>
      </c>
      <c r="C3289" s="13" t="s">
        <v>24</v>
      </c>
      <c r="D3289" s="2" t="s">
        <v>12</v>
      </c>
      <c r="E3289" s="14" t="s">
        <v>16</v>
      </c>
      <c r="F3289" s="22"/>
      <c r="H3289" s="5" t="e">
        <f ca="1">_xlfn.FORMULATEXT(표1[[#This Row],[Q''ty]])</f>
        <v>#N/A</v>
      </c>
    </row>
    <row r="3290" spans="1:10" ht="15" hidden="1" customHeight="1" thickBot="1" x14ac:dyDescent="0.45">
      <c r="A3290" s="15">
        <v>2026</v>
      </c>
      <c r="B3290" s="15">
        <f t="shared" si="419"/>
        <v>34</v>
      </c>
      <c r="C3290" s="16" t="s">
        <v>24</v>
      </c>
      <c r="D3290" s="17" t="s">
        <v>12</v>
      </c>
      <c r="E3290" s="18" t="s">
        <v>17</v>
      </c>
      <c r="F3290" s="23"/>
      <c r="H3290" s="5" t="e">
        <f ca="1">_xlfn.FORMULATEXT(표1[[#This Row],[Q''ty]])</f>
        <v>#N/A</v>
      </c>
    </row>
    <row r="3291" spans="1:10" ht="15" hidden="1" customHeight="1" thickTop="1" x14ac:dyDescent="0.4">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10" ht="15" hidden="1" customHeight="1" x14ac:dyDescent="0.4">
      <c r="A3292" s="6">
        <v>2026</v>
      </c>
      <c r="B3292" s="6">
        <f t="shared" si="419"/>
        <v>34</v>
      </c>
      <c r="C3292" s="13" t="s">
        <v>18</v>
      </c>
      <c r="D3292" s="2" t="s">
        <v>6</v>
      </c>
      <c r="E3292" s="14" t="str">
        <f t="shared" si="421"/>
        <v>Paint Booth</v>
      </c>
      <c r="F3292" s="22">
        <f t="shared" si="421"/>
        <v>3</v>
      </c>
      <c r="H3292" s="5" t="str">
        <f ca="1">_xlfn.FORMULATEXT(표1[[#This Row],[Q''ty]])</f>
        <v>=F3193</v>
      </c>
    </row>
    <row r="3293" spans="1:10" ht="15" hidden="1" customHeight="1" x14ac:dyDescent="0.4">
      <c r="A3293" s="6">
        <v>2026</v>
      </c>
      <c r="B3293" s="6">
        <f t="shared" si="419"/>
        <v>34</v>
      </c>
      <c r="C3293" s="13" t="s">
        <v>18</v>
      </c>
      <c r="D3293" s="2" t="s">
        <v>6</v>
      </c>
      <c r="E3293" s="14" t="str">
        <f t="shared" si="421"/>
        <v>Paint Line</v>
      </c>
      <c r="F3293" s="22">
        <f t="shared" si="421"/>
        <v>2</v>
      </c>
      <c r="H3293" s="5" t="str">
        <f ca="1">_xlfn.FORMULATEXT(표1[[#This Row],[Q''ty]])</f>
        <v>=F3194</v>
      </c>
    </row>
    <row r="3294" spans="1:10" ht="15" hidden="1" customHeight="1" x14ac:dyDescent="0.4">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10" ht="15" hidden="1" customHeight="1" x14ac:dyDescent="0.4">
      <c r="A3295" s="6">
        <v>2026</v>
      </c>
      <c r="B3295" s="6">
        <f t="shared" si="419"/>
        <v>34</v>
      </c>
      <c r="C3295" s="13" t="s">
        <v>18</v>
      </c>
      <c r="D3295" s="2" t="s">
        <v>6</v>
      </c>
      <c r="E3295" s="14" t="str">
        <f t="shared" si="421"/>
        <v>L/W Machine</v>
      </c>
      <c r="F3295" s="22">
        <f t="shared" si="421"/>
        <v>2</v>
      </c>
      <c r="H3295" s="5" t="str">
        <f ca="1">_xlfn.FORMULATEXT(표1[[#This Row],[Q''ty]])</f>
        <v>=F3196</v>
      </c>
    </row>
    <row r="3296" spans="1:10" ht="15" hidden="1" customHeight="1" x14ac:dyDescent="0.4">
      <c r="A3296" s="6">
        <v>2026</v>
      </c>
      <c r="B3296" s="6">
        <f t="shared" si="419"/>
        <v>34</v>
      </c>
      <c r="C3296" s="13" t="s">
        <v>18</v>
      </c>
      <c r="D3296" s="2" t="s">
        <v>6</v>
      </c>
      <c r="E3296" s="14" t="str">
        <f t="shared" si="421"/>
        <v>C/W Machine</v>
      </c>
      <c r="F3296" s="22">
        <f t="shared" si="421"/>
        <v>3</v>
      </c>
      <c r="H3296" s="5" t="str">
        <f ca="1">_xlfn.FORMULATEXT(표1[[#This Row],[Q''ty]])</f>
        <v>=F3197</v>
      </c>
    </row>
    <row r="3297" spans="1:8" ht="15" hidden="1" customHeight="1" x14ac:dyDescent="0.4">
      <c r="A3297" s="6">
        <v>2026</v>
      </c>
      <c r="B3297" s="6">
        <f t="shared" si="419"/>
        <v>34</v>
      </c>
      <c r="C3297" s="13" t="s">
        <v>18</v>
      </c>
      <c r="D3297" s="2" t="s">
        <v>12</v>
      </c>
      <c r="E3297" s="14" t="str">
        <f t="shared" ref="E3297:E3312" si="422">E3198</f>
        <v>BT GT</v>
      </c>
      <c r="F3297" s="22"/>
      <c r="H3297" s="5" t="e">
        <f ca="1">_xlfn.FORMULATEXT(표1[[#This Row],[Q''ty]])</f>
        <v>#N/A</v>
      </c>
    </row>
    <row r="3298" spans="1:8" ht="15" hidden="1" customHeight="1" x14ac:dyDescent="0.4">
      <c r="A3298" s="6">
        <v>2026</v>
      </c>
      <c r="B3298" s="6">
        <f t="shared" si="419"/>
        <v>34</v>
      </c>
      <c r="C3298" s="13" t="s">
        <v>18</v>
      </c>
      <c r="D3298" s="2" t="s">
        <v>12</v>
      </c>
      <c r="E3298" s="14" t="str">
        <f t="shared" si="422"/>
        <v>WT GT</v>
      </c>
      <c r="F3298" s="22"/>
      <c r="H3298" s="5" t="e">
        <f ca="1">_xlfn.FORMULATEXT(표1[[#This Row],[Q''ty]])</f>
        <v>#N/A</v>
      </c>
    </row>
    <row r="3299" spans="1:8" ht="15" hidden="1" customHeight="1" x14ac:dyDescent="0.4">
      <c r="A3299" s="6">
        <v>2026</v>
      </c>
      <c r="B3299" s="6">
        <f t="shared" si="419"/>
        <v>34</v>
      </c>
      <c r="C3299" s="13" t="s">
        <v>18</v>
      </c>
      <c r="D3299" s="2" t="s">
        <v>12</v>
      </c>
      <c r="E3299" s="14" t="str">
        <f t="shared" si="422"/>
        <v>Bending</v>
      </c>
      <c r="F3299" s="22"/>
      <c r="H3299" s="5" t="e">
        <f ca="1">_xlfn.FORMULATEXT(표1[[#This Row],[Q''ty]])</f>
        <v>#N/A</v>
      </c>
    </row>
    <row r="3300" spans="1:8" ht="15" hidden="1" customHeight="1" x14ac:dyDescent="0.4">
      <c r="A3300" s="6">
        <v>2026</v>
      </c>
      <c r="B3300" s="6">
        <f t="shared" si="419"/>
        <v>34</v>
      </c>
      <c r="C3300" s="13" t="s">
        <v>18</v>
      </c>
      <c r="D3300" s="2" t="s">
        <v>12</v>
      </c>
      <c r="E3300" s="14" t="str">
        <f t="shared" si="422"/>
        <v>L/W</v>
      </c>
      <c r="F3300" s="22"/>
      <c r="H3300" s="5" t="e">
        <f ca="1">_xlfn.FORMULATEXT(표1[[#This Row],[Q''ty]])</f>
        <v>#N/A</v>
      </c>
    </row>
    <row r="3301" spans="1:8" ht="15" hidden="1" customHeight="1" thickBot="1" x14ac:dyDescent="0.45">
      <c r="A3301" s="15">
        <v>2026</v>
      </c>
      <c r="B3301" s="15">
        <f t="shared" si="419"/>
        <v>34</v>
      </c>
      <c r="C3301" s="16" t="s">
        <v>18</v>
      </c>
      <c r="D3301" s="17" t="s">
        <v>12</v>
      </c>
      <c r="E3301" s="18" t="str">
        <f t="shared" si="422"/>
        <v>C/W</v>
      </c>
      <c r="F3301" s="23"/>
      <c r="H3301" s="5" t="e">
        <f ca="1">_xlfn.FORMULATEXT(표1[[#This Row],[Q''ty]])</f>
        <v>#N/A</v>
      </c>
    </row>
    <row r="3302" spans="1:8" ht="15" hidden="1" customHeight="1" thickTop="1" x14ac:dyDescent="0.4">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hidden="1" customHeight="1" x14ac:dyDescent="0.4">
      <c r="A3303" s="6">
        <v>2026</v>
      </c>
      <c r="B3303" s="6">
        <f t="shared" si="419"/>
        <v>34</v>
      </c>
      <c r="C3303" s="13" t="s">
        <v>19</v>
      </c>
      <c r="D3303" s="2" t="s">
        <v>6</v>
      </c>
      <c r="E3303" s="14" t="str">
        <f t="shared" si="422"/>
        <v>Paint Booth</v>
      </c>
      <c r="F3303" s="22">
        <f t="shared" si="423"/>
        <v>22</v>
      </c>
      <c r="H3303" s="5" t="str">
        <f ca="1">_xlfn.FORMULATEXT(표1[[#This Row],[Q''ty]])</f>
        <v>=F3204</v>
      </c>
    </row>
    <row r="3304" spans="1:8" ht="15" hidden="1" customHeight="1" x14ac:dyDescent="0.4">
      <c r="A3304" s="6">
        <v>2026</v>
      </c>
      <c r="B3304" s="6">
        <f t="shared" si="419"/>
        <v>34</v>
      </c>
      <c r="C3304" s="13" t="s">
        <v>19</v>
      </c>
      <c r="D3304" s="2" t="s">
        <v>6</v>
      </c>
      <c r="E3304" s="14" t="str">
        <f t="shared" si="422"/>
        <v>Paint Line</v>
      </c>
      <c r="F3304" s="22">
        <f t="shared" si="423"/>
        <v>6</v>
      </c>
      <c r="H3304" s="5" t="str">
        <f ca="1">_xlfn.FORMULATEXT(표1[[#This Row],[Q''ty]])</f>
        <v>=F3205</v>
      </c>
    </row>
    <row r="3305" spans="1:8" ht="15" hidden="1" customHeight="1" x14ac:dyDescent="0.4">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hidden="1" customHeight="1" x14ac:dyDescent="0.4">
      <c r="A3306" s="6">
        <v>2026</v>
      </c>
      <c r="B3306" s="6">
        <f t="shared" si="419"/>
        <v>34</v>
      </c>
      <c r="C3306" s="13" t="s">
        <v>19</v>
      </c>
      <c r="D3306" s="2" t="s">
        <v>6</v>
      </c>
      <c r="E3306" s="14" t="str">
        <f t="shared" si="422"/>
        <v>L/W Machine</v>
      </c>
      <c r="F3306" s="22">
        <f t="shared" si="423"/>
        <v>10</v>
      </c>
      <c r="H3306" s="5" t="str">
        <f ca="1">_xlfn.FORMULATEXT(표1[[#This Row],[Q''ty]])</f>
        <v>=F3207</v>
      </c>
    </row>
    <row r="3307" spans="1:8" ht="15" hidden="1" customHeight="1" x14ac:dyDescent="0.4">
      <c r="A3307" s="6">
        <v>2026</v>
      </c>
      <c r="B3307" s="6">
        <f t="shared" si="419"/>
        <v>34</v>
      </c>
      <c r="C3307" s="13" t="s">
        <v>19</v>
      </c>
      <c r="D3307" s="2" t="s">
        <v>6</v>
      </c>
      <c r="E3307" s="14" t="str">
        <f t="shared" si="422"/>
        <v>C/W Machine</v>
      </c>
      <c r="F3307" s="22">
        <f t="shared" si="423"/>
        <v>12</v>
      </c>
      <c r="H3307" s="5" t="str">
        <f ca="1">_xlfn.FORMULATEXT(표1[[#This Row],[Q''ty]])</f>
        <v>=F3208</v>
      </c>
    </row>
    <row r="3308" spans="1:8" ht="15" hidden="1" customHeight="1" x14ac:dyDescent="0.4">
      <c r="A3308" s="6">
        <v>2026</v>
      </c>
      <c r="B3308" s="6">
        <f t="shared" si="419"/>
        <v>34</v>
      </c>
      <c r="C3308" s="13" t="s">
        <v>19</v>
      </c>
      <c r="D3308" s="2" t="s">
        <v>12</v>
      </c>
      <c r="E3308" s="14" t="str">
        <f t="shared" si="422"/>
        <v>BT GT</v>
      </c>
      <c r="F3308" s="22"/>
      <c r="H3308" s="5" t="e">
        <f ca="1">_xlfn.FORMULATEXT(표1[[#This Row],[Q''ty]])</f>
        <v>#N/A</v>
      </c>
    </row>
    <row r="3309" spans="1:8" ht="15" hidden="1" customHeight="1" x14ac:dyDescent="0.4">
      <c r="A3309" s="6">
        <v>2026</v>
      </c>
      <c r="B3309" s="6">
        <f t="shared" si="419"/>
        <v>34</v>
      </c>
      <c r="C3309" s="13" t="s">
        <v>19</v>
      </c>
      <c r="D3309" s="2" t="s">
        <v>12</v>
      </c>
      <c r="E3309" s="14" t="str">
        <f t="shared" si="422"/>
        <v>WT GT</v>
      </c>
      <c r="F3309" s="22"/>
      <c r="H3309" s="5" t="e">
        <f ca="1">_xlfn.FORMULATEXT(표1[[#This Row],[Q''ty]])</f>
        <v>#N/A</v>
      </c>
    </row>
    <row r="3310" spans="1:8" ht="15" hidden="1" customHeight="1" x14ac:dyDescent="0.4">
      <c r="A3310" s="6">
        <v>2026</v>
      </c>
      <c r="B3310" s="6">
        <f t="shared" si="419"/>
        <v>34</v>
      </c>
      <c r="C3310" s="13" t="s">
        <v>19</v>
      </c>
      <c r="D3310" s="2" t="s">
        <v>12</v>
      </c>
      <c r="E3310" s="14" t="str">
        <f t="shared" si="422"/>
        <v>Bending</v>
      </c>
      <c r="F3310" s="22"/>
      <c r="H3310" s="5" t="e">
        <f ca="1">_xlfn.FORMULATEXT(표1[[#This Row],[Q''ty]])</f>
        <v>#N/A</v>
      </c>
    </row>
    <row r="3311" spans="1:8" ht="15" hidden="1" customHeight="1" x14ac:dyDescent="0.4">
      <c r="A3311" s="6">
        <v>2026</v>
      </c>
      <c r="B3311" s="6">
        <f t="shared" si="419"/>
        <v>34</v>
      </c>
      <c r="C3311" s="13" t="s">
        <v>19</v>
      </c>
      <c r="D3311" s="2" t="s">
        <v>12</v>
      </c>
      <c r="E3311" s="14" t="str">
        <f t="shared" si="422"/>
        <v>L/W</v>
      </c>
      <c r="F3311" s="22"/>
      <c r="H3311" s="5" t="e">
        <f ca="1">_xlfn.FORMULATEXT(표1[[#This Row],[Q''ty]])</f>
        <v>#N/A</v>
      </c>
    </row>
    <row r="3312" spans="1:8" ht="15" hidden="1" customHeight="1" thickBot="1" x14ac:dyDescent="0.45">
      <c r="A3312" s="15">
        <v>2026</v>
      </c>
      <c r="B3312" s="15">
        <f t="shared" si="419"/>
        <v>34</v>
      </c>
      <c r="C3312" s="16" t="s">
        <v>19</v>
      </c>
      <c r="D3312" s="17" t="s">
        <v>12</v>
      </c>
      <c r="E3312" s="18" t="str">
        <f t="shared" si="422"/>
        <v>C/W</v>
      </c>
      <c r="F3312" s="23"/>
      <c r="H3312" s="5" t="e">
        <f ca="1">_xlfn.FORMULATEXT(표1[[#This Row],[Q''ty]])</f>
        <v>#N/A</v>
      </c>
    </row>
    <row r="3313" spans="1:8" ht="15" hidden="1" customHeight="1" thickTop="1" x14ac:dyDescent="0.4">
      <c r="A3313" s="6">
        <v>2026</v>
      </c>
      <c r="B3313" s="6">
        <f t="shared" si="419"/>
        <v>34</v>
      </c>
      <c r="C3313" s="13" t="s">
        <v>25</v>
      </c>
      <c r="D3313" s="2" t="s">
        <v>6</v>
      </c>
      <c r="E3313" s="14" t="s">
        <v>7</v>
      </c>
      <c r="F3313" s="22">
        <f t="shared" ref="F3313:F3318" si="424">F3214</f>
        <v>3</v>
      </c>
      <c r="H3313" s="5" t="str">
        <f ca="1">_xlfn.FORMULATEXT(표1[[#This Row],[Q''ty]])</f>
        <v>=F3214</v>
      </c>
    </row>
    <row r="3314" spans="1:8" ht="15" hidden="1" customHeight="1" x14ac:dyDescent="0.4">
      <c r="A3314" s="6">
        <v>2026</v>
      </c>
      <c r="B3314" s="6">
        <f t="shared" si="419"/>
        <v>34</v>
      </c>
      <c r="C3314" s="13" t="s">
        <v>25</v>
      </c>
      <c r="D3314" s="2" t="s">
        <v>6</v>
      </c>
      <c r="E3314" s="14" t="s">
        <v>8</v>
      </c>
      <c r="F3314" s="22">
        <f t="shared" si="424"/>
        <v>3</v>
      </c>
      <c r="H3314" s="5" t="str">
        <f ca="1">_xlfn.FORMULATEXT(표1[[#This Row],[Q''ty]])</f>
        <v>=F3215</v>
      </c>
    </row>
    <row r="3315" spans="1:8" ht="15" hidden="1" customHeight="1" x14ac:dyDescent="0.4">
      <c r="A3315" s="6">
        <v>2026</v>
      </c>
      <c r="B3315" s="6">
        <f t="shared" si="419"/>
        <v>34</v>
      </c>
      <c r="C3315" s="13" t="s">
        <v>25</v>
      </c>
      <c r="D3315" s="2" t="s">
        <v>6</v>
      </c>
      <c r="E3315" s="14" t="s">
        <v>9</v>
      </c>
      <c r="F3315" s="22">
        <f t="shared" si="424"/>
        <v>2</v>
      </c>
      <c r="H3315" s="5" t="str">
        <f ca="1">_xlfn.FORMULATEXT(표1[[#This Row],[Q''ty]])</f>
        <v>=F3216</v>
      </c>
    </row>
    <row r="3316" spans="1:8" ht="15" hidden="1" customHeight="1" x14ac:dyDescent="0.4">
      <c r="A3316" s="6">
        <v>2026</v>
      </c>
      <c r="B3316" s="6">
        <f t="shared" si="419"/>
        <v>34</v>
      </c>
      <c r="C3316" s="13" t="s">
        <v>25</v>
      </c>
      <c r="D3316" s="2" t="s">
        <v>6</v>
      </c>
      <c r="E3316" s="14" t="s">
        <v>27</v>
      </c>
      <c r="F3316" s="22">
        <f t="shared" si="424"/>
        <v>2</v>
      </c>
      <c r="H3316" s="5" t="str">
        <f ca="1">_xlfn.FORMULATEXT(표1[[#This Row],[Q''ty]])</f>
        <v>=F3217</v>
      </c>
    </row>
    <row r="3317" spans="1:8" ht="15" hidden="1" customHeight="1" x14ac:dyDescent="0.4">
      <c r="A3317" s="6">
        <v>2026</v>
      </c>
      <c r="B3317" s="6">
        <f t="shared" si="419"/>
        <v>34</v>
      </c>
      <c r="C3317" s="13" t="s">
        <v>25</v>
      </c>
      <c r="D3317" s="2" t="s">
        <v>6</v>
      </c>
      <c r="E3317" s="14" t="s">
        <v>10</v>
      </c>
      <c r="F3317" s="22">
        <f t="shared" si="424"/>
        <v>3</v>
      </c>
      <c r="H3317" s="5" t="str">
        <f ca="1">_xlfn.FORMULATEXT(표1[[#This Row],[Q''ty]])</f>
        <v>=F3218</v>
      </c>
    </row>
    <row r="3318" spans="1:8" ht="15" hidden="1" customHeight="1" x14ac:dyDescent="0.4">
      <c r="A3318" s="6">
        <v>2026</v>
      </c>
      <c r="B3318" s="6">
        <f t="shared" si="419"/>
        <v>34</v>
      </c>
      <c r="C3318" s="13" t="s">
        <v>25</v>
      </c>
      <c r="D3318" s="2" t="s">
        <v>6</v>
      </c>
      <c r="E3318" s="14" t="s">
        <v>11</v>
      </c>
      <c r="F3318" s="22">
        <f t="shared" si="424"/>
        <v>4</v>
      </c>
      <c r="H3318" s="5" t="str">
        <f ca="1">_xlfn.FORMULATEXT(표1[[#This Row],[Q''ty]])</f>
        <v>=F3219</v>
      </c>
    </row>
    <row r="3319" spans="1:8" ht="15" hidden="1" customHeight="1" x14ac:dyDescent="0.4">
      <c r="A3319" s="6">
        <v>2026</v>
      </c>
      <c r="B3319" s="6">
        <f t="shared" si="419"/>
        <v>34</v>
      </c>
      <c r="C3319" s="13" t="s">
        <v>25</v>
      </c>
      <c r="D3319" s="2" t="s">
        <v>12</v>
      </c>
      <c r="E3319" s="14" t="s">
        <v>13</v>
      </c>
      <c r="F3319" s="22"/>
      <c r="H3319" s="5" t="e">
        <f ca="1">_xlfn.FORMULATEXT(표1[[#This Row],[Q''ty]])</f>
        <v>#N/A</v>
      </c>
    </row>
    <row r="3320" spans="1:8" ht="15" hidden="1" customHeight="1" x14ac:dyDescent="0.4">
      <c r="A3320" s="6">
        <v>2026</v>
      </c>
      <c r="B3320" s="6">
        <f t="shared" si="419"/>
        <v>34</v>
      </c>
      <c r="C3320" s="13" t="s">
        <v>25</v>
      </c>
      <c r="D3320" s="2" t="s">
        <v>12</v>
      </c>
      <c r="E3320" s="14" t="s">
        <v>14</v>
      </c>
      <c r="F3320" s="22"/>
      <c r="H3320" s="5" t="e">
        <f ca="1">_xlfn.FORMULATEXT(표1[[#This Row],[Q''ty]])</f>
        <v>#N/A</v>
      </c>
    </row>
    <row r="3321" spans="1:8" ht="15" hidden="1" customHeight="1" x14ac:dyDescent="0.4">
      <c r="A3321" s="6">
        <v>2026</v>
      </c>
      <c r="B3321" s="6">
        <f t="shared" si="419"/>
        <v>34</v>
      </c>
      <c r="C3321" s="13" t="s">
        <v>25</v>
      </c>
      <c r="D3321" s="2" t="s">
        <v>12</v>
      </c>
      <c r="E3321" s="14" t="s">
        <v>15</v>
      </c>
      <c r="F3321" s="22"/>
      <c r="H3321" s="5" t="e">
        <f ca="1">_xlfn.FORMULATEXT(표1[[#This Row],[Q''ty]])</f>
        <v>#N/A</v>
      </c>
    </row>
    <row r="3322" spans="1:8" ht="15" hidden="1" customHeight="1" x14ac:dyDescent="0.4">
      <c r="A3322" s="6">
        <v>2026</v>
      </c>
      <c r="B3322" s="6">
        <f t="shared" si="419"/>
        <v>34</v>
      </c>
      <c r="C3322" s="13" t="s">
        <v>25</v>
      </c>
      <c r="D3322" s="2" t="s">
        <v>12</v>
      </c>
      <c r="E3322" s="14" t="s">
        <v>16</v>
      </c>
      <c r="F3322" s="22"/>
      <c r="H3322" s="5" t="e">
        <f ca="1">_xlfn.FORMULATEXT(표1[[#This Row],[Q''ty]])</f>
        <v>#N/A</v>
      </c>
    </row>
    <row r="3323" spans="1:8" ht="15" hidden="1" customHeight="1" thickBot="1" x14ac:dyDescent="0.45">
      <c r="A3323" s="15">
        <v>2026</v>
      </c>
      <c r="B3323" s="15">
        <f t="shared" si="419"/>
        <v>34</v>
      </c>
      <c r="C3323" s="16" t="s">
        <v>25</v>
      </c>
      <c r="D3323" s="17" t="s">
        <v>12</v>
      </c>
      <c r="E3323" s="18" t="s">
        <v>17</v>
      </c>
      <c r="F3323" s="23"/>
      <c r="H3323" s="5" t="e">
        <f ca="1">_xlfn.FORMULATEXT(표1[[#This Row],[Q''ty]])</f>
        <v>#N/A</v>
      </c>
    </row>
    <row r="3324" spans="1:8" ht="15" hidden="1" customHeight="1" thickTop="1" x14ac:dyDescent="0.4">
      <c r="A3324" s="6">
        <v>2026</v>
      </c>
      <c r="B3324" s="6">
        <f t="shared" si="419"/>
        <v>34</v>
      </c>
      <c r="C3324" s="13" t="s">
        <v>26</v>
      </c>
      <c r="D3324" s="2" t="s">
        <v>6</v>
      </c>
      <c r="E3324" s="14" t="s">
        <v>7</v>
      </c>
      <c r="F3324" s="22">
        <f t="shared" ref="F3324:F3329" si="425">F3225</f>
        <v>6</v>
      </c>
      <c r="H3324" s="5" t="str">
        <f ca="1">_xlfn.FORMULATEXT(표1[[#This Row],[Q''ty]])</f>
        <v>=F3225</v>
      </c>
    </row>
    <row r="3325" spans="1:8" ht="15" hidden="1" customHeight="1" x14ac:dyDescent="0.4">
      <c r="A3325" s="6">
        <v>2026</v>
      </c>
      <c r="B3325" s="6">
        <f t="shared" si="419"/>
        <v>34</v>
      </c>
      <c r="C3325" s="13" t="s">
        <v>26</v>
      </c>
      <c r="D3325" s="2" t="s">
        <v>6</v>
      </c>
      <c r="E3325" s="14" t="s">
        <v>8</v>
      </c>
      <c r="F3325" s="22">
        <f t="shared" si="425"/>
        <v>4</v>
      </c>
      <c r="H3325" s="5" t="str">
        <f ca="1">_xlfn.FORMULATEXT(표1[[#This Row],[Q''ty]])</f>
        <v>=F3226</v>
      </c>
    </row>
    <row r="3326" spans="1:8" ht="15" hidden="1" customHeight="1" x14ac:dyDescent="0.4">
      <c r="A3326" s="6">
        <v>2026</v>
      </c>
      <c r="B3326" s="6">
        <f t="shared" si="419"/>
        <v>34</v>
      </c>
      <c r="C3326" s="13" t="s">
        <v>26</v>
      </c>
      <c r="D3326" s="2" t="s">
        <v>6</v>
      </c>
      <c r="E3326" s="14" t="s">
        <v>9</v>
      </c>
      <c r="F3326" s="22">
        <f t="shared" si="425"/>
        <v>2</v>
      </c>
      <c r="H3326" s="5" t="str">
        <f ca="1">_xlfn.FORMULATEXT(표1[[#This Row],[Q''ty]])</f>
        <v>=F3227</v>
      </c>
    </row>
    <row r="3327" spans="1:8" ht="15" hidden="1" customHeight="1" x14ac:dyDescent="0.4">
      <c r="A3327" s="6">
        <v>2026</v>
      </c>
      <c r="B3327" s="6">
        <f t="shared" si="419"/>
        <v>34</v>
      </c>
      <c r="C3327" s="13" t="s">
        <v>26</v>
      </c>
      <c r="D3327" s="2" t="s">
        <v>6</v>
      </c>
      <c r="E3327" s="14" t="s">
        <v>27</v>
      </c>
      <c r="F3327" s="22">
        <f t="shared" si="425"/>
        <v>3</v>
      </c>
      <c r="H3327" s="5" t="str">
        <f ca="1">_xlfn.FORMULATEXT(표1[[#This Row],[Q''ty]])</f>
        <v>=F3228</v>
      </c>
    </row>
    <row r="3328" spans="1:8" ht="15" hidden="1" customHeight="1" x14ac:dyDescent="0.4">
      <c r="A3328" s="6">
        <v>2026</v>
      </c>
      <c r="B3328" s="6">
        <f t="shared" si="419"/>
        <v>34</v>
      </c>
      <c r="C3328" s="13" t="s">
        <v>26</v>
      </c>
      <c r="D3328" s="2" t="s">
        <v>6</v>
      </c>
      <c r="E3328" s="14" t="s">
        <v>10</v>
      </c>
      <c r="F3328" s="22">
        <f t="shared" si="425"/>
        <v>4</v>
      </c>
      <c r="H3328" s="5" t="str">
        <f ca="1">_xlfn.FORMULATEXT(표1[[#This Row],[Q''ty]])</f>
        <v>=F3229</v>
      </c>
    </row>
    <row r="3329" spans="1:8" ht="15" hidden="1" customHeight="1" x14ac:dyDescent="0.4">
      <c r="A3329" s="6">
        <v>2026</v>
      </c>
      <c r="B3329" s="6">
        <f t="shared" si="419"/>
        <v>34</v>
      </c>
      <c r="C3329" s="13" t="s">
        <v>26</v>
      </c>
      <c r="D3329" s="2" t="s">
        <v>6</v>
      </c>
      <c r="E3329" s="14" t="s">
        <v>11</v>
      </c>
      <c r="F3329" s="22">
        <f t="shared" si="425"/>
        <v>6</v>
      </c>
      <c r="H3329" s="5" t="str">
        <f ca="1">_xlfn.FORMULATEXT(표1[[#This Row],[Q''ty]])</f>
        <v>=F3230</v>
      </c>
    </row>
    <row r="3330" spans="1:8" ht="15" hidden="1" customHeight="1" x14ac:dyDescent="0.4">
      <c r="A3330" s="6">
        <v>2026</v>
      </c>
      <c r="B3330" s="6">
        <f t="shared" si="419"/>
        <v>34</v>
      </c>
      <c r="C3330" s="13" t="s">
        <v>26</v>
      </c>
      <c r="D3330" s="2" t="s">
        <v>12</v>
      </c>
      <c r="E3330" s="14" t="str">
        <f t="shared" ref="E3330:E3367" si="426">E3231</f>
        <v>BT GT</v>
      </c>
      <c r="F3330" s="22"/>
      <c r="H3330" s="5" t="e">
        <f ca="1">_xlfn.FORMULATEXT(표1[[#This Row],[Q''ty]])</f>
        <v>#N/A</v>
      </c>
    </row>
    <row r="3331" spans="1:8" ht="15" hidden="1" customHeight="1" x14ac:dyDescent="0.4">
      <c r="A3331" s="6">
        <v>2026</v>
      </c>
      <c r="B3331" s="6">
        <f t="shared" si="419"/>
        <v>34</v>
      </c>
      <c r="C3331" s="13" t="s">
        <v>26</v>
      </c>
      <c r="D3331" s="2" t="s">
        <v>12</v>
      </c>
      <c r="E3331" s="14" t="str">
        <f t="shared" si="426"/>
        <v>WT GT</v>
      </c>
      <c r="F3331" s="22"/>
      <c r="H3331" s="5" t="e">
        <f ca="1">_xlfn.FORMULATEXT(표1[[#This Row],[Q''ty]])</f>
        <v>#N/A</v>
      </c>
    </row>
    <row r="3332" spans="1:8" ht="15" hidden="1" customHeight="1" x14ac:dyDescent="0.4">
      <c r="A3332" s="6">
        <v>2026</v>
      </c>
      <c r="B3332" s="6">
        <f t="shared" si="419"/>
        <v>34</v>
      </c>
      <c r="C3332" s="13" t="s">
        <v>26</v>
      </c>
      <c r="D3332" s="2" t="s">
        <v>12</v>
      </c>
      <c r="E3332" s="14" t="str">
        <f t="shared" si="426"/>
        <v>Bending</v>
      </c>
      <c r="F3332" s="22"/>
      <c r="H3332" s="5" t="e">
        <f ca="1">_xlfn.FORMULATEXT(표1[[#This Row],[Q''ty]])</f>
        <v>#N/A</v>
      </c>
    </row>
    <row r="3333" spans="1:8" ht="15" hidden="1" customHeight="1" x14ac:dyDescent="0.4">
      <c r="A3333" s="6">
        <v>2026</v>
      </c>
      <c r="B3333" s="6">
        <f t="shared" si="419"/>
        <v>34</v>
      </c>
      <c r="C3333" s="13" t="s">
        <v>26</v>
      </c>
      <c r="D3333" s="2" t="s">
        <v>12</v>
      </c>
      <c r="E3333" s="14" t="str">
        <f t="shared" si="426"/>
        <v>L/W</v>
      </c>
      <c r="F3333" s="22"/>
      <c r="H3333" s="5" t="e">
        <f ca="1">_xlfn.FORMULATEXT(표1[[#This Row],[Q''ty]])</f>
        <v>#N/A</v>
      </c>
    </row>
    <row r="3334" spans="1:8" ht="15" hidden="1" customHeight="1" thickBot="1" x14ac:dyDescent="0.45">
      <c r="A3334" s="15">
        <v>2026</v>
      </c>
      <c r="B3334" s="15">
        <f t="shared" ref="B3334:B3367" si="427">B3235+1</f>
        <v>34</v>
      </c>
      <c r="C3334" s="16" t="s">
        <v>26</v>
      </c>
      <c r="D3334" s="17" t="s">
        <v>12</v>
      </c>
      <c r="E3334" s="18" t="str">
        <f t="shared" si="426"/>
        <v>C/W</v>
      </c>
      <c r="F3334" s="23"/>
      <c r="H3334" s="5" t="e">
        <f ca="1">_xlfn.FORMULATEXT(표1[[#This Row],[Q''ty]])</f>
        <v>#N/A</v>
      </c>
    </row>
    <row r="3335" spans="1:8" ht="15" hidden="1" customHeight="1" thickTop="1" x14ac:dyDescent="0.4">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hidden="1" customHeight="1" x14ac:dyDescent="0.4">
      <c r="A3336" s="6">
        <v>2026</v>
      </c>
      <c r="B3336" s="6">
        <f t="shared" si="427"/>
        <v>34</v>
      </c>
      <c r="C3336" s="13" t="s">
        <v>20</v>
      </c>
      <c r="D3336" s="2" t="s">
        <v>6</v>
      </c>
      <c r="E3336" s="14" t="str">
        <f t="shared" si="426"/>
        <v>Paint Booth</v>
      </c>
      <c r="F3336" s="22">
        <f t="shared" si="428"/>
        <v>16</v>
      </c>
      <c r="H3336" s="5" t="str">
        <f ca="1">_xlfn.FORMULATEXT(표1[[#This Row],[Q''ty]])</f>
        <v>=F3237</v>
      </c>
    </row>
    <row r="3337" spans="1:8" ht="15" hidden="1" customHeight="1" x14ac:dyDescent="0.4">
      <c r="A3337" s="6">
        <v>2026</v>
      </c>
      <c r="B3337" s="6">
        <f t="shared" si="427"/>
        <v>34</v>
      </c>
      <c r="C3337" s="13" t="s">
        <v>20</v>
      </c>
      <c r="D3337" s="2" t="s">
        <v>6</v>
      </c>
      <c r="E3337" s="14" t="str">
        <f t="shared" si="426"/>
        <v>Paint Line</v>
      </c>
      <c r="F3337" s="22">
        <f t="shared" si="428"/>
        <v>8</v>
      </c>
      <c r="H3337" s="5" t="str">
        <f ca="1">_xlfn.FORMULATEXT(표1[[#This Row],[Q''ty]])</f>
        <v>=F3238</v>
      </c>
    </row>
    <row r="3338" spans="1:8" ht="15" hidden="1" customHeight="1" x14ac:dyDescent="0.4">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hidden="1" customHeight="1" x14ac:dyDescent="0.4">
      <c r="A3339" s="6">
        <v>2026</v>
      </c>
      <c r="B3339" s="6">
        <f t="shared" si="427"/>
        <v>34</v>
      </c>
      <c r="C3339" s="13" t="s">
        <v>20</v>
      </c>
      <c r="D3339" s="2" t="s">
        <v>6</v>
      </c>
      <c r="E3339" s="14" t="str">
        <f t="shared" si="426"/>
        <v>L/W Machine</v>
      </c>
      <c r="F3339" s="22">
        <f t="shared" si="428"/>
        <v>11</v>
      </c>
      <c r="H3339" s="5" t="str">
        <f ca="1">_xlfn.FORMULATEXT(표1[[#This Row],[Q''ty]])</f>
        <v>=F3240</v>
      </c>
    </row>
    <row r="3340" spans="1:8" ht="15" hidden="1" customHeight="1" x14ac:dyDescent="0.4">
      <c r="A3340" s="6">
        <v>2026</v>
      </c>
      <c r="B3340" s="6">
        <f t="shared" si="427"/>
        <v>34</v>
      </c>
      <c r="C3340" s="13" t="s">
        <v>20</v>
      </c>
      <c r="D3340" s="2" t="s">
        <v>6</v>
      </c>
      <c r="E3340" s="14" t="str">
        <f t="shared" si="426"/>
        <v>C/W Machine</v>
      </c>
      <c r="F3340" s="22">
        <f t="shared" si="428"/>
        <v>15</v>
      </c>
      <c r="H3340" s="5" t="str">
        <f ca="1">_xlfn.FORMULATEXT(표1[[#This Row],[Q''ty]])</f>
        <v>=F3241</v>
      </c>
    </row>
    <row r="3341" spans="1:8" ht="15" hidden="1" customHeight="1" x14ac:dyDescent="0.4">
      <c r="A3341" s="6">
        <v>2026</v>
      </c>
      <c r="B3341" s="6">
        <f t="shared" si="427"/>
        <v>34</v>
      </c>
      <c r="C3341" s="13" t="s">
        <v>20</v>
      </c>
      <c r="D3341" s="2" t="s">
        <v>12</v>
      </c>
      <c r="E3341" s="14" t="str">
        <f t="shared" si="426"/>
        <v>BT GT</v>
      </c>
      <c r="F3341" s="22"/>
      <c r="H3341" s="5" t="e">
        <f ca="1">_xlfn.FORMULATEXT(표1[[#This Row],[Q''ty]])</f>
        <v>#N/A</v>
      </c>
    </row>
    <row r="3342" spans="1:8" ht="15" hidden="1" customHeight="1" x14ac:dyDescent="0.4">
      <c r="A3342" s="6">
        <v>2026</v>
      </c>
      <c r="B3342" s="6">
        <f t="shared" si="427"/>
        <v>34</v>
      </c>
      <c r="C3342" s="13" t="s">
        <v>20</v>
      </c>
      <c r="D3342" s="2" t="s">
        <v>12</v>
      </c>
      <c r="E3342" s="14" t="str">
        <f t="shared" si="426"/>
        <v>WT GT</v>
      </c>
      <c r="F3342" s="22"/>
      <c r="H3342" s="5" t="e">
        <f ca="1">_xlfn.FORMULATEXT(표1[[#This Row],[Q''ty]])</f>
        <v>#N/A</v>
      </c>
    </row>
    <row r="3343" spans="1:8" ht="15" hidden="1" customHeight="1" x14ac:dyDescent="0.4">
      <c r="A3343" s="6">
        <v>2026</v>
      </c>
      <c r="B3343" s="6">
        <f t="shared" si="427"/>
        <v>34</v>
      </c>
      <c r="C3343" s="13" t="s">
        <v>20</v>
      </c>
      <c r="D3343" s="2" t="s">
        <v>12</v>
      </c>
      <c r="E3343" s="14" t="str">
        <f t="shared" si="426"/>
        <v>Bending</v>
      </c>
      <c r="F3343" s="22"/>
      <c r="H3343" s="5" t="e">
        <f ca="1">_xlfn.FORMULATEXT(표1[[#This Row],[Q''ty]])</f>
        <v>#N/A</v>
      </c>
    </row>
    <row r="3344" spans="1:8" ht="15" hidden="1" customHeight="1" x14ac:dyDescent="0.4">
      <c r="A3344" s="6">
        <v>2026</v>
      </c>
      <c r="B3344" s="6">
        <f t="shared" si="427"/>
        <v>34</v>
      </c>
      <c r="C3344" s="13" t="s">
        <v>20</v>
      </c>
      <c r="D3344" s="2" t="s">
        <v>12</v>
      </c>
      <c r="E3344" s="14" t="str">
        <f t="shared" si="426"/>
        <v>L/W</v>
      </c>
      <c r="F3344" s="22"/>
      <c r="H3344" s="5" t="e">
        <f ca="1">_xlfn.FORMULATEXT(표1[[#This Row],[Q''ty]])</f>
        <v>#N/A</v>
      </c>
    </row>
    <row r="3345" spans="1:8" ht="15" hidden="1" customHeight="1" thickBot="1" x14ac:dyDescent="0.45">
      <c r="A3345" s="15">
        <v>2026</v>
      </c>
      <c r="B3345" s="15">
        <f t="shared" si="427"/>
        <v>34</v>
      </c>
      <c r="C3345" s="16" t="s">
        <v>20</v>
      </c>
      <c r="D3345" s="17" t="s">
        <v>12</v>
      </c>
      <c r="E3345" s="18" t="str">
        <f t="shared" si="426"/>
        <v>C/W</v>
      </c>
      <c r="F3345" s="23"/>
      <c r="H3345" s="5" t="e">
        <f ca="1">_xlfn.FORMULATEXT(표1[[#This Row],[Q''ty]])</f>
        <v>#N/A</v>
      </c>
    </row>
    <row r="3346" spans="1:8" ht="15" hidden="1" customHeight="1" thickTop="1" x14ac:dyDescent="0.4">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hidden="1" customHeight="1" x14ac:dyDescent="0.4">
      <c r="A3347" s="6">
        <v>2026</v>
      </c>
      <c r="B3347" s="6">
        <f t="shared" si="427"/>
        <v>34</v>
      </c>
      <c r="C3347" s="13" t="s">
        <v>21</v>
      </c>
      <c r="D3347" s="2" t="s">
        <v>6</v>
      </c>
      <c r="E3347" s="14" t="str">
        <f t="shared" si="426"/>
        <v>Paint Booth</v>
      </c>
      <c r="F3347" s="22">
        <f t="shared" si="429"/>
        <v>4</v>
      </c>
      <c r="H3347" s="5" t="str">
        <f ca="1">_xlfn.FORMULATEXT(표1[[#This Row],[Q''ty]])</f>
        <v>=F3248</v>
      </c>
    </row>
    <row r="3348" spans="1:8" ht="15" hidden="1" customHeight="1" x14ac:dyDescent="0.4">
      <c r="A3348" s="6">
        <v>2026</v>
      </c>
      <c r="B3348" s="6">
        <f t="shared" si="427"/>
        <v>34</v>
      </c>
      <c r="C3348" s="13" t="s">
        <v>21</v>
      </c>
      <c r="D3348" s="2" t="s">
        <v>6</v>
      </c>
      <c r="E3348" s="14" t="str">
        <f t="shared" si="426"/>
        <v>Paint Line</v>
      </c>
      <c r="F3348" s="22">
        <f t="shared" si="429"/>
        <v>4</v>
      </c>
      <c r="H3348" s="5" t="str">
        <f ca="1">_xlfn.FORMULATEXT(표1[[#This Row],[Q''ty]])</f>
        <v>=F3249</v>
      </c>
    </row>
    <row r="3349" spans="1:8" ht="15" hidden="1" customHeight="1" x14ac:dyDescent="0.4">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hidden="1" customHeight="1" x14ac:dyDescent="0.4">
      <c r="A3350" s="6">
        <v>2026</v>
      </c>
      <c r="B3350" s="6">
        <f t="shared" si="427"/>
        <v>34</v>
      </c>
      <c r="C3350" s="13" t="s">
        <v>21</v>
      </c>
      <c r="D3350" s="2" t="s">
        <v>6</v>
      </c>
      <c r="E3350" s="14" t="str">
        <f t="shared" si="426"/>
        <v>L/W Machine</v>
      </c>
      <c r="F3350" s="22">
        <f t="shared" si="429"/>
        <v>4</v>
      </c>
      <c r="H3350" s="5" t="str">
        <f ca="1">_xlfn.FORMULATEXT(표1[[#This Row],[Q''ty]])</f>
        <v>=F3251</v>
      </c>
    </row>
    <row r="3351" spans="1:8" ht="15" hidden="1" customHeight="1" x14ac:dyDescent="0.4">
      <c r="A3351" s="6">
        <v>2026</v>
      </c>
      <c r="B3351" s="6">
        <f t="shared" si="427"/>
        <v>34</v>
      </c>
      <c r="C3351" s="13" t="s">
        <v>21</v>
      </c>
      <c r="D3351" s="2" t="s">
        <v>6</v>
      </c>
      <c r="E3351" s="14" t="str">
        <f t="shared" si="426"/>
        <v>C/W Machine</v>
      </c>
      <c r="F3351" s="22">
        <f t="shared" si="429"/>
        <v>6.5</v>
      </c>
      <c r="H3351" s="5" t="str">
        <f ca="1">_xlfn.FORMULATEXT(표1[[#This Row],[Q''ty]])</f>
        <v>=F3252</v>
      </c>
    </row>
    <row r="3352" spans="1:8" ht="15" hidden="1" customHeight="1" x14ac:dyDescent="0.4">
      <c r="A3352" s="6">
        <v>2026</v>
      </c>
      <c r="B3352" s="6">
        <f t="shared" si="427"/>
        <v>34</v>
      </c>
      <c r="C3352" s="13" t="s">
        <v>21</v>
      </c>
      <c r="D3352" s="2" t="s">
        <v>12</v>
      </c>
      <c r="E3352" s="14" t="str">
        <f t="shared" si="426"/>
        <v>BT GT</v>
      </c>
      <c r="F3352" s="22"/>
      <c r="H3352" s="5" t="e">
        <f ca="1">_xlfn.FORMULATEXT(표1[[#This Row],[Q''ty]])</f>
        <v>#N/A</v>
      </c>
    </row>
    <row r="3353" spans="1:8" ht="15" hidden="1" customHeight="1" x14ac:dyDescent="0.4">
      <c r="A3353" s="6">
        <v>2026</v>
      </c>
      <c r="B3353" s="6">
        <f t="shared" si="427"/>
        <v>34</v>
      </c>
      <c r="C3353" s="13" t="s">
        <v>21</v>
      </c>
      <c r="D3353" s="2" t="s">
        <v>12</v>
      </c>
      <c r="E3353" s="14" t="str">
        <f t="shared" si="426"/>
        <v>WT GT</v>
      </c>
      <c r="F3353" s="22"/>
      <c r="H3353" s="5" t="e">
        <f ca="1">_xlfn.FORMULATEXT(표1[[#This Row],[Q''ty]])</f>
        <v>#N/A</v>
      </c>
    </row>
    <row r="3354" spans="1:8" ht="15" hidden="1" customHeight="1" x14ac:dyDescent="0.4">
      <c r="A3354" s="6">
        <v>2026</v>
      </c>
      <c r="B3354" s="6">
        <f t="shared" si="427"/>
        <v>34</v>
      </c>
      <c r="C3354" s="13" t="s">
        <v>21</v>
      </c>
      <c r="D3354" s="2" t="s">
        <v>12</v>
      </c>
      <c r="E3354" s="14" t="str">
        <f t="shared" si="426"/>
        <v>Bending</v>
      </c>
      <c r="F3354" s="22"/>
      <c r="H3354" s="5" t="e">
        <f ca="1">_xlfn.FORMULATEXT(표1[[#This Row],[Q''ty]])</f>
        <v>#N/A</v>
      </c>
    </row>
    <row r="3355" spans="1:8" ht="15" hidden="1" customHeight="1" x14ac:dyDescent="0.4">
      <c r="A3355" s="6">
        <v>2026</v>
      </c>
      <c r="B3355" s="6">
        <f t="shared" si="427"/>
        <v>34</v>
      </c>
      <c r="C3355" s="13" t="s">
        <v>21</v>
      </c>
      <c r="D3355" s="2" t="s">
        <v>12</v>
      </c>
      <c r="E3355" s="14" t="str">
        <f t="shared" si="426"/>
        <v>L/W</v>
      </c>
      <c r="F3355" s="22"/>
      <c r="H3355" s="5" t="e">
        <f ca="1">_xlfn.FORMULATEXT(표1[[#This Row],[Q''ty]])</f>
        <v>#N/A</v>
      </c>
    </row>
    <row r="3356" spans="1:8" ht="15" hidden="1" customHeight="1" thickBot="1" x14ac:dyDescent="0.45">
      <c r="A3356" s="15">
        <v>2026</v>
      </c>
      <c r="B3356" s="15">
        <f t="shared" si="427"/>
        <v>34</v>
      </c>
      <c r="C3356" s="16" t="s">
        <v>21</v>
      </c>
      <c r="D3356" s="17" t="s">
        <v>12</v>
      </c>
      <c r="E3356" s="18" t="str">
        <f t="shared" si="426"/>
        <v>C/W</v>
      </c>
      <c r="F3356" s="23"/>
      <c r="H3356" s="5" t="e">
        <f ca="1">_xlfn.FORMULATEXT(표1[[#This Row],[Q''ty]])</f>
        <v>#N/A</v>
      </c>
    </row>
    <row r="3357" spans="1:8" ht="15" hidden="1" customHeight="1" thickTop="1" x14ac:dyDescent="0.4">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hidden="1" customHeight="1" x14ac:dyDescent="0.4">
      <c r="A3358" s="6">
        <v>2026</v>
      </c>
      <c r="B3358" s="6">
        <f t="shared" si="427"/>
        <v>34</v>
      </c>
      <c r="C3358" s="13" t="s">
        <v>22</v>
      </c>
      <c r="D3358" s="2" t="s">
        <v>6</v>
      </c>
      <c r="E3358" s="14" t="str">
        <f t="shared" si="426"/>
        <v>Paint Booth</v>
      </c>
      <c r="F3358" s="22">
        <f t="shared" si="430"/>
        <v>6</v>
      </c>
      <c r="H3358" s="5" t="str">
        <f ca="1">_xlfn.FORMULATEXT(표1[[#This Row],[Q''ty]])</f>
        <v>=F3259</v>
      </c>
    </row>
    <row r="3359" spans="1:8" ht="15" hidden="1" customHeight="1" x14ac:dyDescent="0.4">
      <c r="A3359" s="6">
        <v>2026</v>
      </c>
      <c r="B3359" s="6">
        <f t="shared" si="427"/>
        <v>34</v>
      </c>
      <c r="C3359" s="13" t="s">
        <v>22</v>
      </c>
      <c r="D3359" s="2" t="s">
        <v>6</v>
      </c>
      <c r="E3359" s="14" t="str">
        <f t="shared" si="426"/>
        <v>Paint Line</v>
      </c>
      <c r="F3359" s="22">
        <f t="shared" si="430"/>
        <v>4</v>
      </c>
      <c r="H3359" s="5" t="str">
        <f ca="1">_xlfn.FORMULATEXT(표1[[#This Row],[Q''ty]])</f>
        <v>=F3260</v>
      </c>
    </row>
    <row r="3360" spans="1:8" ht="15" hidden="1" customHeight="1" x14ac:dyDescent="0.4">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10" ht="15" hidden="1" customHeight="1" x14ac:dyDescent="0.4">
      <c r="A3361" s="6">
        <v>2026</v>
      </c>
      <c r="B3361" s="6">
        <f t="shared" si="427"/>
        <v>34</v>
      </c>
      <c r="C3361" s="13" t="s">
        <v>22</v>
      </c>
      <c r="D3361" s="2" t="s">
        <v>6</v>
      </c>
      <c r="E3361" s="14" t="str">
        <f t="shared" si="426"/>
        <v>L/W Machine</v>
      </c>
      <c r="F3361" s="22">
        <f t="shared" si="430"/>
        <v>7</v>
      </c>
      <c r="H3361" s="5" t="str">
        <f ca="1">_xlfn.FORMULATEXT(표1[[#This Row],[Q''ty]])</f>
        <v>=F3262</v>
      </c>
    </row>
    <row r="3362" spans="1:10" ht="15" hidden="1" customHeight="1" x14ac:dyDescent="0.4">
      <c r="A3362" s="6">
        <v>2026</v>
      </c>
      <c r="B3362" s="6">
        <f t="shared" si="427"/>
        <v>34</v>
      </c>
      <c r="C3362" s="13" t="s">
        <v>22</v>
      </c>
      <c r="D3362" s="2" t="s">
        <v>6</v>
      </c>
      <c r="E3362" s="14" t="str">
        <f t="shared" si="426"/>
        <v>C/W Machine</v>
      </c>
      <c r="F3362" s="22">
        <f t="shared" si="430"/>
        <v>12.5</v>
      </c>
      <c r="H3362" s="5" t="str">
        <f ca="1">_xlfn.FORMULATEXT(표1[[#This Row],[Q''ty]])</f>
        <v>=F3263</v>
      </c>
    </row>
    <row r="3363" spans="1:10" ht="15" hidden="1" customHeight="1" x14ac:dyDescent="0.4">
      <c r="A3363" s="6">
        <v>2026</v>
      </c>
      <c r="B3363" s="6">
        <f t="shared" si="427"/>
        <v>34</v>
      </c>
      <c r="C3363" s="13" t="s">
        <v>22</v>
      </c>
      <c r="D3363" s="2" t="s">
        <v>12</v>
      </c>
      <c r="E3363" s="14" t="str">
        <f t="shared" si="426"/>
        <v>BT GT</v>
      </c>
      <c r="F3363" s="22"/>
      <c r="H3363" s="5" t="e">
        <f ca="1">_xlfn.FORMULATEXT(표1[[#This Row],[Q''ty]])</f>
        <v>#N/A</v>
      </c>
    </row>
    <row r="3364" spans="1:10" ht="15" hidden="1" customHeight="1" x14ac:dyDescent="0.4">
      <c r="A3364" s="6">
        <v>2026</v>
      </c>
      <c r="B3364" s="6">
        <f t="shared" si="427"/>
        <v>34</v>
      </c>
      <c r="C3364" s="13" t="s">
        <v>22</v>
      </c>
      <c r="D3364" s="2" t="s">
        <v>12</v>
      </c>
      <c r="E3364" s="14" t="str">
        <f t="shared" si="426"/>
        <v>WT GT</v>
      </c>
      <c r="F3364" s="22"/>
      <c r="H3364" s="5" t="e">
        <f ca="1">_xlfn.FORMULATEXT(표1[[#This Row],[Q''ty]])</f>
        <v>#N/A</v>
      </c>
    </row>
    <row r="3365" spans="1:10" ht="15" hidden="1" customHeight="1" x14ac:dyDescent="0.4">
      <c r="A3365" s="6">
        <v>2026</v>
      </c>
      <c r="B3365" s="6">
        <f t="shared" si="427"/>
        <v>34</v>
      </c>
      <c r="C3365" s="13" t="s">
        <v>22</v>
      </c>
      <c r="D3365" s="2" t="s">
        <v>12</v>
      </c>
      <c r="E3365" s="14" t="str">
        <f t="shared" si="426"/>
        <v>Bending</v>
      </c>
      <c r="F3365" s="22"/>
      <c r="H3365" s="5" t="e">
        <f ca="1">_xlfn.FORMULATEXT(표1[[#This Row],[Q''ty]])</f>
        <v>#N/A</v>
      </c>
    </row>
    <row r="3366" spans="1:10" ht="15" hidden="1" customHeight="1" x14ac:dyDescent="0.4">
      <c r="A3366" s="6">
        <v>2026</v>
      </c>
      <c r="B3366" s="6">
        <f t="shared" si="427"/>
        <v>34</v>
      </c>
      <c r="C3366" s="13" t="s">
        <v>22</v>
      </c>
      <c r="D3366" s="2" t="s">
        <v>12</v>
      </c>
      <c r="E3366" s="14" t="str">
        <f t="shared" si="426"/>
        <v>L/W</v>
      </c>
      <c r="F3366" s="22"/>
      <c r="H3366" s="5" t="e">
        <f ca="1">_xlfn.FORMULATEXT(표1[[#This Row],[Q''ty]])</f>
        <v>#N/A</v>
      </c>
    </row>
    <row r="3367" spans="1:10" ht="15" hidden="1" customHeight="1" thickBot="1" x14ac:dyDescent="0.45">
      <c r="A3367" s="6">
        <v>2026</v>
      </c>
      <c r="B3367" s="6">
        <f t="shared" si="427"/>
        <v>34</v>
      </c>
      <c r="C3367" s="13" t="s">
        <v>22</v>
      </c>
      <c r="D3367" s="2" t="s">
        <v>12</v>
      </c>
      <c r="E3367" s="14" t="str">
        <f t="shared" si="426"/>
        <v>C/W</v>
      </c>
      <c r="F3367" s="22"/>
      <c r="H3367" s="5" t="e">
        <f ca="1">_xlfn.FORMULATEXT(표1[[#This Row],[Q''ty]])</f>
        <v>#N/A</v>
      </c>
    </row>
    <row r="3368" spans="1:10" ht="15" hidden="1" customHeight="1" thickTop="1" x14ac:dyDescent="0.4">
      <c r="A3368" s="9">
        <v>2026</v>
      </c>
      <c r="B3368" s="9">
        <f>B3269+1</f>
        <v>35</v>
      </c>
      <c r="C3368" s="10" t="s">
        <v>28</v>
      </c>
      <c r="D3368" s="11" t="s">
        <v>6</v>
      </c>
      <c r="E3368" s="12" t="s">
        <v>7</v>
      </c>
      <c r="F3368" s="21">
        <f t="shared" ref="F3368:F3373" si="431">F3269</f>
        <v>15</v>
      </c>
      <c r="H3368" s="5" t="str">
        <f ca="1">_xlfn.FORMULATEXT(표1[[#This Row],[Q''ty]])</f>
        <v>=F3269</v>
      </c>
    </row>
    <row r="3369" spans="1:10" s="2" customFormat="1" ht="15" hidden="1" customHeight="1" x14ac:dyDescent="0.4">
      <c r="A3369" s="6">
        <v>2026</v>
      </c>
      <c r="B3369" s="6">
        <f t="shared" ref="B3369:B3432" si="432">B3270+1</f>
        <v>35</v>
      </c>
      <c r="C3369" s="13" t="s">
        <v>23</v>
      </c>
      <c r="D3369" s="2" t="s">
        <v>6</v>
      </c>
      <c r="E3369" s="14" t="s">
        <v>8</v>
      </c>
      <c r="F3369" s="22">
        <f t="shared" si="431"/>
        <v>10</v>
      </c>
      <c r="H3369" s="5" t="str">
        <f ca="1">_xlfn.FORMULATEXT(표1[[#This Row],[Q''ty]])</f>
        <v>=F3270</v>
      </c>
      <c r="I3369" s="26"/>
      <c r="J3369" s="26"/>
    </row>
    <row r="3370" spans="1:10" s="2" customFormat="1" ht="15" hidden="1" customHeight="1" x14ac:dyDescent="0.4">
      <c r="A3370" s="6">
        <v>2026</v>
      </c>
      <c r="B3370" s="6">
        <f t="shared" si="432"/>
        <v>35</v>
      </c>
      <c r="C3370" s="13" t="s">
        <v>23</v>
      </c>
      <c r="D3370" s="2" t="s">
        <v>6</v>
      </c>
      <c r="E3370" s="14" t="s">
        <v>9</v>
      </c>
      <c r="F3370" s="22">
        <f t="shared" si="431"/>
        <v>5</v>
      </c>
      <c r="H3370" s="5" t="str">
        <f ca="1">_xlfn.FORMULATEXT(표1[[#This Row],[Q''ty]])</f>
        <v>=F3271</v>
      </c>
      <c r="I3370" s="26"/>
      <c r="J3370" s="26"/>
    </row>
    <row r="3371" spans="1:10" ht="15" hidden="1" customHeight="1" x14ac:dyDescent="0.4">
      <c r="A3371" s="6">
        <v>2026</v>
      </c>
      <c r="B3371" s="6">
        <f t="shared" si="432"/>
        <v>35</v>
      </c>
      <c r="C3371" s="13" t="s">
        <v>23</v>
      </c>
      <c r="D3371" s="2" t="s">
        <v>6</v>
      </c>
      <c r="E3371" s="14" t="s">
        <v>27</v>
      </c>
      <c r="F3371" s="22">
        <f t="shared" si="431"/>
        <v>6</v>
      </c>
      <c r="H3371" s="5" t="str">
        <f ca="1">_xlfn.FORMULATEXT(표1[[#This Row],[Q''ty]])</f>
        <v>=F3272</v>
      </c>
    </row>
    <row r="3372" spans="1:10" ht="15" hidden="1" customHeight="1" x14ac:dyDescent="0.4">
      <c r="A3372" s="6">
        <v>2026</v>
      </c>
      <c r="B3372" s="6">
        <f t="shared" si="432"/>
        <v>35</v>
      </c>
      <c r="C3372" s="13" t="s">
        <v>23</v>
      </c>
      <c r="D3372" s="2" t="s">
        <v>6</v>
      </c>
      <c r="E3372" s="14" t="s">
        <v>10</v>
      </c>
      <c r="F3372" s="22">
        <f t="shared" si="431"/>
        <v>10</v>
      </c>
      <c r="H3372" s="5" t="str">
        <f ca="1">_xlfn.FORMULATEXT(표1[[#This Row],[Q''ty]])</f>
        <v>=F3273</v>
      </c>
    </row>
    <row r="3373" spans="1:10" ht="15" hidden="1" customHeight="1" x14ac:dyDescent="0.4">
      <c r="A3373" s="6">
        <v>2026</v>
      </c>
      <c r="B3373" s="6">
        <f t="shared" si="432"/>
        <v>35</v>
      </c>
      <c r="C3373" s="13" t="s">
        <v>23</v>
      </c>
      <c r="D3373" s="2" t="s">
        <v>6</v>
      </c>
      <c r="E3373" s="14" t="s">
        <v>11</v>
      </c>
      <c r="F3373" s="22">
        <f t="shared" si="431"/>
        <v>10</v>
      </c>
      <c r="H3373" s="5" t="str">
        <f ca="1">_xlfn.FORMULATEXT(표1[[#This Row],[Q''ty]])</f>
        <v>=F3274</v>
      </c>
    </row>
    <row r="3374" spans="1:10" ht="15" hidden="1" customHeight="1" x14ac:dyDescent="0.4">
      <c r="A3374" s="6">
        <v>2026</v>
      </c>
      <c r="B3374" s="6">
        <f t="shared" si="432"/>
        <v>35</v>
      </c>
      <c r="C3374" s="13" t="s">
        <v>23</v>
      </c>
      <c r="D3374" s="2" t="s">
        <v>12</v>
      </c>
      <c r="E3374" s="14" t="s">
        <v>13</v>
      </c>
      <c r="F3374" s="22"/>
      <c r="H3374" s="5" t="e">
        <f ca="1">_xlfn.FORMULATEXT(표1[[#This Row],[Q''ty]])</f>
        <v>#N/A</v>
      </c>
    </row>
    <row r="3375" spans="1:10" s="2" customFormat="1" ht="15" hidden="1" customHeight="1" x14ac:dyDescent="0.4">
      <c r="A3375" s="6">
        <v>2026</v>
      </c>
      <c r="B3375" s="6">
        <f t="shared" si="432"/>
        <v>35</v>
      </c>
      <c r="C3375" s="13" t="s">
        <v>23</v>
      </c>
      <c r="D3375" s="2" t="s">
        <v>12</v>
      </c>
      <c r="E3375" s="14" t="s">
        <v>14</v>
      </c>
      <c r="F3375" s="22"/>
      <c r="H3375" s="5" t="e">
        <f ca="1">_xlfn.FORMULATEXT(표1[[#This Row],[Q''ty]])</f>
        <v>#N/A</v>
      </c>
      <c r="I3375" s="26"/>
      <c r="J3375" s="26"/>
    </row>
    <row r="3376" spans="1:10" ht="15" hidden="1" customHeight="1" x14ac:dyDescent="0.4">
      <c r="A3376" s="6">
        <v>2026</v>
      </c>
      <c r="B3376" s="6">
        <f t="shared" si="432"/>
        <v>35</v>
      </c>
      <c r="C3376" s="13" t="s">
        <v>23</v>
      </c>
      <c r="D3376" s="2" t="s">
        <v>12</v>
      </c>
      <c r="E3376" s="14" t="s">
        <v>15</v>
      </c>
      <c r="F3376" s="22"/>
      <c r="H3376" s="5" t="e">
        <f ca="1">_xlfn.FORMULATEXT(표1[[#This Row],[Q''ty]])</f>
        <v>#N/A</v>
      </c>
    </row>
    <row r="3377" spans="1:10" ht="15" hidden="1" customHeight="1" x14ac:dyDescent="0.4">
      <c r="A3377" s="6">
        <v>2026</v>
      </c>
      <c r="B3377" s="6">
        <f t="shared" si="432"/>
        <v>35</v>
      </c>
      <c r="C3377" s="13" t="s">
        <v>23</v>
      </c>
      <c r="D3377" s="2" t="s">
        <v>12</v>
      </c>
      <c r="E3377" s="14" t="s">
        <v>16</v>
      </c>
      <c r="F3377" s="22"/>
      <c r="H3377" s="5" t="e">
        <f ca="1">_xlfn.FORMULATEXT(표1[[#This Row],[Q''ty]])</f>
        <v>#N/A</v>
      </c>
    </row>
    <row r="3378" spans="1:10" ht="15" hidden="1" customHeight="1" thickBot="1" x14ac:dyDescent="0.45">
      <c r="A3378" s="15">
        <v>2026</v>
      </c>
      <c r="B3378" s="15">
        <f t="shared" si="432"/>
        <v>35</v>
      </c>
      <c r="C3378" s="16" t="s">
        <v>23</v>
      </c>
      <c r="D3378" s="17" t="s">
        <v>12</v>
      </c>
      <c r="E3378" s="18" t="s">
        <v>17</v>
      </c>
      <c r="F3378" s="23"/>
      <c r="H3378" s="5" t="e">
        <f ca="1">_xlfn.FORMULATEXT(표1[[#This Row],[Q''ty]])</f>
        <v>#N/A</v>
      </c>
    </row>
    <row r="3379" spans="1:10" ht="15" hidden="1" customHeight="1" thickTop="1" x14ac:dyDescent="0.4">
      <c r="A3379" s="9">
        <v>2026</v>
      </c>
      <c r="B3379" s="9">
        <f t="shared" si="432"/>
        <v>35</v>
      </c>
      <c r="C3379" s="10" t="s">
        <v>29</v>
      </c>
      <c r="D3379" s="11" t="s">
        <v>6</v>
      </c>
      <c r="E3379" s="12" t="s">
        <v>7</v>
      </c>
      <c r="F3379" s="21">
        <f t="shared" ref="F3379:F3384" si="433">F3280</f>
        <v>14</v>
      </c>
      <c r="H3379" s="5" t="str">
        <f ca="1">_xlfn.FORMULATEXT(표1[[#This Row],[Q''ty]])</f>
        <v>=F3280</v>
      </c>
    </row>
    <row r="3380" spans="1:10" s="2" customFormat="1" ht="15" hidden="1" customHeight="1" x14ac:dyDescent="0.4">
      <c r="A3380" s="6">
        <v>2026</v>
      </c>
      <c r="B3380" s="6">
        <f t="shared" si="432"/>
        <v>35</v>
      </c>
      <c r="C3380" s="13" t="s">
        <v>24</v>
      </c>
      <c r="D3380" s="2" t="s">
        <v>6</v>
      </c>
      <c r="E3380" s="14" t="s">
        <v>8</v>
      </c>
      <c r="F3380" s="22">
        <f t="shared" si="433"/>
        <v>8</v>
      </c>
      <c r="H3380" s="5" t="str">
        <f ca="1">_xlfn.FORMULATEXT(표1[[#This Row],[Q''ty]])</f>
        <v>=F3281</v>
      </c>
      <c r="I3380" s="26"/>
      <c r="J3380" s="26"/>
    </row>
    <row r="3381" spans="1:10" s="2" customFormat="1" ht="15" hidden="1" customHeight="1" x14ac:dyDescent="0.4">
      <c r="A3381" s="6">
        <v>2026</v>
      </c>
      <c r="B3381" s="6">
        <f t="shared" si="432"/>
        <v>35</v>
      </c>
      <c r="C3381" s="13" t="s">
        <v>24</v>
      </c>
      <c r="D3381" s="2" t="s">
        <v>6</v>
      </c>
      <c r="E3381" s="14" t="s">
        <v>9</v>
      </c>
      <c r="F3381" s="22">
        <f t="shared" si="433"/>
        <v>4</v>
      </c>
      <c r="H3381" s="5" t="str">
        <f ca="1">_xlfn.FORMULATEXT(표1[[#This Row],[Q''ty]])</f>
        <v>=F3282</v>
      </c>
      <c r="I3381" s="26"/>
      <c r="J3381" s="26"/>
    </row>
    <row r="3382" spans="1:10" ht="15" hidden="1" customHeight="1" x14ac:dyDescent="0.4">
      <c r="A3382" s="6">
        <v>2026</v>
      </c>
      <c r="B3382" s="6">
        <f t="shared" si="432"/>
        <v>35</v>
      </c>
      <c r="C3382" s="13" t="s">
        <v>24</v>
      </c>
      <c r="D3382" s="2" t="s">
        <v>6</v>
      </c>
      <c r="E3382" s="14" t="s">
        <v>27</v>
      </c>
      <c r="F3382" s="22">
        <f t="shared" si="433"/>
        <v>3</v>
      </c>
      <c r="H3382" s="5" t="str">
        <f ca="1">_xlfn.FORMULATEXT(표1[[#This Row],[Q''ty]])</f>
        <v>=F3283</v>
      </c>
    </row>
    <row r="3383" spans="1:10" ht="15" hidden="1" customHeight="1" x14ac:dyDescent="0.4">
      <c r="A3383" s="6">
        <v>2026</v>
      </c>
      <c r="B3383" s="6">
        <f t="shared" si="432"/>
        <v>35</v>
      </c>
      <c r="C3383" s="13" t="s">
        <v>24</v>
      </c>
      <c r="D3383" s="2" t="s">
        <v>6</v>
      </c>
      <c r="E3383" s="14" t="s">
        <v>10</v>
      </c>
      <c r="F3383" s="22">
        <f t="shared" si="433"/>
        <v>6</v>
      </c>
      <c r="H3383" s="5" t="str">
        <f ca="1">_xlfn.FORMULATEXT(표1[[#This Row],[Q''ty]])</f>
        <v>=F3284</v>
      </c>
    </row>
    <row r="3384" spans="1:10" ht="15" hidden="1" customHeight="1" x14ac:dyDescent="0.4">
      <c r="A3384" s="6">
        <v>2026</v>
      </c>
      <c r="B3384" s="6">
        <f t="shared" si="432"/>
        <v>35</v>
      </c>
      <c r="C3384" s="13" t="s">
        <v>24</v>
      </c>
      <c r="D3384" s="2" t="s">
        <v>6</v>
      </c>
      <c r="E3384" s="14" t="s">
        <v>11</v>
      </c>
      <c r="F3384" s="22">
        <f t="shared" si="433"/>
        <v>8.8000000000000007</v>
      </c>
      <c r="H3384" s="5" t="str">
        <f ca="1">_xlfn.FORMULATEXT(표1[[#This Row],[Q''ty]])</f>
        <v>=F3285</v>
      </c>
    </row>
    <row r="3385" spans="1:10" ht="15" hidden="1" customHeight="1" x14ac:dyDescent="0.4">
      <c r="A3385" s="6">
        <v>2026</v>
      </c>
      <c r="B3385" s="6">
        <f t="shared" si="432"/>
        <v>35</v>
      </c>
      <c r="C3385" s="13" t="s">
        <v>24</v>
      </c>
      <c r="D3385" s="2" t="s">
        <v>12</v>
      </c>
      <c r="E3385" s="14" t="s">
        <v>13</v>
      </c>
      <c r="F3385" s="22"/>
      <c r="H3385" s="5" t="e">
        <f ca="1">_xlfn.FORMULATEXT(표1[[#This Row],[Q''ty]])</f>
        <v>#N/A</v>
      </c>
    </row>
    <row r="3386" spans="1:10" s="2" customFormat="1" ht="15" hidden="1" customHeight="1" x14ac:dyDescent="0.4">
      <c r="A3386" s="6">
        <v>2026</v>
      </c>
      <c r="B3386" s="6">
        <f t="shared" si="432"/>
        <v>35</v>
      </c>
      <c r="C3386" s="13" t="s">
        <v>24</v>
      </c>
      <c r="D3386" s="2" t="s">
        <v>12</v>
      </c>
      <c r="E3386" s="14" t="s">
        <v>14</v>
      </c>
      <c r="F3386" s="22"/>
      <c r="H3386" s="5" t="e">
        <f ca="1">_xlfn.FORMULATEXT(표1[[#This Row],[Q''ty]])</f>
        <v>#N/A</v>
      </c>
      <c r="I3386" s="26"/>
      <c r="J3386" s="26"/>
    </row>
    <row r="3387" spans="1:10" ht="15" hidden="1" customHeight="1" x14ac:dyDescent="0.4">
      <c r="A3387" s="6">
        <v>2026</v>
      </c>
      <c r="B3387" s="6">
        <f t="shared" si="432"/>
        <v>35</v>
      </c>
      <c r="C3387" s="13" t="s">
        <v>24</v>
      </c>
      <c r="D3387" s="2" t="s">
        <v>12</v>
      </c>
      <c r="E3387" s="14" t="s">
        <v>15</v>
      </c>
      <c r="F3387" s="22"/>
      <c r="H3387" s="5" t="e">
        <f ca="1">_xlfn.FORMULATEXT(표1[[#This Row],[Q''ty]])</f>
        <v>#N/A</v>
      </c>
    </row>
    <row r="3388" spans="1:10" ht="15" hidden="1" customHeight="1" x14ac:dyDescent="0.4">
      <c r="A3388" s="6">
        <v>2026</v>
      </c>
      <c r="B3388" s="6">
        <f t="shared" si="432"/>
        <v>35</v>
      </c>
      <c r="C3388" s="13" t="s">
        <v>24</v>
      </c>
      <c r="D3388" s="2" t="s">
        <v>12</v>
      </c>
      <c r="E3388" s="14" t="s">
        <v>16</v>
      </c>
      <c r="F3388" s="22"/>
      <c r="H3388" s="5" t="e">
        <f ca="1">_xlfn.FORMULATEXT(표1[[#This Row],[Q''ty]])</f>
        <v>#N/A</v>
      </c>
    </row>
    <row r="3389" spans="1:10" ht="15" hidden="1" customHeight="1" thickBot="1" x14ac:dyDescent="0.45">
      <c r="A3389" s="15">
        <v>2026</v>
      </c>
      <c r="B3389" s="15">
        <f t="shared" si="432"/>
        <v>35</v>
      </c>
      <c r="C3389" s="16" t="s">
        <v>24</v>
      </c>
      <c r="D3389" s="17" t="s">
        <v>12</v>
      </c>
      <c r="E3389" s="18" t="s">
        <v>17</v>
      </c>
      <c r="F3389" s="23"/>
      <c r="H3389" s="5" t="e">
        <f ca="1">_xlfn.FORMULATEXT(표1[[#This Row],[Q''ty]])</f>
        <v>#N/A</v>
      </c>
    </row>
    <row r="3390" spans="1:10" ht="15" hidden="1" customHeight="1" thickTop="1" x14ac:dyDescent="0.4">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10" ht="15" hidden="1" customHeight="1" x14ac:dyDescent="0.4">
      <c r="A3391" s="6">
        <v>2026</v>
      </c>
      <c r="B3391" s="6">
        <f t="shared" si="432"/>
        <v>35</v>
      </c>
      <c r="C3391" s="13" t="s">
        <v>18</v>
      </c>
      <c r="D3391" s="2" t="s">
        <v>6</v>
      </c>
      <c r="E3391" s="14" t="str">
        <f t="shared" si="434"/>
        <v>Paint Booth</v>
      </c>
      <c r="F3391" s="22">
        <f t="shared" si="434"/>
        <v>3</v>
      </c>
      <c r="H3391" s="5" t="str">
        <f ca="1">_xlfn.FORMULATEXT(표1[[#This Row],[Q''ty]])</f>
        <v>=F3292</v>
      </c>
    </row>
    <row r="3392" spans="1:10" ht="15" hidden="1" customHeight="1" x14ac:dyDescent="0.4">
      <c r="A3392" s="6">
        <v>2026</v>
      </c>
      <c r="B3392" s="6">
        <f t="shared" si="432"/>
        <v>35</v>
      </c>
      <c r="C3392" s="13" t="s">
        <v>18</v>
      </c>
      <c r="D3392" s="2" t="s">
        <v>6</v>
      </c>
      <c r="E3392" s="14" t="str">
        <f t="shared" si="434"/>
        <v>Paint Line</v>
      </c>
      <c r="F3392" s="22">
        <f t="shared" si="434"/>
        <v>2</v>
      </c>
      <c r="H3392" s="5" t="str">
        <f ca="1">_xlfn.FORMULATEXT(표1[[#This Row],[Q''ty]])</f>
        <v>=F3293</v>
      </c>
    </row>
    <row r="3393" spans="1:8" ht="15" hidden="1" customHeight="1" x14ac:dyDescent="0.4">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hidden="1" customHeight="1" x14ac:dyDescent="0.4">
      <c r="A3394" s="6">
        <v>2026</v>
      </c>
      <c r="B3394" s="6">
        <f t="shared" si="432"/>
        <v>35</v>
      </c>
      <c r="C3394" s="13" t="s">
        <v>18</v>
      </c>
      <c r="D3394" s="2" t="s">
        <v>6</v>
      </c>
      <c r="E3394" s="14" t="str">
        <f t="shared" si="434"/>
        <v>L/W Machine</v>
      </c>
      <c r="F3394" s="22">
        <f t="shared" si="434"/>
        <v>2</v>
      </c>
      <c r="H3394" s="5" t="str">
        <f ca="1">_xlfn.FORMULATEXT(표1[[#This Row],[Q''ty]])</f>
        <v>=F3295</v>
      </c>
    </row>
    <row r="3395" spans="1:8" ht="15" hidden="1" customHeight="1" x14ac:dyDescent="0.4">
      <c r="A3395" s="6">
        <v>2026</v>
      </c>
      <c r="B3395" s="6">
        <f t="shared" si="432"/>
        <v>35</v>
      </c>
      <c r="C3395" s="13" t="s">
        <v>18</v>
      </c>
      <c r="D3395" s="2" t="s">
        <v>6</v>
      </c>
      <c r="E3395" s="14" t="str">
        <f t="shared" si="434"/>
        <v>C/W Machine</v>
      </c>
      <c r="F3395" s="22">
        <f t="shared" si="434"/>
        <v>3</v>
      </c>
      <c r="H3395" s="5" t="str">
        <f ca="1">_xlfn.FORMULATEXT(표1[[#This Row],[Q''ty]])</f>
        <v>=F3296</v>
      </c>
    </row>
    <row r="3396" spans="1:8" ht="15" hidden="1" customHeight="1" x14ac:dyDescent="0.4">
      <c r="A3396" s="6">
        <v>2026</v>
      </c>
      <c r="B3396" s="6">
        <f t="shared" si="432"/>
        <v>35</v>
      </c>
      <c r="C3396" s="13" t="s">
        <v>18</v>
      </c>
      <c r="D3396" s="2" t="s">
        <v>12</v>
      </c>
      <c r="E3396" s="14" t="str">
        <f t="shared" ref="E3396:E3411" si="435">E3297</f>
        <v>BT GT</v>
      </c>
      <c r="F3396" s="22"/>
      <c r="H3396" s="5" t="e">
        <f ca="1">_xlfn.FORMULATEXT(표1[[#This Row],[Q''ty]])</f>
        <v>#N/A</v>
      </c>
    </row>
    <row r="3397" spans="1:8" ht="15" hidden="1" customHeight="1" x14ac:dyDescent="0.4">
      <c r="A3397" s="6">
        <v>2026</v>
      </c>
      <c r="B3397" s="6">
        <f t="shared" si="432"/>
        <v>35</v>
      </c>
      <c r="C3397" s="13" t="s">
        <v>18</v>
      </c>
      <c r="D3397" s="2" t="s">
        <v>12</v>
      </c>
      <c r="E3397" s="14" t="str">
        <f t="shared" si="435"/>
        <v>WT GT</v>
      </c>
      <c r="F3397" s="22"/>
      <c r="H3397" s="5" t="e">
        <f ca="1">_xlfn.FORMULATEXT(표1[[#This Row],[Q''ty]])</f>
        <v>#N/A</v>
      </c>
    </row>
    <row r="3398" spans="1:8" ht="15" hidden="1" customHeight="1" x14ac:dyDescent="0.4">
      <c r="A3398" s="6">
        <v>2026</v>
      </c>
      <c r="B3398" s="6">
        <f t="shared" si="432"/>
        <v>35</v>
      </c>
      <c r="C3398" s="13" t="s">
        <v>18</v>
      </c>
      <c r="D3398" s="2" t="s">
        <v>12</v>
      </c>
      <c r="E3398" s="14" t="str">
        <f t="shared" si="435"/>
        <v>Bending</v>
      </c>
      <c r="F3398" s="22"/>
      <c r="H3398" s="5" t="e">
        <f ca="1">_xlfn.FORMULATEXT(표1[[#This Row],[Q''ty]])</f>
        <v>#N/A</v>
      </c>
    </row>
    <row r="3399" spans="1:8" ht="15" hidden="1" customHeight="1" x14ac:dyDescent="0.4">
      <c r="A3399" s="6">
        <v>2026</v>
      </c>
      <c r="B3399" s="6">
        <f t="shared" si="432"/>
        <v>35</v>
      </c>
      <c r="C3399" s="13" t="s">
        <v>18</v>
      </c>
      <c r="D3399" s="2" t="s">
        <v>12</v>
      </c>
      <c r="E3399" s="14" t="str">
        <f t="shared" si="435"/>
        <v>L/W</v>
      </c>
      <c r="F3399" s="22"/>
      <c r="H3399" s="5" t="e">
        <f ca="1">_xlfn.FORMULATEXT(표1[[#This Row],[Q''ty]])</f>
        <v>#N/A</v>
      </c>
    </row>
    <row r="3400" spans="1:8" ht="15" hidden="1" customHeight="1" thickBot="1" x14ac:dyDescent="0.45">
      <c r="A3400" s="15">
        <v>2026</v>
      </c>
      <c r="B3400" s="15">
        <f t="shared" si="432"/>
        <v>35</v>
      </c>
      <c r="C3400" s="16" t="s">
        <v>18</v>
      </c>
      <c r="D3400" s="17" t="s">
        <v>12</v>
      </c>
      <c r="E3400" s="18" t="str">
        <f t="shared" si="435"/>
        <v>C/W</v>
      </c>
      <c r="F3400" s="23"/>
      <c r="H3400" s="5" t="e">
        <f ca="1">_xlfn.FORMULATEXT(표1[[#This Row],[Q''ty]])</f>
        <v>#N/A</v>
      </c>
    </row>
    <row r="3401" spans="1:8" ht="15" hidden="1" customHeight="1" thickTop="1" x14ac:dyDescent="0.4">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hidden="1" customHeight="1" x14ac:dyDescent="0.4">
      <c r="A3402" s="6">
        <v>2026</v>
      </c>
      <c r="B3402" s="6">
        <f t="shared" si="432"/>
        <v>35</v>
      </c>
      <c r="C3402" s="13" t="s">
        <v>19</v>
      </c>
      <c r="D3402" s="2" t="s">
        <v>6</v>
      </c>
      <c r="E3402" s="14" t="str">
        <f t="shared" si="435"/>
        <v>Paint Booth</v>
      </c>
      <c r="F3402" s="22">
        <f t="shared" si="436"/>
        <v>22</v>
      </c>
      <c r="H3402" s="5" t="str">
        <f ca="1">_xlfn.FORMULATEXT(표1[[#This Row],[Q''ty]])</f>
        <v>=F3303</v>
      </c>
    </row>
    <row r="3403" spans="1:8" ht="15" hidden="1" customHeight="1" x14ac:dyDescent="0.4">
      <c r="A3403" s="6">
        <v>2026</v>
      </c>
      <c r="B3403" s="6">
        <f t="shared" si="432"/>
        <v>35</v>
      </c>
      <c r="C3403" s="13" t="s">
        <v>19</v>
      </c>
      <c r="D3403" s="2" t="s">
        <v>6</v>
      </c>
      <c r="E3403" s="14" t="str">
        <f t="shared" si="435"/>
        <v>Paint Line</v>
      </c>
      <c r="F3403" s="22">
        <f t="shared" si="436"/>
        <v>6</v>
      </c>
      <c r="H3403" s="5" t="str">
        <f ca="1">_xlfn.FORMULATEXT(표1[[#This Row],[Q''ty]])</f>
        <v>=F3304</v>
      </c>
    </row>
    <row r="3404" spans="1:8" ht="15" hidden="1" customHeight="1" x14ac:dyDescent="0.4">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hidden="1" customHeight="1" x14ac:dyDescent="0.4">
      <c r="A3405" s="6">
        <v>2026</v>
      </c>
      <c r="B3405" s="6">
        <f t="shared" si="432"/>
        <v>35</v>
      </c>
      <c r="C3405" s="13" t="s">
        <v>19</v>
      </c>
      <c r="D3405" s="2" t="s">
        <v>6</v>
      </c>
      <c r="E3405" s="14" t="str">
        <f t="shared" si="435"/>
        <v>L/W Machine</v>
      </c>
      <c r="F3405" s="22">
        <f t="shared" si="436"/>
        <v>10</v>
      </c>
      <c r="H3405" s="5" t="str">
        <f ca="1">_xlfn.FORMULATEXT(표1[[#This Row],[Q''ty]])</f>
        <v>=F3306</v>
      </c>
    </row>
    <row r="3406" spans="1:8" ht="15" hidden="1" customHeight="1" x14ac:dyDescent="0.4">
      <c r="A3406" s="6">
        <v>2026</v>
      </c>
      <c r="B3406" s="6">
        <f t="shared" si="432"/>
        <v>35</v>
      </c>
      <c r="C3406" s="13" t="s">
        <v>19</v>
      </c>
      <c r="D3406" s="2" t="s">
        <v>6</v>
      </c>
      <c r="E3406" s="14" t="str">
        <f t="shared" si="435"/>
        <v>C/W Machine</v>
      </c>
      <c r="F3406" s="22">
        <f t="shared" si="436"/>
        <v>12</v>
      </c>
      <c r="H3406" s="5" t="str">
        <f ca="1">_xlfn.FORMULATEXT(표1[[#This Row],[Q''ty]])</f>
        <v>=F3307</v>
      </c>
    </row>
    <row r="3407" spans="1:8" ht="15" hidden="1" customHeight="1" x14ac:dyDescent="0.4">
      <c r="A3407" s="6">
        <v>2026</v>
      </c>
      <c r="B3407" s="6">
        <f t="shared" si="432"/>
        <v>35</v>
      </c>
      <c r="C3407" s="13" t="s">
        <v>19</v>
      </c>
      <c r="D3407" s="2" t="s">
        <v>12</v>
      </c>
      <c r="E3407" s="14" t="str">
        <f t="shared" si="435"/>
        <v>BT GT</v>
      </c>
      <c r="F3407" s="22"/>
      <c r="H3407" s="5" t="e">
        <f ca="1">_xlfn.FORMULATEXT(표1[[#This Row],[Q''ty]])</f>
        <v>#N/A</v>
      </c>
    </row>
    <row r="3408" spans="1:8" ht="15" hidden="1" customHeight="1" x14ac:dyDescent="0.4">
      <c r="A3408" s="6">
        <v>2026</v>
      </c>
      <c r="B3408" s="6">
        <f t="shared" si="432"/>
        <v>35</v>
      </c>
      <c r="C3408" s="13" t="s">
        <v>19</v>
      </c>
      <c r="D3408" s="2" t="s">
        <v>12</v>
      </c>
      <c r="E3408" s="14" t="str">
        <f t="shared" si="435"/>
        <v>WT GT</v>
      </c>
      <c r="F3408" s="22"/>
      <c r="H3408" s="5" t="e">
        <f ca="1">_xlfn.FORMULATEXT(표1[[#This Row],[Q''ty]])</f>
        <v>#N/A</v>
      </c>
    </row>
    <row r="3409" spans="1:8" ht="15" hidden="1" customHeight="1" x14ac:dyDescent="0.4">
      <c r="A3409" s="6">
        <v>2026</v>
      </c>
      <c r="B3409" s="6">
        <f t="shared" si="432"/>
        <v>35</v>
      </c>
      <c r="C3409" s="13" t="s">
        <v>19</v>
      </c>
      <c r="D3409" s="2" t="s">
        <v>12</v>
      </c>
      <c r="E3409" s="14" t="str">
        <f t="shared" si="435"/>
        <v>Bending</v>
      </c>
      <c r="F3409" s="22"/>
      <c r="H3409" s="5" t="e">
        <f ca="1">_xlfn.FORMULATEXT(표1[[#This Row],[Q''ty]])</f>
        <v>#N/A</v>
      </c>
    </row>
    <row r="3410" spans="1:8" ht="15" hidden="1" customHeight="1" x14ac:dyDescent="0.4">
      <c r="A3410" s="6">
        <v>2026</v>
      </c>
      <c r="B3410" s="6">
        <f t="shared" si="432"/>
        <v>35</v>
      </c>
      <c r="C3410" s="13" t="s">
        <v>19</v>
      </c>
      <c r="D3410" s="2" t="s">
        <v>12</v>
      </c>
      <c r="E3410" s="14" t="str">
        <f t="shared" si="435"/>
        <v>L/W</v>
      </c>
      <c r="F3410" s="22"/>
      <c r="H3410" s="5" t="e">
        <f ca="1">_xlfn.FORMULATEXT(표1[[#This Row],[Q''ty]])</f>
        <v>#N/A</v>
      </c>
    </row>
    <row r="3411" spans="1:8" ht="15" hidden="1" customHeight="1" thickBot="1" x14ac:dyDescent="0.45">
      <c r="A3411" s="15">
        <v>2026</v>
      </c>
      <c r="B3411" s="15">
        <f t="shared" si="432"/>
        <v>35</v>
      </c>
      <c r="C3411" s="16" t="s">
        <v>19</v>
      </c>
      <c r="D3411" s="17" t="s">
        <v>12</v>
      </c>
      <c r="E3411" s="18" t="str">
        <f t="shared" si="435"/>
        <v>C/W</v>
      </c>
      <c r="F3411" s="23"/>
      <c r="H3411" s="5" t="e">
        <f ca="1">_xlfn.FORMULATEXT(표1[[#This Row],[Q''ty]])</f>
        <v>#N/A</v>
      </c>
    </row>
    <row r="3412" spans="1:8" ht="15" hidden="1" customHeight="1" thickTop="1" x14ac:dyDescent="0.4">
      <c r="A3412" s="6">
        <v>2026</v>
      </c>
      <c r="B3412" s="6">
        <f t="shared" si="432"/>
        <v>35</v>
      </c>
      <c r="C3412" s="13" t="s">
        <v>25</v>
      </c>
      <c r="D3412" s="2" t="s">
        <v>6</v>
      </c>
      <c r="E3412" s="14" t="s">
        <v>7</v>
      </c>
      <c r="F3412" s="22">
        <f t="shared" ref="F3412:F3417" si="437">F3313</f>
        <v>3</v>
      </c>
      <c r="H3412" s="5" t="str">
        <f ca="1">_xlfn.FORMULATEXT(표1[[#This Row],[Q''ty]])</f>
        <v>=F3313</v>
      </c>
    </row>
    <row r="3413" spans="1:8" ht="15" hidden="1" customHeight="1" x14ac:dyDescent="0.4">
      <c r="A3413" s="6">
        <v>2026</v>
      </c>
      <c r="B3413" s="6">
        <f t="shared" si="432"/>
        <v>35</v>
      </c>
      <c r="C3413" s="13" t="s">
        <v>25</v>
      </c>
      <c r="D3413" s="2" t="s">
        <v>6</v>
      </c>
      <c r="E3413" s="14" t="s">
        <v>8</v>
      </c>
      <c r="F3413" s="22">
        <f t="shared" si="437"/>
        <v>3</v>
      </c>
      <c r="H3413" s="5" t="str">
        <f ca="1">_xlfn.FORMULATEXT(표1[[#This Row],[Q''ty]])</f>
        <v>=F3314</v>
      </c>
    </row>
    <row r="3414" spans="1:8" ht="15" hidden="1" customHeight="1" x14ac:dyDescent="0.4">
      <c r="A3414" s="6">
        <v>2026</v>
      </c>
      <c r="B3414" s="6">
        <f t="shared" si="432"/>
        <v>35</v>
      </c>
      <c r="C3414" s="13" t="s">
        <v>25</v>
      </c>
      <c r="D3414" s="2" t="s">
        <v>6</v>
      </c>
      <c r="E3414" s="14" t="s">
        <v>9</v>
      </c>
      <c r="F3414" s="22">
        <f t="shared" si="437"/>
        <v>2</v>
      </c>
      <c r="H3414" s="5" t="str">
        <f ca="1">_xlfn.FORMULATEXT(표1[[#This Row],[Q''ty]])</f>
        <v>=F3315</v>
      </c>
    </row>
    <row r="3415" spans="1:8" ht="15" hidden="1" customHeight="1" x14ac:dyDescent="0.4">
      <c r="A3415" s="6">
        <v>2026</v>
      </c>
      <c r="B3415" s="6">
        <f t="shared" si="432"/>
        <v>35</v>
      </c>
      <c r="C3415" s="13" t="s">
        <v>25</v>
      </c>
      <c r="D3415" s="2" t="s">
        <v>6</v>
      </c>
      <c r="E3415" s="14" t="s">
        <v>27</v>
      </c>
      <c r="F3415" s="22">
        <f t="shared" si="437"/>
        <v>2</v>
      </c>
      <c r="H3415" s="5" t="str">
        <f ca="1">_xlfn.FORMULATEXT(표1[[#This Row],[Q''ty]])</f>
        <v>=F3316</v>
      </c>
    </row>
    <row r="3416" spans="1:8" ht="15" hidden="1" customHeight="1" x14ac:dyDescent="0.4">
      <c r="A3416" s="6">
        <v>2026</v>
      </c>
      <c r="B3416" s="6">
        <f t="shared" si="432"/>
        <v>35</v>
      </c>
      <c r="C3416" s="13" t="s">
        <v>25</v>
      </c>
      <c r="D3416" s="2" t="s">
        <v>6</v>
      </c>
      <c r="E3416" s="14" t="s">
        <v>10</v>
      </c>
      <c r="F3416" s="22">
        <f t="shared" si="437"/>
        <v>3</v>
      </c>
      <c r="H3416" s="5" t="str">
        <f ca="1">_xlfn.FORMULATEXT(표1[[#This Row],[Q''ty]])</f>
        <v>=F3317</v>
      </c>
    </row>
    <row r="3417" spans="1:8" ht="15" hidden="1" customHeight="1" x14ac:dyDescent="0.4">
      <c r="A3417" s="6">
        <v>2026</v>
      </c>
      <c r="B3417" s="6">
        <f t="shared" si="432"/>
        <v>35</v>
      </c>
      <c r="C3417" s="13" t="s">
        <v>25</v>
      </c>
      <c r="D3417" s="2" t="s">
        <v>6</v>
      </c>
      <c r="E3417" s="14" t="s">
        <v>11</v>
      </c>
      <c r="F3417" s="22">
        <f t="shared" si="437"/>
        <v>4</v>
      </c>
      <c r="H3417" s="5" t="str">
        <f ca="1">_xlfn.FORMULATEXT(표1[[#This Row],[Q''ty]])</f>
        <v>=F3318</v>
      </c>
    </row>
    <row r="3418" spans="1:8" ht="15" hidden="1" customHeight="1" x14ac:dyDescent="0.4">
      <c r="A3418" s="6">
        <v>2026</v>
      </c>
      <c r="B3418" s="6">
        <f t="shared" si="432"/>
        <v>35</v>
      </c>
      <c r="C3418" s="13" t="s">
        <v>25</v>
      </c>
      <c r="D3418" s="2" t="s">
        <v>12</v>
      </c>
      <c r="E3418" s="14" t="s">
        <v>13</v>
      </c>
      <c r="F3418" s="22"/>
      <c r="H3418" s="5" t="e">
        <f ca="1">_xlfn.FORMULATEXT(표1[[#This Row],[Q''ty]])</f>
        <v>#N/A</v>
      </c>
    </row>
    <row r="3419" spans="1:8" ht="15" hidden="1" customHeight="1" x14ac:dyDescent="0.4">
      <c r="A3419" s="6">
        <v>2026</v>
      </c>
      <c r="B3419" s="6">
        <f t="shared" si="432"/>
        <v>35</v>
      </c>
      <c r="C3419" s="13" t="s">
        <v>25</v>
      </c>
      <c r="D3419" s="2" t="s">
        <v>12</v>
      </c>
      <c r="E3419" s="14" t="s">
        <v>14</v>
      </c>
      <c r="F3419" s="22"/>
      <c r="H3419" s="5" t="e">
        <f ca="1">_xlfn.FORMULATEXT(표1[[#This Row],[Q''ty]])</f>
        <v>#N/A</v>
      </c>
    </row>
    <row r="3420" spans="1:8" ht="15" hidden="1" customHeight="1" x14ac:dyDescent="0.4">
      <c r="A3420" s="6">
        <v>2026</v>
      </c>
      <c r="B3420" s="6">
        <f t="shared" si="432"/>
        <v>35</v>
      </c>
      <c r="C3420" s="13" t="s">
        <v>25</v>
      </c>
      <c r="D3420" s="2" t="s">
        <v>12</v>
      </c>
      <c r="E3420" s="14" t="s">
        <v>15</v>
      </c>
      <c r="F3420" s="22"/>
      <c r="H3420" s="5" t="e">
        <f ca="1">_xlfn.FORMULATEXT(표1[[#This Row],[Q''ty]])</f>
        <v>#N/A</v>
      </c>
    </row>
    <row r="3421" spans="1:8" ht="15" hidden="1" customHeight="1" x14ac:dyDescent="0.4">
      <c r="A3421" s="6">
        <v>2026</v>
      </c>
      <c r="B3421" s="6">
        <f t="shared" si="432"/>
        <v>35</v>
      </c>
      <c r="C3421" s="13" t="s">
        <v>25</v>
      </c>
      <c r="D3421" s="2" t="s">
        <v>12</v>
      </c>
      <c r="E3421" s="14" t="s">
        <v>16</v>
      </c>
      <c r="F3421" s="22"/>
      <c r="H3421" s="5" t="e">
        <f ca="1">_xlfn.FORMULATEXT(표1[[#This Row],[Q''ty]])</f>
        <v>#N/A</v>
      </c>
    </row>
    <row r="3422" spans="1:8" ht="15" hidden="1" customHeight="1" thickBot="1" x14ac:dyDescent="0.45">
      <c r="A3422" s="15">
        <v>2026</v>
      </c>
      <c r="B3422" s="15">
        <f t="shared" si="432"/>
        <v>35</v>
      </c>
      <c r="C3422" s="16" t="s">
        <v>25</v>
      </c>
      <c r="D3422" s="17" t="s">
        <v>12</v>
      </c>
      <c r="E3422" s="18" t="s">
        <v>17</v>
      </c>
      <c r="F3422" s="23"/>
      <c r="H3422" s="5" t="e">
        <f ca="1">_xlfn.FORMULATEXT(표1[[#This Row],[Q''ty]])</f>
        <v>#N/A</v>
      </c>
    </row>
    <row r="3423" spans="1:8" ht="15" hidden="1" customHeight="1" thickTop="1" x14ac:dyDescent="0.4">
      <c r="A3423" s="6">
        <v>2026</v>
      </c>
      <c r="B3423" s="6">
        <f t="shared" si="432"/>
        <v>35</v>
      </c>
      <c r="C3423" s="13" t="s">
        <v>26</v>
      </c>
      <c r="D3423" s="2" t="s">
        <v>6</v>
      </c>
      <c r="E3423" s="14" t="s">
        <v>7</v>
      </c>
      <c r="F3423" s="22">
        <f t="shared" ref="F3423:F3428" si="438">F3324</f>
        <v>6</v>
      </c>
      <c r="H3423" s="5" t="str">
        <f ca="1">_xlfn.FORMULATEXT(표1[[#This Row],[Q''ty]])</f>
        <v>=F3324</v>
      </c>
    </row>
    <row r="3424" spans="1:8" ht="15" hidden="1" customHeight="1" x14ac:dyDescent="0.4">
      <c r="A3424" s="6">
        <v>2026</v>
      </c>
      <c r="B3424" s="6">
        <f t="shared" si="432"/>
        <v>35</v>
      </c>
      <c r="C3424" s="13" t="s">
        <v>26</v>
      </c>
      <c r="D3424" s="2" t="s">
        <v>6</v>
      </c>
      <c r="E3424" s="14" t="s">
        <v>8</v>
      </c>
      <c r="F3424" s="22">
        <f t="shared" si="438"/>
        <v>4</v>
      </c>
      <c r="H3424" s="5" t="str">
        <f ca="1">_xlfn.FORMULATEXT(표1[[#This Row],[Q''ty]])</f>
        <v>=F3325</v>
      </c>
    </row>
    <row r="3425" spans="1:8" ht="15" hidden="1" customHeight="1" x14ac:dyDescent="0.4">
      <c r="A3425" s="6">
        <v>2026</v>
      </c>
      <c r="B3425" s="6">
        <f t="shared" si="432"/>
        <v>35</v>
      </c>
      <c r="C3425" s="13" t="s">
        <v>26</v>
      </c>
      <c r="D3425" s="2" t="s">
        <v>6</v>
      </c>
      <c r="E3425" s="14" t="s">
        <v>9</v>
      </c>
      <c r="F3425" s="22">
        <f t="shared" si="438"/>
        <v>2</v>
      </c>
      <c r="H3425" s="5" t="str">
        <f ca="1">_xlfn.FORMULATEXT(표1[[#This Row],[Q''ty]])</f>
        <v>=F3326</v>
      </c>
    </row>
    <row r="3426" spans="1:8" ht="15" hidden="1" customHeight="1" x14ac:dyDescent="0.4">
      <c r="A3426" s="6">
        <v>2026</v>
      </c>
      <c r="B3426" s="6">
        <f t="shared" si="432"/>
        <v>35</v>
      </c>
      <c r="C3426" s="13" t="s">
        <v>26</v>
      </c>
      <c r="D3426" s="2" t="s">
        <v>6</v>
      </c>
      <c r="E3426" s="14" t="s">
        <v>27</v>
      </c>
      <c r="F3426" s="22">
        <f t="shared" si="438"/>
        <v>3</v>
      </c>
      <c r="H3426" s="5" t="str">
        <f ca="1">_xlfn.FORMULATEXT(표1[[#This Row],[Q''ty]])</f>
        <v>=F3327</v>
      </c>
    </row>
    <row r="3427" spans="1:8" ht="15" hidden="1" customHeight="1" x14ac:dyDescent="0.4">
      <c r="A3427" s="6">
        <v>2026</v>
      </c>
      <c r="B3427" s="6">
        <f t="shared" si="432"/>
        <v>35</v>
      </c>
      <c r="C3427" s="13" t="s">
        <v>26</v>
      </c>
      <c r="D3427" s="2" t="s">
        <v>6</v>
      </c>
      <c r="E3427" s="14" t="s">
        <v>10</v>
      </c>
      <c r="F3427" s="22">
        <f t="shared" si="438"/>
        <v>4</v>
      </c>
      <c r="H3427" s="5" t="str">
        <f ca="1">_xlfn.FORMULATEXT(표1[[#This Row],[Q''ty]])</f>
        <v>=F3328</v>
      </c>
    </row>
    <row r="3428" spans="1:8" ht="15" hidden="1" customHeight="1" x14ac:dyDescent="0.4">
      <c r="A3428" s="6">
        <v>2026</v>
      </c>
      <c r="B3428" s="6">
        <f t="shared" si="432"/>
        <v>35</v>
      </c>
      <c r="C3428" s="13" t="s">
        <v>26</v>
      </c>
      <c r="D3428" s="2" t="s">
        <v>6</v>
      </c>
      <c r="E3428" s="14" t="s">
        <v>11</v>
      </c>
      <c r="F3428" s="22">
        <f t="shared" si="438"/>
        <v>6</v>
      </c>
      <c r="H3428" s="5" t="str">
        <f ca="1">_xlfn.FORMULATEXT(표1[[#This Row],[Q''ty]])</f>
        <v>=F3329</v>
      </c>
    </row>
    <row r="3429" spans="1:8" ht="15" hidden="1" customHeight="1" x14ac:dyDescent="0.4">
      <c r="A3429" s="6">
        <v>2026</v>
      </c>
      <c r="B3429" s="6">
        <f t="shared" si="432"/>
        <v>35</v>
      </c>
      <c r="C3429" s="13" t="s">
        <v>26</v>
      </c>
      <c r="D3429" s="2" t="s">
        <v>12</v>
      </c>
      <c r="E3429" s="14" t="str">
        <f t="shared" ref="E3429:E3466" si="439">E3330</f>
        <v>BT GT</v>
      </c>
      <c r="F3429" s="22"/>
      <c r="H3429" s="5" t="e">
        <f ca="1">_xlfn.FORMULATEXT(표1[[#This Row],[Q''ty]])</f>
        <v>#N/A</v>
      </c>
    </row>
    <row r="3430" spans="1:8" ht="15" hidden="1" customHeight="1" x14ac:dyDescent="0.4">
      <c r="A3430" s="6">
        <v>2026</v>
      </c>
      <c r="B3430" s="6">
        <f t="shared" si="432"/>
        <v>35</v>
      </c>
      <c r="C3430" s="13" t="s">
        <v>26</v>
      </c>
      <c r="D3430" s="2" t="s">
        <v>12</v>
      </c>
      <c r="E3430" s="14" t="str">
        <f t="shared" si="439"/>
        <v>WT GT</v>
      </c>
      <c r="F3430" s="22"/>
      <c r="H3430" s="5" t="e">
        <f ca="1">_xlfn.FORMULATEXT(표1[[#This Row],[Q''ty]])</f>
        <v>#N/A</v>
      </c>
    </row>
    <row r="3431" spans="1:8" ht="15" hidden="1" customHeight="1" x14ac:dyDescent="0.4">
      <c r="A3431" s="6">
        <v>2026</v>
      </c>
      <c r="B3431" s="6">
        <f t="shared" si="432"/>
        <v>35</v>
      </c>
      <c r="C3431" s="13" t="s">
        <v>26</v>
      </c>
      <c r="D3431" s="2" t="s">
        <v>12</v>
      </c>
      <c r="E3431" s="14" t="str">
        <f t="shared" si="439"/>
        <v>Bending</v>
      </c>
      <c r="F3431" s="22"/>
      <c r="H3431" s="5" t="e">
        <f ca="1">_xlfn.FORMULATEXT(표1[[#This Row],[Q''ty]])</f>
        <v>#N/A</v>
      </c>
    </row>
    <row r="3432" spans="1:8" ht="15" hidden="1" customHeight="1" x14ac:dyDescent="0.4">
      <c r="A3432" s="6">
        <v>2026</v>
      </c>
      <c r="B3432" s="6">
        <f t="shared" si="432"/>
        <v>35</v>
      </c>
      <c r="C3432" s="13" t="s">
        <v>26</v>
      </c>
      <c r="D3432" s="2" t="s">
        <v>12</v>
      </c>
      <c r="E3432" s="14" t="str">
        <f t="shared" si="439"/>
        <v>L/W</v>
      </c>
      <c r="F3432" s="22"/>
      <c r="H3432" s="5" t="e">
        <f ca="1">_xlfn.FORMULATEXT(표1[[#This Row],[Q''ty]])</f>
        <v>#N/A</v>
      </c>
    </row>
    <row r="3433" spans="1:8" ht="15" hidden="1" customHeight="1" thickBot="1" x14ac:dyDescent="0.45">
      <c r="A3433" s="15">
        <v>2026</v>
      </c>
      <c r="B3433" s="15">
        <f t="shared" ref="B3433:B3466" si="440">B3334+1</f>
        <v>35</v>
      </c>
      <c r="C3433" s="16" t="s">
        <v>26</v>
      </c>
      <c r="D3433" s="17" t="s">
        <v>12</v>
      </c>
      <c r="E3433" s="18" t="str">
        <f t="shared" si="439"/>
        <v>C/W</v>
      </c>
      <c r="F3433" s="23"/>
      <c r="H3433" s="5" t="e">
        <f ca="1">_xlfn.FORMULATEXT(표1[[#This Row],[Q''ty]])</f>
        <v>#N/A</v>
      </c>
    </row>
    <row r="3434" spans="1:8" ht="15" hidden="1" customHeight="1" thickTop="1" x14ac:dyDescent="0.4">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hidden="1" customHeight="1" x14ac:dyDescent="0.4">
      <c r="A3435" s="6">
        <v>2026</v>
      </c>
      <c r="B3435" s="6">
        <f t="shared" si="440"/>
        <v>35</v>
      </c>
      <c r="C3435" s="13" t="s">
        <v>20</v>
      </c>
      <c r="D3435" s="2" t="s">
        <v>6</v>
      </c>
      <c r="E3435" s="14" t="str">
        <f t="shared" si="439"/>
        <v>Paint Booth</v>
      </c>
      <c r="F3435" s="22">
        <f t="shared" si="441"/>
        <v>16</v>
      </c>
      <c r="H3435" s="5" t="str">
        <f ca="1">_xlfn.FORMULATEXT(표1[[#This Row],[Q''ty]])</f>
        <v>=F3336</v>
      </c>
    </row>
    <row r="3436" spans="1:8" ht="15" hidden="1" customHeight="1" x14ac:dyDescent="0.4">
      <c r="A3436" s="6">
        <v>2026</v>
      </c>
      <c r="B3436" s="6">
        <f t="shared" si="440"/>
        <v>35</v>
      </c>
      <c r="C3436" s="13" t="s">
        <v>20</v>
      </c>
      <c r="D3436" s="2" t="s">
        <v>6</v>
      </c>
      <c r="E3436" s="14" t="str">
        <f t="shared" si="439"/>
        <v>Paint Line</v>
      </c>
      <c r="F3436" s="22">
        <f t="shared" si="441"/>
        <v>8</v>
      </c>
      <c r="H3436" s="5" t="str">
        <f ca="1">_xlfn.FORMULATEXT(표1[[#This Row],[Q''ty]])</f>
        <v>=F3337</v>
      </c>
    </row>
    <row r="3437" spans="1:8" ht="15" hidden="1" customHeight="1" x14ac:dyDescent="0.4">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hidden="1" customHeight="1" x14ac:dyDescent="0.4">
      <c r="A3438" s="6">
        <v>2026</v>
      </c>
      <c r="B3438" s="6">
        <f t="shared" si="440"/>
        <v>35</v>
      </c>
      <c r="C3438" s="13" t="s">
        <v>20</v>
      </c>
      <c r="D3438" s="2" t="s">
        <v>6</v>
      </c>
      <c r="E3438" s="14" t="str">
        <f t="shared" si="439"/>
        <v>L/W Machine</v>
      </c>
      <c r="F3438" s="22">
        <f t="shared" si="441"/>
        <v>11</v>
      </c>
      <c r="H3438" s="5" t="str">
        <f ca="1">_xlfn.FORMULATEXT(표1[[#This Row],[Q''ty]])</f>
        <v>=F3339</v>
      </c>
    </row>
    <row r="3439" spans="1:8" ht="15" hidden="1" customHeight="1" x14ac:dyDescent="0.4">
      <c r="A3439" s="6">
        <v>2026</v>
      </c>
      <c r="B3439" s="6">
        <f t="shared" si="440"/>
        <v>35</v>
      </c>
      <c r="C3439" s="13" t="s">
        <v>20</v>
      </c>
      <c r="D3439" s="2" t="s">
        <v>6</v>
      </c>
      <c r="E3439" s="14" t="str">
        <f t="shared" si="439"/>
        <v>C/W Machine</v>
      </c>
      <c r="F3439" s="22">
        <f t="shared" si="441"/>
        <v>15</v>
      </c>
      <c r="H3439" s="5" t="str">
        <f ca="1">_xlfn.FORMULATEXT(표1[[#This Row],[Q''ty]])</f>
        <v>=F3340</v>
      </c>
    </row>
    <row r="3440" spans="1:8" ht="15" hidden="1" customHeight="1" x14ac:dyDescent="0.4">
      <c r="A3440" s="6">
        <v>2026</v>
      </c>
      <c r="B3440" s="6">
        <f t="shared" si="440"/>
        <v>35</v>
      </c>
      <c r="C3440" s="13" t="s">
        <v>20</v>
      </c>
      <c r="D3440" s="2" t="s">
        <v>12</v>
      </c>
      <c r="E3440" s="14" t="str">
        <f t="shared" si="439"/>
        <v>BT GT</v>
      </c>
      <c r="F3440" s="22"/>
      <c r="H3440" s="5" t="e">
        <f ca="1">_xlfn.FORMULATEXT(표1[[#This Row],[Q''ty]])</f>
        <v>#N/A</v>
      </c>
    </row>
    <row r="3441" spans="1:8" ht="15" hidden="1" customHeight="1" x14ac:dyDescent="0.4">
      <c r="A3441" s="6">
        <v>2026</v>
      </c>
      <c r="B3441" s="6">
        <f t="shared" si="440"/>
        <v>35</v>
      </c>
      <c r="C3441" s="13" t="s">
        <v>20</v>
      </c>
      <c r="D3441" s="2" t="s">
        <v>12</v>
      </c>
      <c r="E3441" s="14" t="str">
        <f t="shared" si="439"/>
        <v>WT GT</v>
      </c>
      <c r="F3441" s="22"/>
      <c r="H3441" s="5" t="e">
        <f ca="1">_xlfn.FORMULATEXT(표1[[#This Row],[Q''ty]])</f>
        <v>#N/A</v>
      </c>
    </row>
    <row r="3442" spans="1:8" ht="15" hidden="1" customHeight="1" x14ac:dyDescent="0.4">
      <c r="A3442" s="6">
        <v>2026</v>
      </c>
      <c r="B3442" s="6">
        <f t="shared" si="440"/>
        <v>35</v>
      </c>
      <c r="C3442" s="13" t="s">
        <v>20</v>
      </c>
      <c r="D3442" s="2" t="s">
        <v>12</v>
      </c>
      <c r="E3442" s="14" t="str">
        <f t="shared" si="439"/>
        <v>Bending</v>
      </c>
      <c r="F3442" s="22"/>
      <c r="H3442" s="5" t="e">
        <f ca="1">_xlfn.FORMULATEXT(표1[[#This Row],[Q''ty]])</f>
        <v>#N/A</v>
      </c>
    </row>
    <row r="3443" spans="1:8" ht="15" hidden="1" customHeight="1" x14ac:dyDescent="0.4">
      <c r="A3443" s="6">
        <v>2026</v>
      </c>
      <c r="B3443" s="6">
        <f t="shared" si="440"/>
        <v>35</v>
      </c>
      <c r="C3443" s="13" t="s">
        <v>20</v>
      </c>
      <c r="D3443" s="2" t="s">
        <v>12</v>
      </c>
      <c r="E3443" s="14" t="str">
        <f t="shared" si="439"/>
        <v>L/W</v>
      </c>
      <c r="F3443" s="22"/>
      <c r="H3443" s="5" t="e">
        <f ca="1">_xlfn.FORMULATEXT(표1[[#This Row],[Q''ty]])</f>
        <v>#N/A</v>
      </c>
    </row>
    <row r="3444" spans="1:8" ht="15" hidden="1" customHeight="1" thickBot="1" x14ac:dyDescent="0.45">
      <c r="A3444" s="15">
        <v>2026</v>
      </c>
      <c r="B3444" s="15">
        <f t="shared" si="440"/>
        <v>35</v>
      </c>
      <c r="C3444" s="16" t="s">
        <v>20</v>
      </c>
      <c r="D3444" s="17" t="s">
        <v>12</v>
      </c>
      <c r="E3444" s="18" t="str">
        <f t="shared" si="439"/>
        <v>C/W</v>
      </c>
      <c r="F3444" s="23"/>
      <c r="H3444" s="5" t="e">
        <f ca="1">_xlfn.FORMULATEXT(표1[[#This Row],[Q''ty]])</f>
        <v>#N/A</v>
      </c>
    </row>
    <row r="3445" spans="1:8" ht="15" hidden="1" customHeight="1" thickTop="1" x14ac:dyDescent="0.4">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hidden="1" customHeight="1" x14ac:dyDescent="0.4">
      <c r="A3446" s="6">
        <v>2026</v>
      </c>
      <c r="B3446" s="6">
        <f t="shared" si="440"/>
        <v>35</v>
      </c>
      <c r="C3446" s="13" t="s">
        <v>21</v>
      </c>
      <c r="D3446" s="2" t="s">
        <v>6</v>
      </c>
      <c r="E3446" s="14" t="str">
        <f t="shared" si="439"/>
        <v>Paint Booth</v>
      </c>
      <c r="F3446" s="22">
        <f t="shared" si="442"/>
        <v>4</v>
      </c>
      <c r="H3446" s="5" t="str">
        <f ca="1">_xlfn.FORMULATEXT(표1[[#This Row],[Q''ty]])</f>
        <v>=F3347</v>
      </c>
    </row>
    <row r="3447" spans="1:8" ht="15" hidden="1" customHeight="1" x14ac:dyDescent="0.4">
      <c r="A3447" s="6">
        <v>2026</v>
      </c>
      <c r="B3447" s="6">
        <f t="shared" si="440"/>
        <v>35</v>
      </c>
      <c r="C3447" s="13" t="s">
        <v>21</v>
      </c>
      <c r="D3447" s="2" t="s">
        <v>6</v>
      </c>
      <c r="E3447" s="14" t="str">
        <f t="shared" si="439"/>
        <v>Paint Line</v>
      </c>
      <c r="F3447" s="22">
        <f t="shared" si="442"/>
        <v>4</v>
      </c>
      <c r="H3447" s="5" t="str">
        <f ca="1">_xlfn.FORMULATEXT(표1[[#This Row],[Q''ty]])</f>
        <v>=F3348</v>
      </c>
    </row>
    <row r="3448" spans="1:8" ht="15" hidden="1" customHeight="1" x14ac:dyDescent="0.4">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hidden="1" customHeight="1" x14ac:dyDescent="0.4">
      <c r="A3449" s="6">
        <v>2026</v>
      </c>
      <c r="B3449" s="6">
        <f t="shared" si="440"/>
        <v>35</v>
      </c>
      <c r="C3449" s="13" t="s">
        <v>21</v>
      </c>
      <c r="D3449" s="2" t="s">
        <v>6</v>
      </c>
      <c r="E3449" s="14" t="str">
        <f t="shared" si="439"/>
        <v>L/W Machine</v>
      </c>
      <c r="F3449" s="22">
        <f t="shared" si="442"/>
        <v>4</v>
      </c>
      <c r="H3449" s="5" t="str">
        <f ca="1">_xlfn.FORMULATEXT(표1[[#This Row],[Q''ty]])</f>
        <v>=F3350</v>
      </c>
    </row>
    <row r="3450" spans="1:8" ht="15" hidden="1" customHeight="1" x14ac:dyDescent="0.4">
      <c r="A3450" s="6">
        <v>2026</v>
      </c>
      <c r="B3450" s="6">
        <f t="shared" si="440"/>
        <v>35</v>
      </c>
      <c r="C3450" s="13" t="s">
        <v>21</v>
      </c>
      <c r="D3450" s="2" t="s">
        <v>6</v>
      </c>
      <c r="E3450" s="14" t="str">
        <f t="shared" si="439"/>
        <v>C/W Machine</v>
      </c>
      <c r="F3450" s="22">
        <f t="shared" si="442"/>
        <v>6.5</v>
      </c>
      <c r="H3450" s="5" t="str">
        <f ca="1">_xlfn.FORMULATEXT(표1[[#This Row],[Q''ty]])</f>
        <v>=F3351</v>
      </c>
    </row>
    <row r="3451" spans="1:8" ht="15" hidden="1" customHeight="1" x14ac:dyDescent="0.4">
      <c r="A3451" s="6">
        <v>2026</v>
      </c>
      <c r="B3451" s="6">
        <f t="shared" si="440"/>
        <v>35</v>
      </c>
      <c r="C3451" s="13" t="s">
        <v>21</v>
      </c>
      <c r="D3451" s="2" t="s">
        <v>12</v>
      </c>
      <c r="E3451" s="14" t="str">
        <f t="shared" si="439"/>
        <v>BT GT</v>
      </c>
      <c r="F3451" s="22"/>
      <c r="H3451" s="5" t="e">
        <f ca="1">_xlfn.FORMULATEXT(표1[[#This Row],[Q''ty]])</f>
        <v>#N/A</v>
      </c>
    </row>
    <row r="3452" spans="1:8" ht="15" hidden="1" customHeight="1" x14ac:dyDescent="0.4">
      <c r="A3452" s="6">
        <v>2026</v>
      </c>
      <c r="B3452" s="6">
        <f t="shared" si="440"/>
        <v>35</v>
      </c>
      <c r="C3452" s="13" t="s">
        <v>21</v>
      </c>
      <c r="D3452" s="2" t="s">
        <v>12</v>
      </c>
      <c r="E3452" s="14" t="str">
        <f t="shared" si="439"/>
        <v>WT GT</v>
      </c>
      <c r="F3452" s="22"/>
      <c r="H3452" s="5" t="e">
        <f ca="1">_xlfn.FORMULATEXT(표1[[#This Row],[Q''ty]])</f>
        <v>#N/A</v>
      </c>
    </row>
    <row r="3453" spans="1:8" ht="15" hidden="1" customHeight="1" x14ac:dyDescent="0.4">
      <c r="A3453" s="6">
        <v>2026</v>
      </c>
      <c r="B3453" s="6">
        <f t="shared" si="440"/>
        <v>35</v>
      </c>
      <c r="C3453" s="13" t="s">
        <v>21</v>
      </c>
      <c r="D3453" s="2" t="s">
        <v>12</v>
      </c>
      <c r="E3453" s="14" t="str">
        <f t="shared" si="439"/>
        <v>Bending</v>
      </c>
      <c r="F3453" s="22"/>
      <c r="H3453" s="5" t="e">
        <f ca="1">_xlfn.FORMULATEXT(표1[[#This Row],[Q''ty]])</f>
        <v>#N/A</v>
      </c>
    </row>
    <row r="3454" spans="1:8" ht="15" hidden="1" customHeight="1" x14ac:dyDescent="0.4">
      <c r="A3454" s="6">
        <v>2026</v>
      </c>
      <c r="B3454" s="6">
        <f t="shared" si="440"/>
        <v>35</v>
      </c>
      <c r="C3454" s="13" t="s">
        <v>21</v>
      </c>
      <c r="D3454" s="2" t="s">
        <v>12</v>
      </c>
      <c r="E3454" s="14" t="str">
        <f t="shared" si="439"/>
        <v>L/W</v>
      </c>
      <c r="F3454" s="22"/>
      <c r="H3454" s="5" t="e">
        <f ca="1">_xlfn.FORMULATEXT(표1[[#This Row],[Q''ty]])</f>
        <v>#N/A</v>
      </c>
    </row>
    <row r="3455" spans="1:8" ht="15" hidden="1" customHeight="1" thickBot="1" x14ac:dyDescent="0.45">
      <c r="A3455" s="15">
        <v>2026</v>
      </c>
      <c r="B3455" s="15">
        <f t="shared" si="440"/>
        <v>35</v>
      </c>
      <c r="C3455" s="16" t="s">
        <v>21</v>
      </c>
      <c r="D3455" s="17" t="s">
        <v>12</v>
      </c>
      <c r="E3455" s="18" t="str">
        <f t="shared" si="439"/>
        <v>C/W</v>
      </c>
      <c r="F3455" s="23"/>
      <c r="H3455" s="5" t="e">
        <f ca="1">_xlfn.FORMULATEXT(표1[[#This Row],[Q''ty]])</f>
        <v>#N/A</v>
      </c>
    </row>
    <row r="3456" spans="1:8" ht="15" hidden="1" customHeight="1" thickTop="1" x14ac:dyDescent="0.4">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10" ht="15" hidden="1" customHeight="1" x14ac:dyDescent="0.4">
      <c r="A3457" s="6">
        <v>2026</v>
      </c>
      <c r="B3457" s="6">
        <f t="shared" si="440"/>
        <v>35</v>
      </c>
      <c r="C3457" s="13" t="s">
        <v>22</v>
      </c>
      <c r="D3457" s="2" t="s">
        <v>6</v>
      </c>
      <c r="E3457" s="14" t="str">
        <f t="shared" si="439"/>
        <v>Paint Booth</v>
      </c>
      <c r="F3457" s="22">
        <f t="shared" si="443"/>
        <v>6</v>
      </c>
      <c r="H3457" s="5" t="str">
        <f ca="1">_xlfn.FORMULATEXT(표1[[#This Row],[Q''ty]])</f>
        <v>=F3358</v>
      </c>
    </row>
    <row r="3458" spans="1:10" ht="15" hidden="1" customHeight="1" x14ac:dyDescent="0.4">
      <c r="A3458" s="6">
        <v>2026</v>
      </c>
      <c r="B3458" s="6">
        <f t="shared" si="440"/>
        <v>35</v>
      </c>
      <c r="C3458" s="13" t="s">
        <v>22</v>
      </c>
      <c r="D3458" s="2" t="s">
        <v>6</v>
      </c>
      <c r="E3458" s="14" t="str">
        <f t="shared" si="439"/>
        <v>Paint Line</v>
      </c>
      <c r="F3458" s="22">
        <f t="shared" si="443"/>
        <v>4</v>
      </c>
      <c r="H3458" s="5" t="str">
        <f ca="1">_xlfn.FORMULATEXT(표1[[#This Row],[Q''ty]])</f>
        <v>=F3359</v>
      </c>
    </row>
    <row r="3459" spans="1:10" ht="15" hidden="1" customHeight="1" x14ac:dyDescent="0.4">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10" ht="15" hidden="1" customHeight="1" x14ac:dyDescent="0.4">
      <c r="A3460" s="6">
        <v>2026</v>
      </c>
      <c r="B3460" s="6">
        <f t="shared" si="440"/>
        <v>35</v>
      </c>
      <c r="C3460" s="13" t="s">
        <v>22</v>
      </c>
      <c r="D3460" s="2" t="s">
        <v>6</v>
      </c>
      <c r="E3460" s="14" t="str">
        <f t="shared" si="439"/>
        <v>L/W Machine</v>
      </c>
      <c r="F3460" s="22">
        <f t="shared" si="443"/>
        <v>7</v>
      </c>
      <c r="H3460" s="5" t="str">
        <f ca="1">_xlfn.FORMULATEXT(표1[[#This Row],[Q''ty]])</f>
        <v>=F3361</v>
      </c>
    </row>
    <row r="3461" spans="1:10" ht="15" hidden="1" customHeight="1" x14ac:dyDescent="0.4">
      <c r="A3461" s="6">
        <v>2026</v>
      </c>
      <c r="B3461" s="6">
        <f t="shared" si="440"/>
        <v>35</v>
      </c>
      <c r="C3461" s="13" t="s">
        <v>22</v>
      </c>
      <c r="D3461" s="2" t="s">
        <v>6</v>
      </c>
      <c r="E3461" s="14" t="str">
        <f t="shared" si="439"/>
        <v>C/W Machine</v>
      </c>
      <c r="F3461" s="22">
        <f t="shared" si="443"/>
        <v>12.5</v>
      </c>
      <c r="H3461" s="5" t="str">
        <f ca="1">_xlfn.FORMULATEXT(표1[[#This Row],[Q''ty]])</f>
        <v>=F3362</v>
      </c>
    </row>
    <row r="3462" spans="1:10" ht="15" hidden="1" customHeight="1" x14ac:dyDescent="0.4">
      <c r="A3462" s="6">
        <v>2026</v>
      </c>
      <c r="B3462" s="6">
        <f t="shared" si="440"/>
        <v>35</v>
      </c>
      <c r="C3462" s="13" t="s">
        <v>22</v>
      </c>
      <c r="D3462" s="2" t="s">
        <v>12</v>
      </c>
      <c r="E3462" s="14" t="str">
        <f t="shared" si="439"/>
        <v>BT GT</v>
      </c>
      <c r="F3462" s="22"/>
      <c r="H3462" s="5" t="e">
        <f ca="1">_xlfn.FORMULATEXT(표1[[#This Row],[Q''ty]])</f>
        <v>#N/A</v>
      </c>
    </row>
    <row r="3463" spans="1:10" ht="15" hidden="1" customHeight="1" x14ac:dyDescent="0.4">
      <c r="A3463" s="6">
        <v>2026</v>
      </c>
      <c r="B3463" s="6">
        <f t="shared" si="440"/>
        <v>35</v>
      </c>
      <c r="C3463" s="13" t="s">
        <v>22</v>
      </c>
      <c r="D3463" s="2" t="s">
        <v>12</v>
      </c>
      <c r="E3463" s="14" t="str">
        <f t="shared" si="439"/>
        <v>WT GT</v>
      </c>
      <c r="F3463" s="22"/>
      <c r="H3463" s="5" t="e">
        <f ca="1">_xlfn.FORMULATEXT(표1[[#This Row],[Q''ty]])</f>
        <v>#N/A</v>
      </c>
    </row>
    <row r="3464" spans="1:10" ht="15" hidden="1" customHeight="1" x14ac:dyDescent="0.4">
      <c r="A3464" s="6">
        <v>2026</v>
      </c>
      <c r="B3464" s="6">
        <f t="shared" si="440"/>
        <v>35</v>
      </c>
      <c r="C3464" s="13" t="s">
        <v>22</v>
      </c>
      <c r="D3464" s="2" t="s">
        <v>12</v>
      </c>
      <c r="E3464" s="14" t="str">
        <f t="shared" si="439"/>
        <v>Bending</v>
      </c>
      <c r="F3464" s="22"/>
      <c r="H3464" s="5" t="e">
        <f ca="1">_xlfn.FORMULATEXT(표1[[#This Row],[Q''ty]])</f>
        <v>#N/A</v>
      </c>
    </row>
    <row r="3465" spans="1:10" ht="15" hidden="1" customHeight="1" x14ac:dyDescent="0.4">
      <c r="A3465" s="6">
        <v>2026</v>
      </c>
      <c r="B3465" s="6">
        <f t="shared" si="440"/>
        <v>35</v>
      </c>
      <c r="C3465" s="13" t="s">
        <v>22</v>
      </c>
      <c r="D3465" s="2" t="s">
        <v>12</v>
      </c>
      <c r="E3465" s="14" t="str">
        <f t="shared" si="439"/>
        <v>L/W</v>
      </c>
      <c r="F3465" s="22"/>
      <c r="H3465" s="5" t="e">
        <f ca="1">_xlfn.FORMULATEXT(표1[[#This Row],[Q''ty]])</f>
        <v>#N/A</v>
      </c>
    </row>
    <row r="3466" spans="1:10" ht="15" hidden="1" customHeight="1" thickBot="1" x14ac:dyDescent="0.45">
      <c r="A3466" s="6">
        <v>2026</v>
      </c>
      <c r="B3466" s="6">
        <f t="shared" si="440"/>
        <v>35</v>
      </c>
      <c r="C3466" s="13" t="s">
        <v>22</v>
      </c>
      <c r="D3466" s="2" t="s">
        <v>12</v>
      </c>
      <c r="E3466" s="14" t="str">
        <f t="shared" si="439"/>
        <v>C/W</v>
      </c>
      <c r="F3466" s="22"/>
      <c r="H3466" s="5" t="e">
        <f ca="1">_xlfn.FORMULATEXT(표1[[#This Row],[Q''ty]])</f>
        <v>#N/A</v>
      </c>
    </row>
    <row r="3467" spans="1:10" ht="15" hidden="1" customHeight="1" thickTop="1" x14ac:dyDescent="0.4">
      <c r="A3467" s="9">
        <v>2026</v>
      </c>
      <c r="B3467" s="9">
        <f>B3368+1</f>
        <v>36</v>
      </c>
      <c r="C3467" s="10" t="s">
        <v>28</v>
      </c>
      <c r="D3467" s="11" t="s">
        <v>6</v>
      </c>
      <c r="E3467" s="12" t="s">
        <v>7</v>
      </c>
      <c r="F3467" s="21">
        <f t="shared" ref="F3467:F3472" si="444">F3368</f>
        <v>15</v>
      </c>
      <c r="H3467" s="5" t="str">
        <f ca="1">_xlfn.FORMULATEXT(표1[[#This Row],[Q''ty]])</f>
        <v>=F3368</v>
      </c>
    </row>
    <row r="3468" spans="1:10" s="2" customFormat="1" ht="15" hidden="1" customHeight="1" x14ac:dyDescent="0.4">
      <c r="A3468" s="6">
        <v>2026</v>
      </c>
      <c r="B3468" s="6">
        <f t="shared" ref="B3468:B3531" si="445">B3369+1</f>
        <v>36</v>
      </c>
      <c r="C3468" s="13" t="s">
        <v>23</v>
      </c>
      <c r="D3468" s="2" t="s">
        <v>6</v>
      </c>
      <c r="E3468" s="14" t="s">
        <v>8</v>
      </c>
      <c r="F3468" s="22">
        <f t="shared" si="444"/>
        <v>10</v>
      </c>
      <c r="H3468" s="5" t="str">
        <f ca="1">_xlfn.FORMULATEXT(표1[[#This Row],[Q''ty]])</f>
        <v>=F3369</v>
      </c>
      <c r="I3468" s="26"/>
      <c r="J3468" s="26"/>
    </row>
    <row r="3469" spans="1:10" s="2" customFormat="1" ht="15" hidden="1" customHeight="1" x14ac:dyDescent="0.4">
      <c r="A3469" s="6">
        <v>2026</v>
      </c>
      <c r="B3469" s="6">
        <f t="shared" si="445"/>
        <v>36</v>
      </c>
      <c r="C3469" s="13" t="s">
        <v>23</v>
      </c>
      <c r="D3469" s="2" t="s">
        <v>6</v>
      </c>
      <c r="E3469" s="14" t="s">
        <v>9</v>
      </c>
      <c r="F3469" s="22">
        <f t="shared" si="444"/>
        <v>5</v>
      </c>
      <c r="H3469" s="5" t="str">
        <f ca="1">_xlfn.FORMULATEXT(표1[[#This Row],[Q''ty]])</f>
        <v>=F3370</v>
      </c>
      <c r="I3469" s="26"/>
      <c r="J3469" s="26"/>
    </row>
    <row r="3470" spans="1:10" ht="15" hidden="1" customHeight="1" x14ac:dyDescent="0.4">
      <c r="A3470" s="6">
        <v>2026</v>
      </c>
      <c r="B3470" s="6">
        <f t="shared" si="445"/>
        <v>36</v>
      </c>
      <c r="C3470" s="13" t="s">
        <v>23</v>
      </c>
      <c r="D3470" s="2" t="s">
        <v>6</v>
      </c>
      <c r="E3470" s="14" t="s">
        <v>27</v>
      </c>
      <c r="F3470" s="22">
        <f t="shared" si="444"/>
        <v>6</v>
      </c>
      <c r="H3470" s="5" t="str">
        <f ca="1">_xlfn.FORMULATEXT(표1[[#This Row],[Q''ty]])</f>
        <v>=F3371</v>
      </c>
    </row>
    <row r="3471" spans="1:10" ht="15" hidden="1" customHeight="1" x14ac:dyDescent="0.4">
      <c r="A3471" s="6">
        <v>2026</v>
      </c>
      <c r="B3471" s="6">
        <f t="shared" si="445"/>
        <v>36</v>
      </c>
      <c r="C3471" s="13" t="s">
        <v>23</v>
      </c>
      <c r="D3471" s="2" t="s">
        <v>6</v>
      </c>
      <c r="E3471" s="14" t="s">
        <v>10</v>
      </c>
      <c r="F3471" s="22">
        <f t="shared" si="444"/>
        <v>10</v>
      </c>
      <c r="H3471" s="5" t="str">
        <f ca="1">_xlfn.FORMULATEXT(표1[[#This Row],[Q''ty]])</f>
        <v>=F3372</v>
      </c>
    </row>
    <row r="3472" spans="1:10" ht="15" hidden="1" customHeight="1" x14ac:dyDescent="0.4">
      <c r="A3472" s="6">
        <v>2026</v>
      </c>
      <c r="B3472" s="6">
        <f t="shared" si="445"/>
        <v>36</v>
      </c>
      <c r="C3472" s="13" t="s">
        <v>23</v>
      </c>
      <c r="D3472" s="2" t="s">
        <v>6</v>
      </c>
      <c r="E3472" s="14" t="s">
        <v>11</v>
      </c>
      <c r="F3472" s="22">
        <f t="shared" si="444"/>
        <v>10</v>
      </c>
      <c r="H3472" s="5" t="str">
        <f ca="1">_xlfn.FORMULATEXT(표1[[#This Row],[Q''ty]])</f>
        <v>=F3373</v>
      </c>
    </row>
    <row r="3473" spans="1:10" ht="15" hidden="1" customHeight="1" x14ac:dyDescent="0.4">
      <c r="A3473" s="6">
        <v>2026</v>
      </c>
      <c r="B3473" s="6">
        <f t="shared" si="445"/>
        <v>36</v>
      </c>
      <c r="C3473" s="13" t="s">
        <v>23</v>
      </c>
      <c r="D3473" s="2" t="s">
        <v>12</v>
      </c>
      <c r="E3473" s="14" t="s">
        <v>13</v>
      </c>
      <c r="F3473" s="22"/>
      <c r="H3473" s="5" t="e">
        <f ca="1">_xlfn.FORMULATEXT(표1[[#This Row],[Q''ty]])</f>
        <v>#N/A</v>
      </c>
    </row>
    <row r="3474" spans="1:10" s="2" customFormat="1" ht="15" hidden="1" customHeight="1" x14ac:dyDescent="0.4">
      <c r="A3474" s="6">
        <v>2026</v>
      </c>
      <c r="B3474" s="6">
        <f t="shared" si="445"/>
        <v>36</v>
      </c>
      <c r="C3474" s="13" t="s">
        <v>23</v>
      </c>
      <c r="D3474" s="2" t="s">
        <v>12</v>
      </c>
      <c r="E3474" s="14" t="s">
        <v>14</v>
      </c>
      <c r="F3474" s="22"/>
      <c r="H3474" s="5" t="e">
        <f ca="1">_xlfn.FORMULATEXT(표1[[#This Row],[Q''ty]])</f>
        <v>#N/A</v>
      </c>
      <c r="I3474" s="26"/>
      <c r="J3474" s="26"/>
    </row>
    <row r="3475" spans="1:10" ht="15" hidden="1" customHeight="1" x14ac:dyDescent="0.4">
      <c r="A3475" s="6">
        <v>2026</v>
      </c>
      <c r="B3475" s="6">
        <f t="shared" si="445"/>
        <v>36</v>
      </c>
      <c r="C3475" s="13" t="s">
        <v>23</v>
      </c>
      <c r="D3475" s="2" t="s">
        <v>12</v>
      </c>
      <c r="E3475" s="14" t="s">
        <v>15</v>
      </c>
      <c r="F3475" s="22"/>
      <c r="H3475" s="5" t="e">
        <f ca="1">_xlfn.FORMULATEXT(표1[[#This Row],[Q''ty]])</f>
        <v>#N/A</v>
      </c>
    </row>
    <row r="3476" spans="1:10" ht="15" hidden="1" customHeight="1" x14ac:dyDescent="0.4">
      <c r="A3476" s="6">
        <v>2026</v>
      </c>
      <c r="B3476" s="6">
        <f t="shared" si="445"/>
        <v>36</v>
      </c>
      <c r="C3476" s="13" t="s">
        <v>23</v>
      </c>
      <c r="D3476" s="2" t="s">
        <v>12</v>
      </c>
      <c r="E3476" s="14" t="s">
        <v>16</v>
      </c>
      <c r="F3476" s="22"/>
      <c r="H3476" s="5" t="e">
        <f ca="1">_xlfn.FORMULATEXT(표1[[#This Row],[Q''ty]])</f>
        <v>#N/A</v>
      </c>
    </row>
    <row r="3477" spans="1:10" ht="15" hidden="1" customHeight="1" thickBot="1" x14ac:dyDescent="0.45">
      <c r="A3477" s="15">
        <v>2026</v>
      </c>
      <c r="B3477" s="15">
        <f t="shared" si="445"/>
        <v>36</v>
      </c>
      <c r="C3477" s="16" t="s">
        <v>23</v>
      </c>
      <c r="D3477" s="17" t="s">
        <v>12</v>
      </c>
      <c r="E3477" s="18" t="s">
        <v>17</v>
      </c>
      <c r="F3477" s="23"/>
      <c r="H3477" s="5" t="e">
        <f ca="1">_xlfn.FORMULATEXT(표1[[#This Row],[Q''ty]])</f>
        <v>#N/A</v>
      </c>
    </row>
    <row r="3478" spans="1:10" ht="15" hidden="1" customHeight="1" thickTop="1" x14ac:dyDescent="0.4">
      <c r="A3478" s="9">
        <v>2026</v>
      </c>
      <c r="B3478" s="9">
        <f t="shared" si="445"/>
        <v>36</v>
      </c>
      <c r="C3478" s="10" t="s">
        <v>29</v>
      </c>
      <c r="D3478" s="11" t="s">
        <v>6</v>
      </c>
      <c r="E3478" s="12" t="s">
        <v>7</v>
      </c>
      <c r="F3478" s="21">
        <f t="shared" ref="F3478:F3483" si="446">F3379</f>
        <v>14</v>
      </c>
      <c r="H3478" s="5" t="str">
        <f ca="1">_xlfn.FORMULATEXT(표1[[#This Row],[Q''ty]])</f>
        <v>=F3379</v>
      </c>
    </row>
    <row r="3479" spans="1:10" s="2" customFormat="1" ht="15" hidden="1" customHeight="1" x14ac:dyDescent="0.4">
      <c r="A3479" s="6">
        <v>2026</v>
      </c>
      <c r="B3479" s="6">
        <f t="shared" si="445"/>
        <v>36</v>
      </c>
      <c r="C3479" s="13" t="s">
        <v>24</v>
      </c>
      <c r="D3479" s="2" t="s">
        <v>6</v>
      </c>
      <c r="E3479" s="14" t="s">
        <v>8</v>
      </c>
      <c r="F3479" s="22">
        <f t="shared" si="446"/>
        <v>8</v>
      </c>
      <c r="H3479" s="5" t="str">
        <f ca="1">_xlfn.FORMULATEXT(표1[[#This Row],[Q''ty]])</f>
        <v>=F3380</v>
      </c>
      <c r="I3479" s="26"/>
      <c r="J3479" s="26"/>
    </row>
    <row r="3480" spans="1:10" s="2" customFormat="1" ht="15" hidden="1" customHeight="1" x14ac:dyDescent="0.4">
      <c r="A3480" s="6">
        <v>2026</v>
      </c>
      <c r="B3480" s="6">
        <f t="shared" si="445"/>
        <v>36</v>
      </c>
      <c r="C3480" s="13" t="s">
        <v>24</v>
      </c>
      <c r="D3480" s="2" t="s">
        <v>6</v>
      </c>
      <c r="E3480" s="14" t="s">
        <v>9</v>
      </c>
      <c r="F3480" s="22">
        <f t="shared" si="446"/>
        <v>4</v>
      </c>
      <c r="H3480" s="5" t="str">
        <f ca="1">_xlfn.FORMULATEXT(표1[[#This Row],[Q''ty]])</f>
        <v>=F3381</v>
      </c>
      <c r="I3480" s="26"/>
      <c r="J3480" s="26"/>
    </row>
    <row r="3481" spans="1:10" ht="15" hidden="1" customHeight="1" x14ac:dyDescent="0.4">
      <c r="A3481" s="6">
        <v>2026</v>
      </c>
      <c r="B3481" s="6">
        <f t="shared" si="445"/>
        <v>36</v>
      </c>
      <c r="C3481" s="13" t="s">
        <v>24</v>
      </c>
      <c r="D3481" s="2" t="s">
        <v>6</v>
      </c>
      <c r="E3481" s="14" t="s">
        <v>27</v>
      </c>
      <c r="F3481" s="22">
        <f t="shared" si="446"/>
        <v>3</v>
      </c>
      <c r="H3481" s="5" t="str">
        <f ca="1">_xlfn.FORMULATEXT(표1[[#This Row],[Q''ty]])</f>
        <v>=F3382</v>
      </c>
    </row>
    <row r="3482" spans="1:10" ht="15" hidden="1" customHeight="1" x14ac:dyDescent="0.4">
      <c r="A3482" s="6">
        <v>2026</v>
      </c>
      <c r="B3482" s="6">
        <f t="shared" si="445"/>
        <v>36</v>
      </c>
      <c r="C3482" s="13" t="s">
        <v>24</v>
      </c>
      <c r="D3482" s="2" t="s">
        <v>6</v>
      </c>
      <c r="E3482" s="14" t="s">
        <v>10</v>
      </c>
      <c r="F3482" s="22">
        <f t="shared" si="446"/>
        <v>6</v>
      </c>
      <c r="H3482" s="5" t="str">
        <f ca="1">_xlfn.FORMULATEXT(표1[[#This Row],[Q''ty]])</f>
        <v>=F3383</v>
      </c>
    </row>
    <row r="3483" spans="1:10" ht="15" hidden="1" customHeight="1" x14ac:dyDescent="0.4">
      <c r="A3483" s="6">
        <v>2026</v>
      </c>
      <c r="B3483" s="6">
        <f t="shared" si="445"/>
        <v>36</v>
      </c>
      <c r="C3483" s="13" t="s">
        <v>24</v>
      </c>
      <c r="D3483" s="2" t="s">
        <v>6</v>
      </c>
      <c r="E3483" s="14" t="s">
        <v>11</v>
      </c>
      <c r="F3483" s="22">
        <f t="shared" si="446"/>
        <v>8.8000000000000007</v>
      </c>
      <c r="H3483" s="5" t="str">
        <f ca="1">_xlfn.FORMULATEXT(표1[[#This Row],[Q''ty]])</f>
        <v>=F3384</v>
      </c>
    </row>
    <row r="3484" spans="1:10" ht="15" hidden="1" customHeight="1" x14ac:dyDescent="0.4">
      <c r="A3484" s="6">
        <v>2026</v>
      </c>
      <c r="B3484" s="6">
        <f t="shared" si="445"/>
        <v>36</v>
      </c>
      <c r="C3484" s="13" t="s">
        <v>24</v>
      </c>
      <c r="D3484" s="2" t="s">
        <v>12</v>
      </c>
      <c r="E3484" s="14" t="s">
        <v>13</v>
      </c>
      <c r="F3484" s="22"/>
      <c r="H3484" s="5" t="e">
        <f ca="1">_xlfn.FORMULATEXT(표1[[#This Row],[Q''ty]])</f>
        <v>#N/A</v>
      </c>
    </row>
    <row r="3485" spans="1:10" s="2" customFormat="1" ht="15" hidden="1" customHeight="1" x14ac:dyDescent="0.4">
      <c r="A3485" s="6">
        <v>2026</v>
      </c>
      <c r="B3485" s="6">
        <f t="shared" si="445"/>
        <v>36</v>
      </c>
      <c r="C3485" s="13" t="s">
        <v>24</v>
      </c>
      <c r="D3485" s="2" t="s">
        <v>12</v>
      </c>
      <c r="E3485" s="14" t="s">
        <v>14</v>
      </c>
      <c r="F3485" s="22"/>
      <c r="H3485" s="5" t="e">
        <f ca="1">_xlfn.FORMULATEXT(표1[[#This Row],[Q''ty]])</f>
        <v>#N/A</v>
      </c>
      <c r="I3485" s="26"/>
      <c r="J3485" s="26"/>
    </row>
    <row r="3486" spans="1:10" ht="15" hidden="1" customHeight="1" x14ac:dyDescent="0.4">
      <c r="A3486" s="6">
        <v>2026</v>
      </c>
      <c r="B3486" s="6">
        <f t="shared" si="445"/>
        <v>36</v>
      </c>
      <c r="C3486" s="13" t="s">
        <v>24</v>
      </c>
      <c r="D3486" s="2" t="s">
        <v>12</v>
      </c>
      <c r="E3486" s="14" t="s">
        <v>15</v>
      </c>
      <c r="F3486" s="22"/>
      <c r="H3486" s="5" t="e">
        <f ca="1">_xlfn.FORMULATEXT(표1[[#This Row],[Q''ty]])</f>
        <v>#N/A</v>
      </c>
    </row>
    <row r="3487" spans="1:10" ht="15" hidden="1" customHeight="1" x14ac:dyDescent="0.4">
      <c r="A3487" s="6">
        <v>2026</v>
      </c>
      <c r="B3487" s="6">
        <f t="shared" si="445"/>
        <v>36</v>
      </c>
      <c r="C3487" s="13" t="s">
        <v>24</v>
      </c>
      <c r="D3487" s="2" t="s">
        <v>12</v>
      </c>
      <c r="E3487" s="14" t="s">
        <v>16</v>
      </c>
      <c r="F3487" s="22"/>
      <c r="H3487" s="5" t="e">
        <f ca="1">_xlfn.FORMULATEXT(표1[[#This Row],[Q''ty]])</f>
        <v>#N/A</v>
      </c>
    </row>
    <row r="3488" spans="1:10" ht="15" hidden="1" customHeight="1" thickBot="1" x14ac:dyDescent="0.45">
      <c r="A3488" s="15">
        <v>2026</v>
      </c>
      <c r="B3488" s="15">
        <f t="shared" si="445"/>
        <v>36</v>
      </c>
      <c r="C3488" s="16" t="s">
        <v>24</v>
      </c>
      <c r="D3488" s="17" t="s">
        <v>12</v>
      </c>
      <c r="E3488" s="18" t="s">
        <v>17</v>
      </c>
      <c r="F3488" s="23"/>
      <c r="H3488" s="5" t="e">
        <f ca="1">_xlfn.FORMULATEXT(표1[[#This Row],[Q''ty]])</f>
        <v>#N/A</v>
      </c>
    </row>
    <row r="3489" spans="1:8" ht="15" hidden="1" customHeight="1" thickTop="1" x14ac:dyDescent="0.4">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hidden="1" customHeight="1" x14ac:dyDescent="0.4">
      <c r="A3490" s="6">
        <v>2026</v>
      </c>
      <c r="B3490" s="6">
        <f t="shared" si="445"/>
        <v>36</v>
      </c>
      <c r="C3490" s="13" t="s">
        <v>18</v>
      </c>
      <c r="D3490" s="2" t="s">
        <v>6</v>
      </c>
      <c r="E3490" s="14" t="str">
        <f t="shared" si="447"/>
        <v>Paint Booth</v>
      </c>
      <c r="F3490" s="22">
        <f t="shared" si="447"/>
        <v>3</v>
      </c>
      <c r="H3490" s="5" t="str">
        <f ca="1">_xlfn.FORMULATEXT(표1[[#This Row],[Q''ty]])</f>
        <v>=F3391</v>
      </c>
    </row>
    <row r="3491" spans="1:8" ht="15" hidden="1" customHeight="1" x14ac:dyDescent="0.4">
      <c r="A3491" s="6">
        <v>2026</v>
      </c>
      <c r="B3491" s="6">
        <f t="shared" si="445"/>
        <v>36</v>
      </c>
      <c r="C3491" s="13" t="s">
        <v>18</v>
      </c>
      <c r="D3491" s="2" t="s">
        <v>6</v>
      </c>
      <c r="E3491" s="14" t="str">
        <f t="shared" si="447"/>
        <v>Paint Line</v>
      </c>
      <c r="F3491" s="22">
        <f t="shared" si="447"/>
        <v>2</v>
      </c>
      <c r="H3491" s="5" t="str">
        <f ca="1">_xlfn.FORMULATEXT(표1[[#This Row],[Q''ty]])</f>
        <v>=F3392</v>
      </c>
    </row>
    <row r="3492" spans="1:8" ht="15" hidden="1" customHeight="1" x14ac:dyDescent="0.4">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hidden="1" customHeight="1" x14ac:dyDescent="0.4">
      <c r="A3493" s="6">
        <v>2026</v>
      </c>
      <c r="B3493" s="6">
        <f t="shared" si="445"/>
        <v>36</v>
      </c>
      <c r="C3493" s="13" t="s">
        <v>18</v>
      </c>
      <c r="D3493" s="2" t="s">
        <v>6</v>
      </c>
      <c r="E3493" s="14" t="str">
        <f t="shared" si="447"/>
        <v>L/W Machine</v>
      </c>
      <c r="F3493" s="22">
        <f t="shared" si="447"/>
        <v>2</v>
      </c>
      <c r="H3493" s="5" t="str">
        <f ca="1">_xlfn.FORMULATEXT(표1[[#This Row],[Q''ty]])</f>
        <v>=F3394</v>
      </c>
    </row>
    <row r="3494" spans="1:8" ht="15" hidden="1" customHeight="1" x14ac:dyDescent="0.4">
      <c r="A3494" s="6">
        <v>2026</v>
      </c>
      <c r="B3494" s="6">
        <f t="shared" si="445"/>
        <v>36</v>
      </c>
      <c r="C3494" s="13" t="s">
        <v>18</v>
      </c>
      <c r="D3494" s="2" t="s">
        <v>6</v>
      </c>
      <c r="E3494" s="14" t="str">
        <f t="shared" si="447"/>
        <v>C/W Machine</v>
      </c>
      <c r="F3494" s="22">
        <f t="shared" si="447"/>
        <v>3</v>
      </c>
      <c r="H3494" s="5" t="str">
        <f ca="1">_xlfn.FORMULATEXT(표1[[#This Row],[Q''ty]])</f>
        <v>=F3395</v>
      </c>
    </row>
    <row r="3495" spans="1:8" ht="15" hidden="1" customHeight="1" x14ac:dyDescent="0.4">
      <c r="A3495" s="6">
        <v>2026</v>
      </c>
      <c r="B3495" s="6">
        <f t="shared" si="445"/>
        <v>36</v>
      </c>
      <c r="C3495" s="13" t="s">
        <v>18</v>
      </c>
      <c r="D3495" s="2" t="s">
        <v>12</v>
      </c>
      <c r="E3495" s="14" t="str">
        <f t="shared" ref="E3495:E3510" si="448">E3396</f>
        <v>BT GT</v>
      </c>
      <c r="F3495" s="22"/>
      <c r="H3495" s="5" t="e">
        <f ca="1">_xlfn.FORMULATEXT(표1[[#This Row],[Q''ty]])</f>
        <v>#N/A</v>
      </c>
    </row>
    <row r="3496" spans="1:8" ht="15" hidden="1" customHeight="1" x14ac:dyDescent="0.4">
      <c r="A3496" s="6">
        <v>2026</v>
      </c>
      <c r="B3496" s="6">
        <f t="shared" si="445"/>
        <v>36</v>
      </c>
      <c r="C3496" s="13" t="s">
        <v>18</v>
      </c>
      <c r="D3496" s="2" t="s">
        <v>12</v>
      </c>
      <c r="E3496" s="14" t="str">
        <f t="shared" si="448"/>
        <v>WT GT</v>
      </c>
      <c r="F3496" s="22"/>
      <c r="H3496" s="5" t="e">
        <f ca="1">_xlfn.FORMULATEXT(표1[[#This Row],[Q''ty]])</f>
        <v>#N/A</v>
      </c>
    </row>
    <row r="3497" spans="1:8" ht="15" hidden="1" customHeight="1" x14ac:dyDescent="0.4">
      <c r="A3497" s="6">
        <v>2026</v>
      </c>
      <c r="B3497" s="6">
        <f t="shared" si="445"/>
        <v>36</v>
      </c>
      <c r="C3497" s="13" t="s">
        <v>18</v>
      </c>
      <c r="D3497" s="2" t="s">
        <v>12</v>
      </c>
      <c r="E3497" s="14" t="str">
        <f t="shared" si="448"/>
        <v>Bending</v>
      </c>
      <c r="F3497" s="22"/>
      <c r="H3497" s="5" t="e">
        <f ca="1">_xlfn.FORMULATEXT(표1[[#This Row],[Q''ty]])</f>
        <v>#N/A</v>
      </c>
    </row>
    <row r="3498" spans="1:8" ht="15" hidden="1" customHeight="1" x14ac:dyDescent="0.4">
      <c r="A3498" s="6">
        <v>2026</v>
      </c>
      <c r="B3498" s="6">
        <f t="shared" si="445"/>
        <v>36</v>
      </c>
      <c r="C3498" s="13" t="s">
        <v>18</v>
      </c>
      <c r="D3498" s="2" t="s">
        <v>12</v>
      </c>
      <c r="E3498" s="14" t="str">
        <f t="shared" si="448"/>
        <v>L/W</v>
      </c>
      <c r="F3498" s="22"/>
      <c r="H3498" s="5" t="e">
        <f ca="1">_xlfn.FORMULATEXT(표1[[#This Row],[Q''ty]])</f>
        <v>#N/A</v>
      </c>
    </row>
    <row r="3499" spans="1:8" ht="15" hidden="1" customHeight="1" thickBot="1" x14ac:dyDescent="0.45">
      <c r="A3499" s="15">
        <v>2026</v>
      </c>
      <c r="B3499" s="15">
        <f t="shared" si="445"/>
        <v>36</v>
      </c>
      <c r="C3499" s="16" t="s">
        <v>18</v>
      </c>
      <c r="D3499" s="17" t="s">
        <v>12</v>
      </c>
      <c r="E3499" s="18" t="str">
        <f t="shared" si="448"/>
        <v>C/W</v>
      </c>
      <c r="F3499" s="23"/>
      <c r="H3499" s="5" t="e">
        <f ca="1">_xlfn.FORMULATEXT(표1[[#This Row],[Q''ty]])</f>
        <v>#N/A</v>
      </c>
    </row>
    <row r="3500" spans="1:8" ht="15" hidden="1" customHeight="1" thickTop="1" x14ac:dyDescent="0.4">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hidden="1" customHeight="1" x14ac:dyDescent="0.4">
      <c r="A3501" s="6">
        <v>2026</v>
      </c>
      <c r="B3501" s="6">
        <f t="shared" si="445"/>
        <v>36</v>
      </c>
      <c r="C3501" s="13" t="s">
        <v>19</v>
      </c>
      <c r="D3501" s="2" t="s">
        <v>6</v>
      </c>
      <c r="E3501" s="14" t="str">
        <f t="shared" si="448"/>
        <v>Paint Booth</v>
      </c>
      <c r="F3501" s="22">
        <f t="shared" si="449"/>
        <v>22</v>
      </c>
      <c r="H3501" s="5" t="str">
        <f ca="1">_xlfn.FORMULATEXT(표1[[#This Row],[Q''ty]])</f>
        <v>=F3402</v>
      </c>
    </row>
    <row r="3502" spans="1:8" ht="15" hidden="1" customHeight="1" x14ac:dyDescent="0.4">
      <c r="A3502" s="6">
        <v>2026</v>
      </c>
      <c r="B3502" s="6">
        <f t="shared" si="445"/>
        <v>36</v>
      </c>
      <c r="C3502" s="13" t="s">
        <v>19</v>
      </c>
      <c r="D3502" s="2" t="s">
        <v>6</v>
      </c>
      <c r="E3502" s="14" t="str">
        <f t="shared" si="448"/>
        <v>Paint Line</v>
      </c>
      <c r="F3502" s="22">
        <f t="shared" si="449"/>
        <v>6</v>
      </c>
      <c r="H3502" s="5" t="str">
        <f ca="1">_xlfn.FORMULATEXT(표1[[#This Row],[Q''ty]])</f>
        <v>=F3403</v>
      </c>
    </row>
    <row r="3503" spans="1:8" ht="15" hidden="1" customHeight="1" x14ac:dyDescent="0.4">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hidden="1" customHeight="1" x14ac:dyDescent="0.4">
      <c r="A3504" s="6">
        <v>2026</v>
      </c>
      <c r="B3504" s="6">
        <f t="shared" si="445"/>
        <v>36</v>
      </c>
      <c r="C3504" s="13" t="s">
        <v>19</v>
      </c>
      <c r="D3504" s="2" t="s">
        <v>6</v>
      </c>
      <c r="E3504" s="14" t="str">
        <f t="shared" si="448"/>
        <v>L/W Machine</v>
      </c>
      <c r="F3504" s="22">
        <f t="shared" si="449"/>
        <v>10</v>
      </c>
      <c r="H3504" s="5" t="str">
        <f ca="1">_xlfn.FORMULATEXT(표1[[#This Row],[Q''ty]])</f>
        <v>=F3405</v>
      </c>
    </row>
    <row r="3505" spans="1:8" ht="15" hidden="1" customHeight="1" x14ac:dyDescent="0.4">
      <c r="A3505" s="6">
        <v>2026</v>
      </c>
      <c r="B3505" s="6">
        <f t="shared" si="445"/>
        <v>36</v>
      </c>
      <c r="C3505" s="13" t="s">
        <v>19</v>
      </c>
      <c r="D3505" s="2" t="s">
        <v>6</v>
      </c>
      <c r="E3505" s="14" t="str">
        <f t="shared" si="448"/>
        <v>C/W Machine</v>
      </c>
      <c r="F3505" s="22">
        <f t="shared" si="449"/>
        <v>12</v>
      </c>
      <c r="H3505" s="5" t="str">
        <f ca="1">_xlfn.FORMULATEXT(표1[[#This Row],[Q''ty]])</f>
        <v>=F3406</v>
      </c>
    </row>
    <row r="3506" spans="1:8" ht="15" hidden="1" customHeight="1" x14ac:dyDescent="0.4">
      <c r="A3506" s="6">
        <v>2026</v>
      </c>
      <c r="B3506" s="6">
        <f t="shared" si="445"/>
        <v>36</v>
      </c>
      <c r="C3506" s="13" t="s">
        <v>19</v>
      </c>
      <c r="D3506" s="2" t="s">
        <v>12</v>
      </c>
      <c r="E3506" s="14" t="str">
        <f t="shared" si="448"/>
        <v>BT GT</v>
      </c>
      <c r="F3506" s="22"/>
      <c r="H3506" s="5" t="e">
        <f ca="1">_xlfn.FORMULATEXT(표1[[#This Row],[Q''ty]])</f>
        <v>#N/A</v>
      </c>
    </row>
    <row r="3507" spans="1:8" ht="15" hidden="1" customHeight="1" x14ac:dyDescent="0.4">
      <c r="A3507" s="6">
        <v>2026</v>
      </c>
      <c r="B3507" s="6">
        <f t="shared" si="445"/>
        <v>36</v>
      </c>
      <c r="C3507" s="13" t="s">
        <v>19</v>
      </c>
      <c r="D3507" s="2" t="s">
        <v>12</v>
      </c>
      <c r="E3507" s="14" t="str">
        <f t="shared" si="448"/>
        <v>WT GT</v>
      </c>
      <c r="F3507" s="22"/>
      <c r="H3507" s="5" t="e">
        <f ca="1">_xlfn.FORMULATEXT(표1[[#This Row],[Q''ty]])</f>
        <v>#N/A</v>
      </c>
    </row>
    <row r="3508" spans="1:8" ht="15" hidden="1" customHeight="1" x14ac:dyDescent="0.4">
      <c r="A3508" s="6">
        <v>2026</v>
      </c>
      <c r="B3508" s="6">
        <f t="shared" si="445"/>
        <v>36</v>
      </c>
      <c r="C3508" s="13" t="s">
        <v>19</v>
      </c>
      <c r="D3508" s="2" t="s">
        <v>12</v>
      </c>
      <c r="E3508" s="14" t="str">
        <f t="shared" si="448"/>
        <v>Bending</v>
      </c>
      <c r="F3508" s="22"/>
      <c r="H3508" s="5" t="e">
        <f ca="1">_xlfn.FORMULATEXT(표1[[#This Row],[Q''ty]])</f>
        <v>#N/A</v>
      </c>
    </row>
    <row r="3509" spans="1:8" ht="15" hidden="1" customHeight="1" x14ac:dyDescent="0.4">
      <c r="A3509" s="6">
        <v>2026</v>
      </c>
      <c r="B3509" s="6">
        <f t="shared" si="445"/>
        <v>36</v>
      </c>
      <c r="C3509" s="13" t="s">
        <v>19</v>
      </c>
      <c r="D3509" s="2" t="s">
        <v>12</v>
      </c>
      <c r="E3509" s="14" t="str">
        <f t="shared" si="448"/>
        <v>L/W</v>
      </c>
      <c r="F3509" s="22"/>
      <c r="H3509" s="5" t="e">
        <f ca="1">_xlfn.FORMULATEXT(표1[[#This Row],[Q''ty]])</f>
        <v>#N/A</v>
      </c>
    </row>
    <row r="3510" spans="1:8" ht="15" hidden="1" customHeight="1" thickBot="1" x14ac:dyDescent="0.45">
      <c r="A3510" s="15">
        <v>2026</v>
      </c>
      <c r="B3510" s="15">
        <f t="shared" si="445"/>
        <v>36</v>
      </c>
      <c r="C3510" s="16" t="s">
        <v>19</v>
      </c>
      <c r="D3510" s="17" t="s">
        <v>12</v>
      </c>
      <c r="E3510" s="18" t="str">
        <f t="shared" si="448"/>
        <v>C/W</v>
      </c>
      <c r="F3510" s="23"/>
      <c r="H3510" s="5" t="e">
        <f ca="1">_xlfn.FORMULATEXT(표1[[#This Row],[Q''ty]])</f>
        <v>#N/A</v>
      </c>
    </row>
    <row r="3511" spans="1:8" ht="15" hidden="1" customHeight="1" thickTop="1" x14ac:dyDescent="0.4">
      <c r="A3511" s="6">
        <v>2026</v>
      </c>
      <c r="B3511" s="6">
        <f t="shared" si="445"/>
        <v>36</v>
      </c>
      <c r="C3511" s="13" t="s">
        <v>25</v>
      </c>
      <c r="D3511" s="2" t="s">
        <v>6</v>
      </c>
      <c r="E3511" s="14" t="s">
        <v>7</v>
      </c>
      <c r="F3511" s="22">
        <f t="shared" ref="F3511:F3516" si="450">F3412</f>
        <v>3</v>
      </c>
      <c r="H3511" s="5" t="str">
        <f ca="1">_xlfn.FORMULATEXT(표1[[#This Row],[Q''ty]])</f>
        <v>=F3412</v>
      </c>
    </row>
    <row r="3512" spans="1:8" ht="15" hidden="1" customHeight="1" x14ac:dyDescent="0.4">
      <c r="A3512" s="6">
        <v>2026</v>
      </c>
      <c r="B3512" s="6">
        <f t="shared" si="445"/>
        <v>36</v>
      </c>
      <c r="C3512" s="13" t="s">
        <v>25</v>
      </c>
      <c r="D3512" s="2" t="s">
        <v>6</v>
      </c>
      <c r="E3512" s="14" t="s">
        <v>8</v>
      </c>
      <c r="F3512" s="22">
        <f t="shared" si="450"/>
        <v>3</v>
      </c>
      <c r="H3512" s="5" t="str">
        <f ca="1">_xlfn.FORMULATEXT(표1[[#This Row],[Q''ty]])</f>
        <v>=F3413</v>
      </c>
    </row>
    <row r="3513" spans="1:8" ht="15" hidden="1" customHeight="1" x14ac:dyDescent="0.4">
      <c r="A3513" s="6">
        <v>2026</v>
      </c>
      <c r="B3513" s="6">
        <f t="shared" si="445"/>
        <v>36</v>
      </c>
      <c r="C3513" s="13" t="s">
        <v>25</v>
      </c>
      <c r="D3513" s="2" t="s">
        <v>6</v>
      </c>
      <c r="E3513" s="14" t="s">
        <v>9</v>
      </c>
      <c r="F3513" s="22">
        <f t="shared" si="450"/>
        <v>2</v>
      </c>
      <c r="H3513" s="5" t="str">
        <f ca="1">_xlfn.FORMULATEXT(표1[[#This Row],[Q''ty]])</f>
        <v>=F3414</v>
      </c>
    </row>
    <row r="3514" spans="1:8" ht="15" hidden="1" customHeight="1" x14ac:dyDescent="0.4">
      <c r="A3514" s="6">
        <v>2026</v>
      </c>
      <c r="B3514" s="6">
        <f t="shared" si="445"/>
        <v>36</v>
      </c>
      <c r="C3514" s="13" t="s">
        <v>25</v>
      </c>
      <c r="D3514" s="2" t="s">
        <v>6</v>
      </c>
      <c r="E3514" s="14" t="s">
        <v>27</v>
      </c>
      <c r="F3514" s="22">
        <f t="shared" si="450"/>
        <v>2</v>
      </c>
      <c r="H3514" s="5" t="str">
        <f ca="1">_xlfn.FORMULATEXT(표1[[#This Row],[Q''ty]])</f>
        <v>=F3415</v>
      </c>
    </row>
    <row r="3515" spans="1:8" ht="15" hidden="1" customHeight="1" x14ac:dyDescent="0.4">
      <c r="A3515" s="6">
        <v>2026</v>
      </c>
      <c r="B3515" s="6">
        <f t="shared" si="445"/>
        <v>36</v>
      </c>
      <c r="C3515" s="13" t="s">
        <v>25</v>
      </c>
      <c r="D3515" s="2" t="s">
        <v>6</v>
      </c>
      <c r="E3515" s="14" t="s">
        <v>10</v>
      </c>
      <c r="F3515" s="22">
        <f t="shared" si="450"/>
        <v>3</v>
      </c>
      <c r="H3515" s="5" t="str">
        <f ca="1">_xlfn.FORMULATEXT(표1[[#This Row],[Q''ty]])</f>
        <v>=F3416</v>
      </c>
    </row>
    <row r="3516" spans="1:8" ht="15" hidden="1" customHeight="1" x14ac:dyDescent="0.4">
      <c r="A3516" s="6">
        <v>2026</v>
      </c>
      <c r="B3516" s="6">
        <f t="shared" si="445"/>
        <v>36</v>
      </c>
      <c r="C3516" s="13" t="s">
        <v>25</v>
      </c>
      <c r="D3516" s="2" t="s">
        <v>6</v>
      </c>
      <c r="E3516" s="14" t="s">
        <v>11</v>
      </c>
      <c r="F3516" s="22">
        <f t="shared" si="450"/>
        <v>4</v>
      </c>
      <c r="H3516" s="5" t="str">
        <f ca="1">_xlfn.FORMULATEXT(표1[[#This Row],[Q''ty]])</f>
        <v>=F3417</v>
      </c>
    </row>
    <row r="3517" spans="1:8" ht="15" hidden="1" customHeight="1" x14ac:dyDescent="0.4">
      <c r="A3517" s="6">
        <v>2026</v>
      </c>
      <c r="B3517" s="6">
        <f t="shared" si="445"/>
        <v>36</v>
      </c>
      <c r="C3517" s="13" t="s">
        <v>25</v>
      </c>
      <c r="D3517" s="2" t="s">
        <v>12</v>
      </c>
      <c r="E3517" s="14" t="s">
        <v>13</v>
      </c>
      <c r="F3517" s="22"/>
      <c r="H3517" s="5" t="e">
        <f ca="1">_xlfn.FORMULATEXT(표1[[#This Row],[Q''ty]])</f>
        <v>#N/A</v>
      </c>
    </row>
    <row r="3518" spans="1:8" ht="15" hidden="1" customHeight="1" x14ac:dyDescent="0.4">
      <c r="A3518" s="6">
        <v>2026</v>
      </c>
      <c r="B3518" s="6">
        <f t="shared" si="445"/>
        <v>36</v>
      </c>
      <c r="C3518" s="13" t="s">
        <v>25</v>
      </c>
      <c r="D3518" s="2" t="s">
        <v>12</v>
      </c>
      <c r="E3518" s="14" t="s">
        <v>14</v>
      </c>
      <c r="F3518" s="22"/>
      <c r="H3518" s="5" t="e">
        <f ca="1">_xlfn.FORMULATEXT(표1[[#This Row],[Q''ty]])</f>
        <v>#N/A</v>
      </c>
    </row>
    <row r="3519" spans="1:8" ht="15" hidden="1" customHeight="1" x14ac:dyDescent="0.4">
      <c r="A3519" s="6">
        <v>2026</v>
      </c>
      <c r="B3519" s="6">
        <f t="shared" si="445"/>
        <v>36</v>
      </c>
      <c r="C3519" s="13" t="s">
        <v>25</v>
      </c>
      <c r="D3519" s="2" t="s">
        <v>12</v>
      </c>
      <c r="E3519" s="14" t="s">
        <v>15</v>
      </c>
      <c r="F3519" s="22"/>
      <c r="H3519" s="5" t="e">
        <f ca="1">_xlfn.FORMULATEXT(표1[[#This Row],[Q''ty]])</f>
        <v>#N/A</v>
      </c>
    </row>
    <row r="3520" spans="1:8" ht="15" hidden="1" customHeight="1" x14ac:dyDescent="0.4">
      <c r="A3520" s="6">
        <v>2026</v>
      </c>
      <c r="B3520" s="6">
        <f t="shared" si="445"/>
        <v>36</v>
      </c>
      <c r="C3520" s="13" t="s">
        <v>25</v>
      </c>
      <c r="D3520" s="2" t="s">
        <v>12</v>
      </c>
      <c r="E3520" s="14" t="s">
        <v>16</v>
      </c>
      <c r="F3520" s="22"/>
      <c r="H3520" s="5" t="e">
        <f ca="1">_xlfn.FORMULATEXT(표1[[#This Row],[Q''ty]])</f>
        <v>#N/A</v>
      </c>
    </row>
    <row r="3521" spans="1:8" ht="15" hidden="1" customHeight="1" thickBot="1" x14ac:dyDescent="0.45">
      <c r="A3521" s="15">
        <v>2026</v>
      </c>
      <c r="B3521" s="15">
        <f t="shared" si="445"/>
        <v>36</v>
      </c>
      <c r="C3521" s="16" t="s">
        <v>25</v>
      </c>
      <c r="D3521" s="17" t="s">
        <v>12</v>
      </c>
      <c r="E3521" s="18" t="s">
        <v>17</v>
      </c>
      <c r="F3521" s="23"/>
      <c r="H3521" s="5" t="e">
        <f ca="1">_xlfn.FORMULATEXT(표1[[#This Row],[Q''ty]])</f>
        <v>#N/A</v>
      </c>
    </row>
    <row r="3522" spans="1:8" ht="15" hidden="1" customHeight="1" thickTop="1" x14ac:dyDescent="0.4">
      <c r="A3522" s="6">
        <v>2026</v>
      </c>
      <c r="B3522" s="6">
        <f t="shared" si="445"/>
        <v>36</v>
      </c>
      <c r="C3522" s="13" t="s">
        <v>26</v>
      </c>
      <c r="D3522" s="2" t="s">
        <v>6</v>
      </c>
      <c r="E3522" s="14" t="s">
        <v>7</v>
      </c>
      <c r="F3522" s="22">
        <f t="shared" ref="F3522:F3527" si="451">F3423</f>
        <v>6</v>
      </c>
      <c r="H3522" s="5" t="str">
        <f ca="1">_xlfn.FORMULATEXT(표1[[#This Row],[Q''ty]])</f>
        <v>=F3423</v>
      </c>
    </row>
    <row r="3523" spans="1:8" ht="15" hidden="1" customHeight="1" x14ac:dyDescent="0.4">
      <c r="A3523" s="6">
        <v>2026</v>
      </c>
      <c r="B3523" s="6">
        <f t="shared" si="445"/>
        <v>36</v>
      </c>
      <c r="C3523" s="13" t="s">
        <v>26</v>
      </c>
      <c r="D3523" s="2" t="s">
        <v>6</v>
      </c>
      <c r="E3523" s="14" t="s">
        <v>8</v>
      </c>
      <c r="F3523" s="22">
        <f t="shared" si="451"/>
        <v>4</v>
      </c>
      <c r="H3523" s="5" t="str">
        <f ca="1">_xlfn.FORMULATEXT(표1[[#This Row],[Q''ty]])</f>
        <v>=F3424</v>
      </c>
    </row>
    <row r="3524" spans="1:8" ht="15" hidden="1" customHeight="1" x14ac:dyDescent="0.4">
      <c r="A3524" s="6">
        <v>2026</v>
      </c>
      <c r="B3524" s="6">
        <f t="shared" si="445"/>
        <v>36</v>
      </c>
      <c r="C3524" s="13" t="s">
        <v>26</v>
      </c>
      <c r="D3524" s="2" t="s">
        <v>6</v>
      </c>
      <c r="E3524" s="14" t="s">
        <v>9</v>
      </c>
      <c r="F3524" s="22">
        <f t="shared" si="451"/>
        <v>2</v>
      </c>
      <c r="H3524" s="5" t="str">
        <f ca="1">_xlfn.FORMULATEXT(표1[[#This Row],[Q''ty]])</f>
        <v>=F3425</v>
      </c>
    </row>
    <row r="3525" spans="1:8" ht="15" hidden="1" customHeight="1" x14ac:dyDescent="0.4">
      <c r="A3525" s="6">
        <v>2026</v>
      </c>
      <c r="B3525" s="6">
        <f t="shared" si="445"/>
        <v>36</v>
      </c>
      <c r="C3525" s="13" t="s">
        <v>26</v>
      </c>
      <c r="D3525" s="2" t="s">
        <v>6</v>
      </c>
      <c r="E3525" s="14" t="s">
        <v>27</v>
      </c>
      <c r="F3525" s="22">
        <f t="shared" si="451"/>
        <v>3</v>
      </c>
      <c r="H3525" s="5" t="str">
        <f ca="1">_xlfn.FORMULATEXT(표1[[#This Row],[Q''ty]])</f>
        <v>=F3426</v>
      </c>
    </row>
    <row r="3526" spans="1:8" ht="15" hidden="1" customHeight="1" x14ac:dyDescent="0.4">
      <c r="A3526" s="6">
        <v>2026</v>
      </c>
      <c r="B3526" s="6">
        <f t="shared" si="445"/>
        <v>36</v>
      </c>
      <c r="C3526" s="13" t="s">
        <v>26</v>
      </c>
      <c r="D3526" s="2" t="s">
        <v>6</v>
      </c>
      <c r="E3526" s="14" t="s">
        <v>10</v>
      </c>
      <c r="F3526" s="22">
        <f t="shared" si="451"/>
        <v>4</v>
      </c>
      <c r="H3526" s="5" t="str">
        <f ca="1">_xlfn.FORMULATEXT(표1[[#This Row],[Q''ty]])</f>
        <v>=F3427</v>
      </c>
    </row>
    <row r="3527" spans="1:8" ht="15" hidden="1" customHeight="1" x14ac:dyDescent="0.4">
      <c r="A3527" s="6">
        <v>2026</v>
      </c>
      <c r="B3527" s="6">
        <f t="shared" si="445"/>
        <v>36</v>
      </c>
      <c r="C3527" s="13" t="s">
        <v>26</v>
      </c>
      <c r="D3527" s="2" t="s">
        <v>6</v>
      </c>
      <c r="E3527" s="14" t="s">
        <v>11</v>
      </c>
      <c r="F3527" s="22">
        <f t="shared" si="451"/>
        <v>6</v>
      </c>
      <c r="H3527" s="5" t="str">
        <f ca="1">_xlfn.FORMULATEXT(표1[[#This Row],[Q''ty]])</f>
        <v>=F3428</v>
      </c>
    </row>
    <row r="3528" spans="1:8" ht="15" hidden="1" customHeight="1" x14ac:dyDescent="0.4">
      <c r="A3528" s="6">
        <v>2026</v>
      </c>
      <c r="B3528" s="6">
        <f t="shared" si="445"/>
        <v>36</v>
      </c>
      <c r="C3528" s="13" t="s">
        <v>26</v>
      </c>
      <c r="D3528" s="2" t="s">
        <v>12</v>
      </c>
      <c r="E3528" s="14" t="str">
        <f t="shared" ref="E3528:E3565" si="452">E3429</f>
        <v>BT GT</v>
      </c>
      <c r="F3528" s="22"/>
      <c r="H3528" s="5" t="e">
        <f ca="1">_xlfn.FORMULATEXT(표1[[#This Row],[Q''ty]])</f>
        <v>#N/A</v>
      </c>
    </row>
    <row r="3529" spans="1:8" ht="15" hidden="1" customHeight="1" x14ac:dyDescent="0.4">
      <c r="A3529" s="6">
        <v>2026</v>
      </c>
      <c r="B3529" s="6">
        <f t="shared" si="445"/>
        <v>36</v>
      </c>
      <c r="C3529" s="13" t="s">
        <v>26</v>
      </c>
      <c r="D3529" s="2" t="s">
        <v>12</v>
      </c>
      <c r="E3529" s="14" t="str">
        <f t="shared" si="452"/>
        <v>WT GT</v>
      </c>
      <c r="F3529" s="22"/>
      <c r="H3529" s="5" t="e">
        <f ca="1">_xlfn.FORMULATEXT(표1[[#This Row],[Q''ty]])</f>
        <v>#N/A</v>
      </c>
    </row>
    <row r="3530" spans="1:8" ht="15" hidden="1" customHeight="1" x14ac:dyDescent="0.4">
      <c r="A3530" s="6">
        <v>2026</v>
      </c>
      <c r="B3530" s="6">
        <f t="shared" si="445"/>
        <v>36</v>
      </c>
      <c r="C3530" s="13" t="s">
        <v>26</v>
      </c>
      <c r="D3530" s="2" t="s">
        <v>12</v>
      </c>
      <c r="E3530" s="14" t="str">
        <f t="shared" si="452"/>
        <v>Bending</v>
      </c>
      <c r="F3530" s="22"/>
      <c r="H3530" s="5" t="e">
        <f ca="1">_xlfn.FORMULATEXT(표1[[#This Row],[Q''ty]])</f>
        <v>#N/A</v>
      </c>
    </row>
    <row r="3531" spans="1:8" ht="15" hidden="1" customHeight="1" x14ac:dyDescent="0.4">
      <c r="A3531" s="6">
        <v>2026</v>
      </c>
      <c r="B3531" s="6">
        <f t="shared" si="445"/>
        <v>36</v>
      </c>
      <c r="C3531" s="13" t="s">
        <v>26</v>
      </c>
      <c r="D3531" s="2" t="s">
        <v>12</v>
      </c>
      <c r="E3531" s="14" t="str">
        <f t="shared" si="452"/>
        <v>L/W</v>
      </c>
      <c r="F3531" s="22"/>
      <c r="H3531" s="5" t="e">
        <f ca="1">_xlfn.FORMULATEXT(표1[[#This Row],[Q''ty]])</f>
        <v>#N/A</v>
      </c>
    </row>
    <row r="3532" spans="1:8" ht="15" hidden="1" customHeight="1" thickBot="1" x14ac:dyDescent="0.45">
      <c r="A3532" s="15">
        <v>2026</v>
      </c>
      <c r="B3532" s="15">
        <f t="shared" ref="B3532:B3565" si="453">B3433+1</f>
        <v>36</v>
      </c>
      <c r="C3532" s="16" t="s">
        <v>26</v>
      </c>
      <c r="D3532" s="17" t="s">
        <v>12</v>
      </c>
      <c r="E3532" s="18" t="str">
        <f t="shared" si="452"/>
        <v>C/W</v>
      </c>
      <c r="F3532" s="23"/>
      <c r="H3532" s="5" t="e">
        <f ca="1">_xlfn.FORMULATEXT(표1[[#This Row],[Q''ty]])</f>
        <v>#N/A</v>
      </c>
    </row>
    <row r="3533" spans="1:8" ht="15" hidden="1" customHeight="1" thickTop="1" x14ac:dyDescent="0.4">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hidden="1" customHeight="1" x14ac:dyDescent="0.4">
      <c r="A3534" s="6">
        <v>2026</v>
      </c>
      <c r="B3534" s="6">
        <f t="shared" si="453"/>
        <v>36</v>
      </c>
      <c r="C3534" s="13" t="s">
        <v>20</v>
      </c>
      <c r="D3534" s="2" t="s">
        <v>6</v>
      </c>
      <c r="E3534" s="14" t="str">
        <f t="shared" si="452"/>
        <v>Paint Booth</v>
      </c>
      <c r="F3534" s="22">
        <f t="shared" si="454"/>
        <v>16</v>
      </c>
      <c r="H3534" s="5" t="str">
        <f ca="1">_xlfn.FORMULATEXT(표1[[#This Row],[Q''ty]])</f>
        <v>=F3435</v>
      </c>
    </row>
    <row r="3535" spans="1:8" ht="15" hidden="1" customHeight="1" x14ac:dyDescent="0.4">
      <c r="A3535" s="6">
        <v>2026</v>
      </c>
      <c r="B3535" s="6">
        <f t="shared" si="453"/>
        <v>36</v>
      </c>
      <c r="C3535" s="13" t="s">
        <v>20</v>
      </c>
      <c r="D3535" s="2" t="s">
        <v>6</v>
      </c>
      <c r="E3535" s="14" t="str">
        <f t="shared" si="452"/>
        <v>Paint Line</v>
      </c>
      <c r="F3535" s="22">
        <f t="shared" si="454"/>
        <v>8</v>
      </c>
      <c r="H3535" s="5" t="str">
        <f ca="1">_xlfn.FORMULATEXT(표1[[#This Row],[Q''ty]])</f>
        <v>=F3436</v>
      </c>
    </row>
    <row r="3536" spans="1:8" ht="15" hidden="1" customHeight="1" x14ac:dyDescent="0.4">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hidden="1" customHeight="1" x14ac:dyDescent="0.4">
      <c r="A3537" s="6">
        <v>2026</v>
      </c>
      <c r="B3537" s="6">
        <f t="shared" si="453"/>
        <v>36</v>
      </c>
      <c r="C3537" s="13" t="s">
        <v>20</v>
      </c>
      <c r="D3537" s="2" t="s">
        <v>6</v>
      </c>
      <c r="E3537" s="14" t="str">
        <f t="shared" si="452"/>
        <v>L/W Machine</v>
      </c>
      <c r="F3537" s="22">
        <f t="shared" si="454"/>
        <v>11</v>
      </c>
      <c r="H3537" s="5" t="str">
        <f ca="1">_xlfn.FORMULATEXT(표1[[#This Row],[Q''ty]])</f>
        <v>=F3438</v>
      </c>
    </row>
    <row r="3538" spans="1:8" ht="15" hidden="1" customHeight="1" x14ac:dyDescent="0.4">
      <c r="A3538" s="6">
        <v>2026</v>
      </c>
      <c r="B3538" s="6">
        <f t="shared" si="453"/>
        <v>36</v>
      </c>
      <c r="C3538" s="13" t="s">
        <v>20</v>
      </c>
      <c r="D3538" s="2" t="s">
        <v>6</v>
      </c>
      <c r="E3538" s="14" t="str">
        <f t="shared" si="452"/>
        <v>C/W Machine</v>
      </c>
      <c r="F3538" s="22">
        <f t="shared" si="454"/>
        <v>15</v>
      </c>
      <c r="H3538" s="5" t="str">
        <f ca="1">_xlfn.FORMULATEXT(표1[[#This Row],[Q''ty]])</f>
        <v>=F3439</v>
      </c>
    </row>
    <row r="3539" spans="1:8" ht="15" hidden="1" customHeight="1" x14ac:dyDescent="0.4">
      <c r="A3539" s="6">
        <v>2026</v>
      </c>
      <c r="B3539" s="6">
        <f t="shared" si="453"/>
        <v>36</v>
      </c>
      <c r="C3539" s="13" t="s">
        <v>20</v>
      </c>
      <c r="D3539" s="2" t="s">
        <v>12</v>
      </c>
      <c r="E3539" s="14" t="str">
        <f t="shared" si="452"/>
        <v>BT GT</v>
      </c>
      <c r="F3539" s="22"/>
      <c r="H3539" s="5" t="e">
        <f ca="1">_xlfn.FORMULATEXT(표1[[#This Row],[Q''ty]])</f>
        <v>#N/A</v>
      </c>
    </row>
    <row r="3540" spans="1:8" ht="15" hidden="1" customHeight="1" x14ac:dyDescent="0.4">
      <c r="A3540" s="6">
        <v>2026</v>
      </c>
      <c r="B3540" s="6">
        <f t="shared" si="453"/>
        <v>36</v>
      </c>
      <c r="C3540" s="13" t="s">
        <v>20</v>
      </c>
      <c r="D3540" s="2" t="s">
        <v>12</v>
      </c>
      <c r="E3540" s="14" t="str">
        <f t="shared" si="452"/>
        <v>WT GT</v>
      </c>
      <c r="F3540" s="22"/>
      <c r="H3540" s="5" t="e">
        <f ca="1">_xlfn.FORMULATEXT(표1[[#This Row],[Q''ty]])</f>
        <v>#N/A</v>
      </c>
    </row>
    <row r="3541" spans="1:8" ht="15" hidden="1" customHeight="1" x14ac:dyDescent="0.4">
      <c r="A3541" s="6">
        <v>2026</v>
      </c>
      <c r="B3541" s="6">
        <f t="shared" si="453"/>
        <v>36</v>
      </c>
      <c r="C3541" s="13" t="s">
        <v>20</v>
      </c>
      <c r="D3541" s="2" t="s">
        <v>12</v>
      </c>
      <c r="E3541" s="14" t="str">
        <f t="shared" si="452"/>
        <v>Bending</v>
      </c>
      <c r="F3541" s="22"/>
      <c r="H3541" s="5" t="e">
        <f ca="1">_xlfn.FORMULATEXT(표1[[#This Row],[Q''ty]])</f>
        <v>#N/A</v>
      </c>
    </row>
    <row r="3542" spans="1:8" ht="15" hidden="1" customHeight="1" x14ac:dyDescent="0.4">
      <c r="A3542" s="6">
        <v>2026</v>
      </c>
      <c r="B3542" s="6">
        <f t="shared" si="453"/>
        <v>36</v>
      </c>
      <c r="C3542" s="13" t="s">
        <v>20</v>
      </c>
      <c r="D3542" s="2" t="s">
        <v>12</v>
      </c>
      <c r="E3542" s="14" t="str">
        <f t="shared" si="452"/>
        <v>L/W</v>
      </c>
      <c r="F3542" s="22"/>
      <c r="H3542" s="5" t="e">
        <f ca="1">_xlfn.FORMULATEXT(표1[[#This Row],[Q''ty]])</f>
        <v>#N/A</v>
      </c>
    </row>
    <row r="3543" spans="1:8" ht="15" hidden="1" customHeight="1" thickBot="1" x14ac:dyDescent="0.45">
      <c r="A3543" s="15">
        <v>2026</v>
      </c>
      <c r="B3543" s="15">
        <f t="shared" si="453"/>
        <v>36</v>
      </c>
      <c r="C3543" s="16" t="s">
        <v>20</v>
      </c>
      <c r="D3543" s="17" t="s">
        <v>12</v>
      </c>
      <c r="E3543" s="18" t="str">
        <f t="shared" si="452"/>
        <v>C/W</v>
      </c>
      <c r="F3543" s="23"/>
      <c r="H3543" s="5" t="e">
        <f ca="1">_xlfn.FORMULATEXT(표1[[#This Row],[Q''ty]])</f>
        <v>#N/A</v>
      </c>
    </row>
    <row r="3544" spans="1:8" ht="15" hidden="1" customHeight="1" thickTop="1" x14ac:dyDescent="0.4">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hidden="1" customHeight="1" x14ac:dyDescent="0.4">
      <c r="A3545" s="6">
        <v>2026</v>
      </c>
      <c r="B3545" s="6">
        <f t="shared" si="453"/>
        <v>36</v>
      </c>
      <c r="C3545" s="13" t="s">
        <v>21</v>
      </c>
      <c r="D3545" s="2" t="s">
        <v>6</v>
      </c>
      <c r="E3545" s="14" t="str">
        <f t="shared" si="452"/>
        <v>Paint Booth</v>
      </c>
      <c r="F3545" s="22">
        <f t="shared" si="455"/>
        <v>4</v>
      </c>
      <c r="H3545" s="5" t="str">
        <f ca="1">_xlfn.FORMULATEXT(표1[[#This Row],[Q''ty]])</f>
        <v>=F3446</v>
      </c>
    </row>
    <row r="3546" spans="1:8" ht="15" hidden="1" customHeight="1" x14ac:dyDescent="0.4">
      <c r="A3546" s="6">
        <v>2026</v>
      </c>
      <c r="B3546" s="6">
        <f t="shared" si="453"/>
        <v>36</v>
      </c>
      <c r="C3546" s="13" t="s">
        <v>21</v>
      </c>
      <c r="D3546" s="2" t="s">
        <v>6</v>
      </c>
      <c r="E3546" s="14" t="str">
        <f t="shared" si="452"/>
        <v>Paint Line</v>
      </c>
      <c r="F3546" s="22">
        <f t="shared" si="455"/>
        <v>4</v>
      </c>
      <c r="H3546" s="5" t="str">
        <f ca="1">_xlfn.FORMULATEXT(표1[[#This Row],[Q''ty]])</f>
        <v>=F3447</v>
      </c>
    </row>
    <row r="3547" spans="1:8" ht="15" hidden="1" customHeight="1" x14ac:dyDescent="0.4">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hidden="1" customHeight="1" x14ac:dyDescent="0.4">
      <c r="A3548" s="6">
        <v>2026</v>
      </c>
      <c r="B3548" s="6">
        <f t="shared" si="453"/>
        <v>36</v>
      </c>
      <c r="C3548" s="13" t="s">
        <v>21</v>
      </c>
      <c r="D3548" s="2" t="s">
        <v>6</v>
      </c>
      <c r="E3548" s="14" t="str">
        <f t="shared" si="452"/>
        <v>L/W Machine</v>
      </c>
      <c r="F3548" s="22">
        <f t="shared" si="455"/>
        <v>4</v>
      </c>
      <c r="H3548" s="5" t="str">
        <f ca="1">_xlfn.FORMULATEXT(표1[[#This Row],[Q''ty]])</f>
        <v>=F3449</v>
      </c>
    </row>
    <row r="3549" spans="1:8" ht="15" hidden="1" customHeight="1" x14ac:dyDescent="0.4">
      <c r="A3549" s="6">
        <v>2026</v>
      </c>
      <c r="B3549" s="6">
        <f t="shared" si="453"/>
        <v>36</v>
      </c>
      <c r="C3549" s="13" t="s">
        <v>21</v>
      </c>
      <c r="D3549" s="2" t="s">
        <v>6</v>
      </c>
      <c r="E3549" s="14" t="str">
        <f t="shared" si="452"/>
        <v>C/W Machine</v>
      </c>
      <c r="F3549" s="22">
        <f t="shared" si="455"/>
        <v>6.5</v>
      </c>
      <c r="H3549" s="5" t="str">
        <f ca="1">_xlfn.FORMULATEXT(표1[[#This Row],[Q''ty]])</f>
        <v>=F3450</v>
      </c>
    </row>
    <row r="3550" spans="1:8" ht="15" hidden="1" customHeight="1" x14ac:dyDescent="0.4">
      <c r="A3550" s="6">
        <v>2026</v>
      </c>
      <c r="B3550" s="6">
        <f t="shared" si="453"/>
        <v>36</v>
      </c>
      <c r="C3550" s="13" t="s">
        <v>21</v>
      </c>
      <c r="D3550" s="2" t="s">
        <v>12</v>
      </c>
      <c r="E3550" s="14" t="str">
        <f t="shared" si="452"/>
        <v>BT GT</v>
      </c>
      <c r="F3550" s="22"/>
      <c r="H3550" s="5" t="e">
        <f ca="1">_xlfn.FORMULATEXT(표1[[#This Row],[Q''ty]])</f>
        <v>#N/A</v>
      </c>
    </row>
    <row r="3551" spans="1:8" ht="15" hidden="1" customHeight="1" x14ac:dyDescent="0.4">
      <c r="A3551" s="6">
        <v>2026</v>
      </c>
      <c r="B3551" s="6">
        <f t="shared" si="453"/>
        <v>36</v>
      </c>
      <c r="C3551" s="13" t="s">
        <v>21</v>
      </c>
      <c r="D3551" s="2" t="s">
        <v>12</v>
      </c>
      <c r="E3551" s="14" t="str">
        <f t="shared" si="452"/>
        <v>WT GT</v>
      </c>
      <c r="F3551" s="22"/>
      <c r="H3551" s="5" t="e">
        <f ca="1">_xlfn.FORMULATEXT(표1[[#This Row],[Q''ty]])</f>
        <v>#N/A</v>
      </c>
    </row>
    <row r="3552" spans="1:8" ht="15" hidden="1" customHeight="1" x14ac:dyDescent="0.4">
      <c r="A3552" s="6">
        <v>2026</v>
      </c>
      <c r="B3552" s="6">
        <f t="shared" si="453"/>
        <v>36</v>
      </c>
      <c r="C3552" s="13" t="s">
        <v>21</v>
      </c>
      <c r="D3552" s="2" t="s">
        <v>12</v>
      </c>
      <c r="E3552" s="14" t="str">
        <f t="shared" si="452"/>
        <v>Bending</v>
      </c>
      <c r="F3552" s="22"/>
      <c r="H3552" s="5" t="e">
        <f ca="1">_xlfn.FORMULATEXT(표1[[#This Row],[Q''ty]])</f>
        <v>#N/A</v>
      </c>
    </row>
    <row r="3553" spans="1:10" ht="15" hidden="1" customHeight="1" x14ac:dyDescent="0.4">
      <c r="A3553" s="6">
        <v>2026</v>
      </c>
      <c r="B3553" s="6">
        <f t="shared" si="453"/>
        <v>36</v>
      </c>
      <c r="C3553" s="13" t="s">
        <v>21</v>
      </c>
      <c r="D3553" s="2" t="s">
        <v>12</v>
      </c>
      <c r="E3553" s="14" t="str">
        <f t="shared" si="452"/>
        <v>L/W</v>
      </c>
      <c r="F3553" s="22"/>
      <c r="H3553" s="5" t="e">
        <f ca="1">_xlfn.FORMULATEXT(표1[[#This Row],[Q''ty]])</f>
        <v>#N/A</v>
      </c>
    </row>
    <row r="3554" spans="1:10" ht="15" hidden="1" customHeight="1" thickBot="1" x14ac:dyDescent="0.45">
      <c r="A3554" s="15">
        <v>2026</v>
      </c>
      <c r="B3554" s="15">
        <f t="shared" si="453"/>
        <v>36</v>
      </c>
      <c r="C3554" s="16" t="s">
        <v>21</v>
      </c>
      <c r="D3554" s="17" t="s">
        <v>12</v>
      </c>
      <c r="E3554" s="18" t="str">
        <f t="shared" si="452"/>
        <v>C/W</v>
      </c>
      <c r="F3554" s="23"/>
      <c r="H3554" s="5" t="e">
        <f ca="1">_xlfn.FORMULATEXT(표1[[#This Row],[Q''ty]])</f>
        <v>#N/A</v>
      </c>
    </row>
    <row r="3555" spans="1:10" ht="15" hidden="1" customHeight="1" thickTop="1" x14ac:dyDescent="0.4">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10" ht="15" hidden="1" customHeight="1" x14ac:dyDescent="0.4">
      <c r="A3556" s="6">
        <v>2026</v>
      </c>
      <c r="B3556" s="6">
        <f t="shared" si="453"/>
        <v>36</v>
      </c>
      <c r="C3556" s="13" t="s">
        <v>22</v>
      </c>
      <c r="D3556" s="2" t="s">
        <v>6</v>
      </c>
      <c r="E3556" s="14" t="str">
        <f t="shared" si="452"/>
        <v>Paint Booth</v>
      </c>
      <c r="F3556" s="22">
        <f t="shared" si="456"/>
        <v>6</v>
      </c>
      <c r="H3556" s="5" t="str">
        <f ca="1">_xlfn.FORMULATEXT(표1[[#This Row],[Q''ty]])</f>
        <v>=F3457</v>
      </c>
    </row>
    <row r="3557" spans="1:10" ht="15" hidden="1" customHeight="1" x14ac:dyDescent="0.4">
      <c r="A3557" s="6">
        <v>2026</v>
      </c>
      <c r="B3557" s="6">
        <f t="shared" si="453"/>
        <v>36</v>
      </c>
      <c r="C3557" s="13" t="s">
        <v>22</v>
      </c>
      <c r="D3557" s="2" t="s">
        <v>6</v>
      </c>
      <c r="E3557" s="14" t="str">
        <f t="shared" si="452"/>
        <v>Paint Line</v>
      </c>
      <c r="F3557" s="22">
        <f t="shared" si="456"/>
        <v>4</v>
      </c>
      <c r="H3557" s="5" t="str">
        <f ca="1">_xlfn.FORMULATEXT(표1[[#This Row],[Q''ty]])</f>
        <v>=F3458</v>
      </c>
    </row>
    <row r="3558" spans="1:10" ht="15" hidden="1" customHeight="1" x14ac:dyDescent="0.4">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10" ht="15" hidden="1" customHeight="1" x14ac:dyDescent="0.4">
      <c r="A3559" s="6">
        <v>2026</v>
      </c>
      <c r="B3559" s="6">
        <f t="shared" si="453"/>
        <v>36</v>
      </c>
      <c r="C3559" s="13" t="s">
        <v>22</v>
      </c>
      <c r="D3559" s="2" t="s">
        <v>6</v>
      </c>
      <c r="E3559" s="14" t="str">
        <f t="shared" si="452"/>
        <v>L/W Machine</v>
      </c>
      <c r="F3559" s="22">
        <f t="shared" si="456"/>
        <v>7</v>
      </c>
      <c r="H3559" s="5" t="str">
        <f ca="1">_xlfn.FORMULATEXT(표1[[#This Row],[Q''ty]])</f>
        <v>=F3460</v>
      </c>
    </row>
    <row r="3560" spans="1:10" ht="15" hidden="1" customHeight="1" x14ac:dyDescent="0.4">
      <c r="A3560" s="6">
        <v>2026</v>
      </c>
      <c r="B3560" s="6">
        <f t="shared" si="453"/>
        <v>36</v>
      </c>
      <c r="C3560" s="13" t="s">
        <v>22</v>
      </c>
      <c r="D3560" s="2" t="s">
        <v>6</v>
      </c>
      <c r="E3560" s="14" t="str">
        <f t="shared" si="452"/>
        <v>C/W Machine</v>
      </c>
      <c r="F3560" s="22">
        <f t="shared" si="456"/>
        <v>12.5</v>
      </c>
      <c r="H3560" s="5" t="str">
        <f ca="1">_xlfn.FORMULATEXT(표1[[#This Row],[Q''ty]])</f>
        <v>=F3461</v>
      </c>
    </row>
    <row r="3561" spans="1:10" ht="15" hidden="1" customHeight="1" x14ac:dyDescent="0.4">
      <c r="A3561" s="6">
        <v>2026</v>
      </c>
      <c r="B3561" s="6">
        <f t="shared" si="453"/>
        <v>36</v>
      </c>
      <c r="C3561" s="13" t="s">
        <v>22</v>
      </c>
      <c r="D3561" s="2" t="s">
        <v>12</v>
      </c>
      <c r="E3561" s="14" t="str">
        <f t="shared" si="452"/>
        <v>BT GT</v>
      </c>
      <c r="F3561" s="22"/>
      <c r="H3561" s="5" t="e">
        <f ca="1">_xlfn.FORMULATEXT(표1[[#This Row],[Q''ty]])</f>
        <v>#N/A</v>
      </c>
    </row>
    <row r="3562" spans="1:10" ht="15" hidden="1" customHeight="1" x14ac:dyDescent="0.4">
      <c r="A3562" s="6">
        <v>2026</v>
      </c>
      <c r="B3562" s="6">
        <f t="shared" si="453"/>
        <v>36</v>
      </c>
      <c r="C3562" s="13" t="s">
        <v>22</v>
      </c>
      <c r="D3562" s="2" t="s">
        <v>12</v>
      </c>
      <c r="E3562" s="14" t="str">
        <f t="shared" si="452"/>
        <v>WT GT</v>
      </c>
      <c r="F3562" s="22"/>
      <c r="H3562" s="5" t="e">
        <f ca="1">_xlfn.FORMULATEXT(표1[[#This Row],[Q''ty]])</f>
        <v>#N/A</v>
      </c>
    </row>
    <row r="3563" spans="1:10" ht="15" hidden="1" customHeight="1" x14ac:dyDescent="0.4">
      <c r="A3563" s="6">
        <v>2026</v>
      </c>
      <c r="B3563" s="6">
        <f t="shared" si="453"/>
        <v>36</v>
      </c>
      <c r="C3563" s="13" t="s">
        <v>22</v>
      </c>
      <c r="D3563" s="2" t="s">
        <v>12</v>
      </c>
      <c r="E3563" s="14" t="str">
        <f t="shared" si="452"/>
        <v>Bending</v>
      </c>
      <c r="F3563" s="22"/>
      <c r="H3563" s="5" t="e">
        <f ca="1">_xlfn.FORMULATEXT(표1[[#This Row],[Q''ty]])</f>
        <v>#N/A</v>
      </c>
    </row>
    <row r="3564" spans="1:10" ht="15" hidden="1" customHeight="1" x14ac:dyDescent="0.4">
      <c r="A3564" s="6">
        <v>2026</v>
      </c>
      <c r="B3564" s="6">
        <f t="shared" si="453"/>
        <v>36</v>
      </c>
      <c r="C3564" s="13" t="s">
        <v>22</v>
      </c>
      <c r="D3564" s="2" t="s">
        <v>12</v>
      </c>
      <c r="E3564" s="14" t="str">
        <f t="shared" si="452"/>
        <v>L/W</v>
      </c>
      <c r="F3564" s="22"/>
      <c r="H3564" s="5" t="e">
        <f ca="1">_xlfn.FORMULATEXT(표1[[#This Row],[Q''ty]])</f>
        <v>#N/A</v>
      </c>
    </row>
    <row r="3565" spans="1:10" ht="15" hidden="1" customHeight="1" thickBot="1" x14ac:dyDescent="0.45">
      <c r="A3565" s="6">
        <v>2026</v>
      </c>
      <c r="B3565" s="6">
        <f t="shared" si="453"/>
        <v>36</v>
      </c>
      <c r="C3565" s="13" t="s">
        <v>22</v>
      </c>
      <c r="D3565" s="2" t="s">
        <v>12</v>
      </c>
      <c r="E3565" s="14" t="str">
        <f t="shared" si="452"/>
        <v>C/W</v>
      </c>
      <c r="F3565" s="22"/>
      <c r="H3565" s="5" t="e">
        <f ca="1">_xlfn.FORMULATEXT(표1[[#This Row],[Q''ty]])</f>
        <v>#N/A</v>
      </c>
    </row>
    <row r="3566" spans="1:10" ht="15" hidden="1" customHeight="1" thickTop="1" x14ac:dyDescent="0.4">
      <c r="A3566" s="9">
        <v>2026</v>
      </c>
      <c r="B3566" s="9">
        <f>B3467+1</f>
        <v>37</v>
      </c>
      <c r="C3566" s="10" t="s">
        <v>28</v>
      </c>
      <c r="D3566" s="11" t="s">
        <v>6</v>
      </c>
      <c r="E3566" s="12" t="s">
        <v>7</v>
      </c>
      <c r="F3566" s="21">
        <f t="shared" ref="F3566:F3571" si="457">F3467</f>
        <v>15</v>
      </c>
      <c r="H3566" s="5" t="str">
        <f ca="1">_xlfn.FORMULATEXT(표1[[#This Row],[Q''ty]])</f>
        <v>=F3467</v>
      </c>
    </row>
    <row r="3567" spans="1:10" s="2" customFormat="1" ht="15" hidden="1" customHeight="1" x14ac:dyDescent="0.4">
      <c r="A3567" s="6">
        <v>2026</v>
      </c>
      <c r="B3567" s="6">
        <f t="shared" ref="B3567:B3630" si="458">B3468+1</f>
        <v>37</v>
      </c>
      <c r="C3567" s="13" t="s">
        <v>23</v>
      </c>
      <c r="D3567" s="2" t="s">
        <v>6</v>
      </c>
      <c r="E3567" s="14" t="s">
        <v>8</v>
      </c>
      <c r="F3567" s="22">
        <f t="shared" si="457"/>
        <v>10</v>
      </c>
      <c r="H3567" s="5" t="str">
        <f ca="1">_xlfn.FORMULATEXT(표1[[#This Row],[Q''ty]])</f>
        <v>=F3468</v>
      </c>
      <c r="I3567" s="26"/>
      <c r="J3567" s="26"/>
    </row>
    <row r="3568" spans="1:10" s="2" customFormat="1" ht="15" hidden="1" customHeight="1" x14ac:dyDescent="0.4">
      <c r="A3568" s="6">
        <v>2026</v>
      </c>
      <c r="B3568" s="6">
        <f t="shared" si="458"/>
        <v>37</v>
      </c>
      <c r="C3568" s="13" t="s">
        <v>23</v>
      </c>
      <c r="D3568" s="2" t="s">
        <v>6</v>
      </c>
      <c r="E3568" s="14" t="s">
        <v>9</v>
      </c>
      <c r="F3568" s="22">
        <f t="shared" si="457"/>
        <v>5</v>
      </c>
      <c r="H3568" s="5" t="str">
        <f ca="1">_xlfn.FORMULATEXT(표1[[#This Row],[Q''ty]])</f>
        <v>=F3469</v>
      </c>
      <c r="I3568" s="26"/>
      <c r="J3568" s="26"/>
    </row>
    <row r="3569" spans="1:10" ht="15" hidden="1" customHeight="1" x14ac:dyDescent="0.4">
      <c r="A3569" s="6">
        <v>2026</v>
      </c>
      <c r="B3569" s="6">
        <f t="shared" si="458"/>
        <v>37</v>
      </c>
      <c r="C3569" s="13" t="s">
        <v>23</v>
      </c>
      <c r="D3569" s="2" t="s">
        <v>6</v>
      </c>
      <c r="E3569" s="14" t="s">
        <v>27</v>
      </c>
      <c r="F3569" s="22">
        <f t="shared" si="457"/>
        <v>6</v>
      </c>
      <c r="H3569" s="5" t="str">
        <f ca="1">_xlfn.FORMULATEXT(표1[[#This Row],[Q''ty]])</f>
        <v>=F3470</v>
      </c>
    </row>
    <row r="3570" spans="1:10" ht="15" hidden="1" customHeight="1" x14ac:dyDescent="0.4">
      <c r="A3570" s="6">
        <v>2026</v>
      </c>
      <c r="B3570" s="6">
        <f t="shared" si="458"/>
        <v>37</v>
      </c>
      <c r="C3570" s="13" t="s">
        <v>23</v>
      </c>
      <c r="D3570" s="2" t="s">
        <v>6</v>
      </c>
      <c r="E3570" s="14" t="s">
        <v>10</v>
      </c>
      <c r="F3570" s="22">
        <f t="shared" si="457"/>
        <v>10</v>
      </c>
      <c r="H3570" s="5" t="str">
        <f ca="1">_xlfn.FORMULATEXT(표1[[#This Row],[Q''ty]])</f>
        <v>=F3471</v>
      </c>
    </row>
    <row r="3571" spans="1:10" ht="15" hidden="1" customHeight="1" x14ac:dyDescent="0.4">
      <c r="A3571" s="6">
        <v>2026</v>
      </c>
      <c r="B3571" s="6">
        <f t="shared" si="458"/>
        <v>37</v>
      </c>
      <c r="C3571" s="13" t="s">
        <v>23</v>
      </c>
      <c r="D3571" s="2" t="s">
        <v>6</v>
      </c>
      <c r="E3571" s="14" t="s">
        <v>11</v>
      </c>
      <c r="F3571" s="22">
        <f t="shared" si="457"/>
        <v>10</v>
      </c>
      <c r="H3571" s="5" t="str">
        <f ca="1">_xlfn.FORMULATEXT(표1[[#This Row],[Q''ty]])</f>
        <v>=F3472</v>
      </c>
    </row>
    <row r="3572" spans="1:10" ht="15" hidden="1" customHeight="1" x14ac:dyDescent="0.4">
      <c r="A3572" s="6">
        <v>2026</v>
      </c>
      <c r="B3572" s="6">
        <f t="shared" si="458"/>
        <v>37</v>
      </c>
      <c r="C3572" s="13" t="s">
        <v>23</v>
      </c>
      <c r="D3572" s="2" t="s">
        <v>12</v>
      </c>
      <c r="E3572" s="14" t="s">
        <v>13</v>
      </c>
      <c r="F3572" s="22"/>
      <c r="H3572" s="5" t="e">
        <f ca="1">_xlfn.FORMULATEXT(표1[[#This Row],[Q''ty]])</f>
        <v>#N/A</v>
      </c>
    </row>
    <row r="3573" spans="1:10" s="2" customFormat="1" ht="15" hidden="1" customHeight="1" x14ac:dyDescent="0.4">
      <c r="A3573" s="6">
        <v>2026</v>
      </c>
      <c r="B3573" s="6">
        <f t="shared" si="458"/>
        <v>37</v>
      </c>
      <c r="C3573" s="13" t="s">
        <v>23</v>
      </c>
      <c r="D3573" s="2" t="s">
        <v>12</v>
      </c>
      <c r="E3573" s="14" t="s">
        <v>14</v>
      </c>
      <c r="F3573" s="22"/>
      <c r="H3573" s="5" t="e">
        <f ca="1">_xlfn.FORMULATEXT(표1[[#This Row],[Q''ty]])</f>
        <v>#N/A</v>
      </c>
      <c r="I3573" s="26"/>
      <c r="J3573" s="26"/>
    </row>
    <row r="3574" spans="1:10" ht="15" hidden="1" customHeight="1" x14ac:dyDescent="0.4">
      <c r="A3574" s="6">
        <v>2026</v>
      </c>
      <c r="B3574" s="6">
        <f t="shared" si="458"/>
        <v>37</v>
      </c>
      <c r="C3574" s="13" t="s">
        <v>23</v>
      </c>
      <c r="D3574" s="2" t="s">
        <v>12</v>
      </c>
      <c r="E3574" s="14" t="s">
        <v>15</v>
      </c>
      <c r="F3574" s="22"/>
      <c r="H3574" s="5" t="e">
        <f ca="1">_xlfn.FORMULATEXT(표1[[#This Row],[Q''ty]])</f>
        <v>#N/A</v>
      </c>
    </row>
    <row r="3575" spans="1:10" ht="15" hidden="1" customHeight="1" x14ac:dyDescent="0.4">
      <c r="A3575" s="6">
        <v>2026</v>
      </c>
      <c r="B3575" s="6">
        <f t="shared" si="458"/>
        <v>37</v>
      </c>
      <c r="C3575" s="13" t="s">
        <v>23</v>
      </c>
      <c r="D3575" s="2" t="s">
        <v>12</v>
      </c>
      <c r="E3575" s="14" t="s">
        <v>16</v>
      </c>
      <c r="F3575" s="22"/>
      <c r="H3575" s="5" t="e">
        <f ca="1">_xlfn.FORMULATEXT(표1[[#This Row],[Q''ty]])</f>
        <v>#N/A</v>
      </c>
    </row>
    <row r="3576" spans="1:10" ht="15" hidden="1" customHeight="1" thickBot="1" x14ac:dyDescent="0.45">
      <c r="A3576" s="15">
        <v>2026</v>
      </c>
      <c r="B3576" s="15">
        <f t="shared" si="458"/>
        <v>37</v>
      </c>
      <c r="C3576" s="16" t="s">
        <v>23</v>
      </c>
      <c r="D3576" s="17" t="s">
        <v>12</v>
      </c>
      <c r="E3576" s="18" t="s">
        <v>17</v>
      </c>
      <c r="F3576" s="23"/>
      <c r="H3576" s="5" t="e">
        <f ca="1">_xlfn.FORMULATEXT(표1[[#This Row],[Q''ty]])</f>
        <v>#N/A</v>
      </c>
    </row>
    <row r="3577" spans="1:10" ht="15" hidden="1" customHeight="1" thickTop="1" x14ac:dyDescent="0.4">
      <c r="A3577" s="9">
        <v>2026</v>
      </c>
      <c r="B3577" s="9">
        <f t="shared" si="458"/>
        <v>37</v>
      </c>
      <c r="C3577" s="10" t="s">
        <v>29</v>
      </c>
      <c r="D3577" s="11" t="s">
        <v>6</v>
      </c>
      <c r="E3577" s="12" t="s">
        <v>7</v>
      </c>
      <c r="F3577" s="21">
        <f t="shared" ref="F3577:F3582" si="459">F3478</f>
        <v>14</v>
      </c>
      <c r="H3577" s="5" t="str">
        <f ca="1">_xlfn.FORMULATEXT(표1[[#This Row],[Q''ty]])</f>
        <v>=F3478</v>
      </c>
    </row>
    <row r="3578" spans="1:10" s="2" customFormat="1" ht="15" hidden="1" customHeight="1" x14ac:dyDescent="0.4">
      <c r="A3578" s="6">
        <v>2026</v>
      </c>
      <c r="B3578" s="6">
        <f t="shared" si="458"/>
        <v>37</v>
      </c>
      <c r="C3578" s="13" t="s">
        <v>24</v>
      </c>
      <c r="D3578" s="2" t="s">
        <v>6</v>
      </c>
      <c r="E3578" s="14" t="s">
        <v>8</v>
      </c>
      <c r="F3578" s="22">
        <f t="shared" si="459"/>
        <v>8</v>
      </c>
      <c r="H3578" s="5" t="str">
        <f ca="1">_xlfn.FORMULATEXT(표1[[#This Row],[Q''ty]])</f>
        <v>=F3479</v>
      </c>
      <c r="I3578" s="26"/>
      <c r="J3578" s="26"/>
    </row>
    <row r="3579" spans="1:10" s="2" customFormat="1" ht="15" hidden="1" customHeight="1" x14ac:dyDescent="0.4">
      <c r="A3579" s="6">
        <v>2026</v>
      </c>
      <c r="B3579" s="6">
        <f t="shared" si="458"/>
        <v>37</v>
      </c>
      <c r="C3579" s="13" t="s">
        <v>24</v>
      </c>
      <c r="D3579" s="2" t="s">
        <v>6</v>
      </c>
      <c r="E3579" s="14" t="s">
        <v>9</v>
      </c>
      <c r="F3579" s="22">
        <f t="shared" si="459"/>
        <v>4</v>
      </c>
      <c r="H3579" s="5" t="str">
        <f ca="1">_xlfn.FORMULATEXT(표1[[#This Row],[Q''ty]])</f>
        <v>=F3480</v>
      </c>
      <c r="I3579" s="26"/>
      <c r="J3579" s="26"/>
    </row>
    <row r="3580" spans="1:10" ht="15" hidden="1" customHeight="1" x14ac:dyDescent="0.4">
      <c r="A3580" s="6">
        <v>2026</v>
      </c>
      <c r="B3580" s="6">
        <f t="shared" si="458"/>
        <v>37</v>
      </c>
      <c r="C3580" s="13" t="s">
        <v>24</v>
      </c>
      <c r="D3580" s="2" t="s">
        <v>6</v>
      </c>
      <c r="E3580" s="14" t="s">
        <v>27</v>
      </c>
      <c r="F3580" s="22">
        <f t="shared" si="459"/>
        <v>3</v>
      </c>
      <c r="H3580" s="5" t="str">
        <f ca="1">_xlfn.FORMULATEXT(표1[[#This Row],[Q''ty]])</f>
        <v>=F3481</v>
      </c>
    </row>
    <row r="3581" spans="1:10" ht="15" hidden="1" customHeight="1" x14ac:dyDescent="0.4">
      <c r="A3581" s="6">
        <v>2026</v>
      </c>
      <c r="B3581" s="6">
        <f t="shared" si="458"/>
        <v>37</v>
      </c>
      <c r="C3581" s="13" t="s">
        <v>24</v>
      </c>
      <c r="D3581" s="2" t="s">
        <v>6</v>
      </c>
      <c r="E3581" s="14" t="s">
        <v>10</v>
      </c>
      <c r="F3581" s="22">
        <f t="shared" si="459"/>
        <v>6</v>
      </c>
      <c r="H3581" s="5" t="str">
        <f ca="1">_xlfn.FORMULATEXT(표1[[#This Row],[Q''ty]])</f>
        <v>=F3482</v>
      </c>
    </row>
    <row r="3582" spans="1:10" ht="15" hidden="1" customHeight="1" x14ac:dyDescent="0.4">
      <c r="A3582" s="6">
        <v>2026</v>
      </c>
      <c r="B3582" s="6">
        <f t="shared" si="458"/>
        <v>37</v>
      </c>
      <c r="C3582" s="13" t="s">
        <v>24</v>
      </c>
      <c r="D3582" s="2" t="s">
        <v>6</v>
      </c>
      <c r="E3582" s="14" t="s">
        <v>11</v>
      </c>
      <c r="F3582" s="22">
        <f t="shared" si="459"/>
        <v>8.8000000000000007</v>
      </c>
      <c r="H3582" s="5" t="str">
        <f ca="1">_xlfn.FORMULATEXT(표1[[#This Row],[Q''ty]])</f>
        <v>=F3483</v>
      </c>
    </row>
    <row r="3583" spans="1:10" ht="15" hidden="1" customHeight="1" x14ac:dyDescent="0.4">
      <c r="A3583" s="6">
        <v>2026</v>
      </c>
      <c r="B3583" s="6">
        <f t="shared" si="458"/>
        <v>37</v>
      </c>
      <c r="C3583" s="13" t="s">
        <v>24</v>
      </c>
      <c r="D3583" s="2" t="s">
        <v>12</v>
      </c>
      <c r="E3583" s="14" t="s">
        <v>13</v>
      </c>
      <c r="F3583" s="22"/>
      <c r="H3583" s="5" t="e">
        <f ca="1">_xlfn.FORMULATEXT(표1[[#This Row],[Q''ty]])</f>
        <v>#N/A</v>
      </c>
    </row>
    <row r="3584" spans="1:10" s="2" customFormat="1" ht="15" hidden="1" customHeight="1" x14ac:dyDescent="0.4">
      <c r="A3584" s="6">
        <v>2026</v>
      </c>
      <c r="B3584" s="6">
        <f t="shared" si="458"/>
        <v>37</v>
      </c>
      <c r="C3584" s="13" t="s">
        <v>24</v>
      </c>
      <c r="D3584" s="2" t="s">
        <v>12</v>
      </c>
      <c r="E3584" s="14" t="s">
        <v>14</v>
      </c>
      <c r="F3584" s="22"/>
      <c r="H3584" s="5" t="e">
        <f ca="1">_xlfn.FORMULATEXT(표1[[#This Row],[Q''ty]])</f>
        <v>#N/A</v>
      </c>
      <c r="I3584" s="26"/>
      <c r="J3584" s="26"/>
    </row>
    <row r="3585" spans="1:8" ht="15" hidden="1" customHeight="1" x14ac:dyDescent="0.4">
      <c r="A3585" s="6">
        <v>2026</v>
      </c>
      <c r="B3585" s="6">
        <f t="shared" si="458"/>
        <v>37</v>
      </c>
      <c r="C3585" s="13" t="s">
        <v>24</v>
      </c>
      <c r="D3585" s="2" t="s">
        <v>12</v>
      </c>
      <c r="E3585" s="14" t="s">
        <v>15</v>
      </c>
      <c r="F3585" s="22"/>
      <c r="H3585" s="5" t="e">
        <f ca="1">_xlfn.FORMULATEXT(표1[[#This Row],[Q''ty]])</f>
        <v>#N/A</v>
      </c>
    </row>
    <row r="3586" spans="1:8" ht="15" hidden="1" customHeight="1" x14ac:dyDescent="0.4">
      <c r="A3586" s="6">
        <v>2026</v>
      </c>
      <c r="B3586" s="6">
        <f t="shared" si="458"/>
        <v>37</v>
      </c>
      <c r="C3586" s="13" t="s">
        <v>24</v>
      </c>
      <c r="D3586" s="2" t="s">
        <v>12</v>
      </c>
      <c r="E3586" s="14" t="s">
        <v>16</v>
      </c>
      <c r="F3586" s="22"/>
      <c r="H3586" s="5" t="e">
        <f ca="1">_xlfn.FORMULATEXT(표1[[#This Row],[Q''ty]])</f>
        <v>#N/A</v>
      </c>
    </row>
    <row r="3587" spans="1:8" ht="15" hidden="1" customHeight="1" thickBot="1" x14ac:dyDescent="0.45">
      <c r="A3587" s="15">
        <v>2026</v>
      </c>
      <c r="B3587" s="15">
        <f t="shared" si="458"/>
        <v>37</v>
      </c>
      <c r="C3587" s="16" t="s">
        <v>24</v>
      </c>
      <c r="D3587" s="17" t="s">
        <v>12</v>
      </c>
      <c r="E3587" s="18" t="s">
        <v>17</v>
      </c>
      <c r="F3587" s="23"/>
      <c r="H3587" s="5" t="e">
        <f ca="1">_xlfn.FORMULATEXT(표1[[#This Row],[Q''ty]])</f>
        <v>#N/A</v>
      </c>
    </row>
    <row r="3588" spans="1:8" ht="15" hidden="1" customHeight="1" thickTop="1" x14ac:dyDescent="0.4">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hidden="1" customHeight="1" x14ac:dyDescent="0.4">
      <c r="A3589" s="6">
        <v>2026</v>
      </c>
      <c r="B3589" s="6">
        <f t="shared" si="458"/>
        <v>37</v>
      </c>
      <c r="C3589" s="13" t="s">
        <v>18</v>
      </c>
      <c r="D3589" s="2" t="s">
        <v>6</v>
      </c>
      <c r="E3589" s="14" t="str">
        <f t="shared" si="460"/>
        <v>Paint Booth</v>
      </c>
      <c r="F3589" s="22">
        <f t="shared" si="460"/>
        <v>3</v>
      </c>
      <c r="H3589" s="5" t="str">
        <f ca="1">_xlfn.FORMULATEXT(표1[[#This Row],[Q''ty]])</f>
        <v>=F3490</v>
      </c>
    </row>
    <row r="3590" spans="1:8" ht="15" hidden="1" customHeight="1" x14ac:dyDescent="0.4">
      <c r="A3590" s="6">
        <v>2026</v>
      </c>
      <c r="B3590" s="6">
        <f t="shared" si="458"/>
        <v>37</v>
      </c>
      <c r="C3590" s="13" t="s">
        <v>18</v>
      </c>
      <c r="D3590" s="2" t="s">
        <v>6</v>
      </c>
      <c r="E3590" s="14" t="str">
        <f t="shared" si="460"/>
        <v>Paint Line</v>
      </c>
      <c r="F3590" s="22">
        <f t="shared" si="460"/>
        <v>2</v>
      </c>
      <c r="H3590" s="5" t="str">
        <f ca="1">_xlfn.FORMULATEXT(표1[[#This Row],[Q''ty]])</f>
        <v>=F3491</v>
      </c>
    </row>
    <row r="3591" spans="1:8" ht="15" hidden="1" customHeight="1" x14ac:dyDescent="0.4">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hidden="1" customHeight="1" x14ac:dyDescent="0.4">
      <c r="A3592" s="6">
        <v>2026</v>
      </c>
      <c r="B3592" s="6">
        <f t="shared" si="458"/>
        <v>37</v>
      </c>
      <c r="C3592" s="13" t="s">
        <v>18</v>
      </c>
      <c r="D3592" s="2" t="s">
        <v>6</v>
      </c>
      <c r="E3592" s="14" t="str">
        <f t="shared" si="460"/>
        <v>L/W Machine</v>
      </c>
      <c r="F3592" s="22">
        <f t="shared" si="460"/>
        <v>2</v>
      </c>
      <c r="H3592" s="5" t="str">
        <f ca="1">_xlfn.FORMULATEXT(표1[[#This Row],[Q''ty]])</f>
        <v>=F3493</v>
      </c>
    </row>
    <row r="3593" spans="1:8" ht="15" hidden="1" customHeight="1" x14ac:dyDescent="0.4">
      <c r="A3593" s="6">
        <v>2026</v>
      </c>
      <c r="B3593" s="6">
        <f t="shared" si="458"/>
        <v>37</v>
      </c>
      <c r="C3593" s="13" t="s">
        <v>18</v>
      </c>
      <c r="D3593" s="2" t="s">
        <v>6</v>
      </c>
      <c r="E3593" s="14" t="str">
        <f t="shared" si="460"/>
        <v>C/W Machine</v>
      </c>
      <c r="F3593" s="22">
        <f t="shared" si="460"/>
        <v>3</v>
      </c>
      <c r="H3593" s="5" t="str">
        <f ca="1">_xlfn.FORMULATEXT(표1[[#This Row],[Q''ty]])</f>
        <v>=F3494</v>
      </c>
    </row>
    <row r="3594" spans="1:8" ht="15" hidden="1" customHeight="1" x14ac:dyDescent="0.4">
      <c r="A3594" s="6">
        <v>2026</v>
      </c>
      <c r="B3594" s="6">
        <f t="shared" si="458"/>
        <v>37</v>
      </c>
      <c r="C3594" s="13" t="s">
        <v>18</v>
      </c>
      <c r="D3594" s="2" t="s">
        <v>12</v>
      </c>
      <c r="E3594" s="14" t="str">
        <f t="shared" ref="E3594:E3609" si="461">E3495</f>
        <v>BT GT</v>
      </c>
      <c r="F3594" s="22"/>
      <c r="H3594" s="5" t="e">
        <f ca="1">_xlfn.FORMULATEXT(표1[[#This Row],[Q''ty]])</f>
        <v>#N/A</v>
      </c>
    </row>
    <row r="3595" spans="1:8" ht="15" hidden="1" customHeight="1" x14ac:dyDescent="0.4">
      <c r="A3595" s="6">
        <v>2026</v>
      </c>
      <c r="B3595" s="6">
        <f t="shared" si="458"/>
        <v>37</v>
      </c>
      <c r="C3595" s="13" t="s">
        <v>18</v>
      </c>
      <c r="D3595" s="2" t="s">
        <v>12</v>
      </c>
      <c r="E3595" s="14" t="str">
        <f t="shared" si="461"/>
        <v>WT GT</v>
      </c>
      <c r="F3595" s="22"/>
      <c r="H3595" s="5" t="e">
        <f ca="1">_xlfn.FORMULATEXT(표1[[#This Row],[Q''ty]])</f>
        <v>#N/A</v>
      </c>
    </row>
    <row r="3596" spans="1:8" ht="15" hidden="1" customHeight="1" x14ac:dyDescent="0.4">
      <c r="A3596" s="6">
        <v>2026</v>
      </c>
      <c r="B3596" s="6">
        <f t="shared" si="458"/>
        <v>37</v>
      </c>
      <c r="C3596" s="13" t="s">
        <v>18</v>
      </c>
      <c r="D3596" s="2" t="s">
        <v>12</v>
      </c>
      <c r="E3596" s="14" t="str">
        <f t="shared" si="461"/>
        <v>Bending</v>
      </c>
      <c r="F3596" s="22"/>
      <c r="H3596" s="5" t="e">
        <f ca="1">_xlfn.FORMULATEXT(표1[[#This Row],[Q''ty]])</f>
        <v>#N/A</v>
      </c>
    </row>
    <row r="3597" spans="1:8" ht="15" hidden="1" customHeight="1" x14ac:dyDescent="0.4">
      <c r="A3597" s="6">
        <v>2026</v>
      </c>
      <c r="B3597" s="6">
        <f t="shared" si="458"/>
        <v>37</v>
      </c>
      <c r="C3597" s="13" t="s">
        <v>18</v>
      </c>
      <c r="D3597" s="2" t="s">
        <v>12</v>
      </c>
      <c r="E3597" s="14" t="str">
        <f t="shared" si="461"/>
        <v>L/W</v>
      </c>
      <c r="F3597" s="22"/>
      <c r="H3597" s="5" t="e">
        <f ca="1">_xlfn.FORMULATEXT(표1[[#This Row],[Q''ty]])</f>
        <v>#N/A</v>
      </c>
    </row>
    <row r="3598" spans="1:8" ht="15" hidden="1" customHeight="1" thickBot="1" x14ac:dyDescent="0.45">
      <c r="A3598" s="15">
        <v>2026</v>
      </c>
      <c r="B3598" s="15">
        <f t="shared" si="458"/>
        <v>37</v>
      </c>
      <c r="C3598" s="16" t="s">
        <v>18</v>
      </c>
      <c r="D3598" s="17" t="s">
        <v>12</v>
      </c>
      <c r="E3598" s="18" t="str">
        <f t="shared" si="461"/>
        <v>C/W</v>
      </c>
      <c r="F3598" s="23"/>
      <c r="H3598" s="5" t="e">
        <f ca="1">_xlfn.FORMULATEXT(표1[[#This Row],[Q''ty]])</f>
        <v>#N/A</v>
      </c>
    </row>
    <row r="3599" spans="1:8" ht="15" hidden="1" customHeight="1" thickTop="1" x14ac:dyDescent="0.4">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hidden="1" customHeight="1" x14ac:dyDescent="0.4">
      <c r="A3600" s="6">
        <v>2026</v>
      </c>
      <c r="B3600" s="6">
        <f t="shared" si="458"/>
        <v>37</v>
      </c>
      <c r="C3600" s="13" t="s">
        <v>19</v>
      </c>
      <c r="D3600" s="2" t="s">
        <v>6</v>
      </c>
      <c r="E3600" s="14" t="str">
        <f t="shared" si="461"/>
        <v>Paint Booth</v>
      </c>
      <c r="F3600" s="22">
        <f t="shared" si="462"/>
        <v>22</v>
      </c>
      <c r="H3600" s="5" t="str">
        <f ca="1">_xlfn.FORMULATEXT(표1[[#This Row],[Q''ty]])</f>
        <v>=F3501</v>
      </c>
    </row>
    <row r="3601" spans="1:8" ht="15" hidden="1" customHeight="1" x14ac:dyDescent="0.4">
      <c r="A3601" s="6">
        <v>2026</v>
      </c>
      <c r="B3601" s="6">
        <f t="shared" si="458"/>
        <v>37</v>
      </c>
      <c r="C3601" s="13" t="s">
        <v>19</v>
      </c>
      <c r="D3601" s="2" t="s">
        <v>6</v>
      </c>
      <c r="E3601" s="14" t="str">
        <f t="shared" si="461"/>
        <v>Paint Line</v>
      </c>
      <c r="F3601" s="22">
        <f t="shared" si="462"/>
        <v>6</v>
      </c>
      <c r="H3601" s="5" t="str">
        <f ca="1">_xlfn.FORMULATEXT(표1[[#This Row],[Q''ty]])</f>
        <v>=F3502</v>
      </c>
    </row>
    <row r="3602" spans="1:8" ht="15" hidden="1" customHeight="1" x14ac:dyDescent="0.4">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hidden="1" customHeight="1" x14ac:dyDescent="0.4">
      <c r="A3603" s="6">
        <v>2026</v>
      </c>
      <c r="B3603" s="6">
        <f t="shared" si="458"/>
        <v>37</v>
      </c>
      <c r="C3603" s="13" t="s">
        <v>19</v>
      </c>
      <c r="D3603" s="2" t="s">
        <v>6</v>
      </c>
      <c r="E3603" s="14" t="str">
        <f t="shared" si="461"/>
        <v>L/W Machine</v>
      </c>
      <c r="F3603" s="22">
        <f t="shared" si="462"/>
        <v>10</v>
      </c>
      <c r="H3603" s="5" t="str">
        <f ca="1">_xlfn.FORMULATEXT(표1[[#This Row],[Q''ty]])</f>
        <v>=F3504</v>
      </c>
    </row>
    <row r="3604" spans="1:8" ht="15" hidden="1" customHeight="1" x14ac:dyDescent="0.4">
      <c r="A3604" s="6">
        <v>2026</v>
      </c>
      <c r="B3604" s="6">
        <f t="shared" si="458"/>
        <v>37</v>
      </c>
      <c r="C3604" s="13" t="s">
        <v>19</v>
      </c>
      <c r="D3604" s="2" t="s">
        <v>6</v>
      </c>
      <c r="E3604" s="14" t="str">
        <f t="shared" si="461"/>
        <v>C/W Machine</v>
      </c>
      <c r="F3604" s="22">
        <f t="shared" si="462"/>
        <v>12</v>
      </c>
      <c r="H3604" s="5" t="str">
        <f ca="1">_xlfn.FORMULATEXT(표1[[#This Row],[Q''ty]])</f>
        <v>=F3505</v>
      </c>
    </row>
    <row r="3605" spans="1:8" ht="15" hidden="1" customHeight="1" x14ac:dyDescent="0.4">
      <c r="A3605" s="6">
        <v>2026</v>
      </c>
      <c r="B3605" s="6">
        <f t="shared" si="458"/>
        <v>37</v>
      </c>
      <c r="C3605" s="13" t="s">
        <v>19</v>
      </c>
      <c r="D3605" s="2" t="s">
        <v>12</v>
      </c>
      <c r="E3605" s="14" t="str">
        <f t="shared" si="461"/>
        <v>BT GT</v>
      </c>
      <c r="F3605" s="22"/>
      <c r="H3605" s="5" t="e">
        <f ca="1">_xlfn.FORMULATEXT(표1[[#This Row],[Q''ty]])</f>
        <v>#N/A</v>
      </c>
    </row>
    <row r="3606" spans="1:8" ht="15" hidden="1" customHeight="1" x14ac:dyDescent="0.4">
      <c r="A3606" s="6">
        <v>2026</v>
      </c>
      <c r="B3606" s="6">
        <f t="shared" si="458"/>
        <v>37</v>
      </c>
      <c r="C3606" s="13" t="s">
        <v>19</v>
      </c>
      <c r="D3606" s="2" t="s">
        <v>12</v>
      </c>
      <c r="E3606" s="14" t="str">
        <f t="shared" si="461"/>
        <v>WT GT</v>
      </c>
      <c r="F3606" s="22"/>
      <c r="H3606" s="5" t="e">
        <f ca="1">_xlfn.FORMULATEXT(표1[[#This Row],[Q''ty]])</f>
        <v>#N/A</v>
      </c>
    </row>
    <row r="3607" spans="1:8" ht="15" hidden="1" customHeight="1" x14ac:dyDescent="0.4">
      <c r="A3607" s="6">
        <v>2026</v>
      </c>
      <c r="B3607" s="6">
        <f t="shared" si="458"/>
        <v>37</v>
      </c>
      <c r="C3607" s="13" t="s">
        <v>19</v>
      </c>
      <c r="D3607" s="2" t="s">
        <v>12</v>
      </c>
      <c r="E3607" s="14" t="str">
        <f t="shared" si="461"/>
        <v>Bending</v>
      </c>
      <c r="F3607" s="22"/>
      <c r="H3607" s="5" t="e">
        <f ca="1">_xlfn.FORMULATEXT(표1[[#This Row],[Q''ty]])</f>
        <v>#N/A</v>
      </c>
    </row>
    <row r="3608" spans="1:8" ht="15" hidden="1" customHeight="1" x14ac:dyDescent="0.4">
      <c r="A3608" s="6">
        <v>2026</v>
      </c>
      <c r="B3608" s="6">
        <f t="shared" si="458"/>
        <v>37</v>
      </c>
      <c r="C3608" s="13" t="s">
        <v>19</v>
      </c>
      <c r="D3608" s="2" t="s">
        <v>12</v>
      </c>
      <c r="E3608" s="14" t="str">
        <f t="shared" si="461"/>
        <v>L/W</v>
      </c>
      <c r="F3608" s="22"/>
      <c r="H3608" s="5" t="e">
        <f ca="1">_xlfn.FORMULATEXT(표1[[#This Row],[Q''ty]])</f>
        <v>#N/A</v>
      </c>
    </row>
    <row r="3609" spans="1:8" ht="15" hidden="1" customHeight="1" thickBot="1" x14ac:dyDescent="0.45">
      <c r="A3609" s="15">
        <v>2026</v>
      </c>
      <c r="B3609" s="15">
        <f t="shared" si="458"/>
        <v>37</v>
      </c>
      <c r="C3609" s="16" t="s">
        <v>19</v>
      </c>
      <c r="D3609" s="17" t="s">
        <v>12</v>
      </c>
      <c r="E3609" s="18" t="str">
        <f t="shared" si="461"/>
        <v>C/W</v>
      </c>
      <c r="F3609" s="23"/>
      <c r="H3609" s="5" t="e">
        <f ca="1">_xlfn.FORMULATEXT(표1[[#This Row],[Q''ty]])</f>
        <v>#N/A</v>
      </c>
    </row>
    <row r="3610" spans="1:8" ht="15" hidden="1" customHeight="1" thickTop="1" x14ac:dyDescent="0.4">
      <c r="A3610" s="6">
        <v>2026</v>
      </c>
      <c r="B3610" s="6">
        <f t="shared" si="458"/>
        <v>37</v>
      </c>
      <c r="C3610" s="13" t="s">
        <v>25</v>
      </c>
      <c r="D3610" s="2" t="s">
        <v>6</v>
      </c>
      <c r="E3610" s="14" t="s">
        <v>7</v>
      </c>
      <c r="F3610" s="22">
        <f t="shared" ref="F3610:F3615" si="463">F3511</f>
        <v>3</v>
      </c>
      <c r="H3610" s="5" t="str">
        <f ca="1">_xlfn.FORMULATEXT(표1[[#This Row],[Q''ty]])</f>
        <v>=F3511</v>
      </c>
    </row>
    <row r="3611" spans="1:8" ht="15" hidden="1" customHeight="1" x14ac:dyDescent="0.4">
      <c r="A3611" s="6">
        <v>2026</v>
      </c>
      <c r="B3611" s="6">
        <f t="shared" si="458"/>
        <v>37</v>
      </c>
      <c r="C3611" s="13" t="s">
        <v>25</v>
      </c>
      <c r="D3611" s="2" t="s">
        <v>6</v>
      </c>
      <c r="E3611" s="14" t="s">
        <v>8</v>
      </c>
      <c r="F3611" s="22">
        <f t="shared" si="463"/>
        <v>3</v>
      </c>
      <c r="H3611" s="5" t="str">
        <f ca="1">_xlfn.FORMULATEXT(표1[[#This Row],[Q''ty]])</f>
        <v>=F3512</v>
      </c>
    </row>
    <row r="3612" spans="1:8" ht="15" hidden="1" customHeight="1" x14ac:dyDescent="0.4">
      <c r="A3612" s="6">
        <v>2026</v>
      </c>
      <c r="B3612" s="6">
        <f t="shared" si="458"/>
        <v>37</v>
      </c>
      <c r="C3612" s="13" t="s">
        <v>25</v>
      </c>
      <c r="D3612" s="2" t="s">
        <v>6</v>
      </c>
      <c r="E3612" s="14" t="s">
        <v>9</v>
      </c>
      <c r="F3612" s="22">
        <f t="shared" si="463"/>
        <v>2</v>
      </c>
      <c r="H3612" s="5" t="str">
        <f ca="1">_xlfn.FORMULATEXT(표1[[#This Row],[Q''ty]])</f>
        <v>=F3513</v>
      </c>
    </row>
    <row r="3613" spans="1:8" ht="15" hidden="1" customHeight="1" x14ac:dyDescent="0.4">
      <c r="A3613" s="6">
        <v>2026</v>
      </c>
      <c r="B3613" s="6">
        <f t="shared" si="458"/>
        <v>37</v>
      </c>
      <c r="C3613" s="13" t="s">
        <v>25</v>
      </c>
      <c r="D3613" s="2" t="s">
        <v>6</v>
      </c>
      <c r="E3613" s="14" t="s">
        <v>27</v>
      </c>
      <c r="F3613" s="22">
        <f t="shared" si="463"/>
        <v>2</v>
      </c>
      <c r="H3613" s="5" t="str">
        <f ca="1">_xlfn.FORMULATEXT(표1[[#This Row],[Q''ty]])</f>
        <v>=F3514</v>
      </c>
    </row>
    <row r="3614" spans="1:8" ht="15" hidden="1" customHeight="1" x14ac:dyDescent="0.4">
      <c r="A3614" s="6">
        <v>2026</v>
      </c>
      <c r="B3614" s="6">
        <f t="shared" si="458"/>
        <v>37</v>
      </c>
      <c r="C3614" s="13" t="s">
        <v>25</v>
      </c>
      <c r="D3614" s="2" t="s">
        <v>6</v>
      </c>
      <c r="E3614" s="14" t="s">
        <v>10</v>
      </c>
      <c r="F3614" s="22">
        <f t="shared" si="463"/>
        <v>3</v>
      </c>
      <c r="H3614" s="5" t="str">
        <f ca="1">_xlfn.FORMULATEXT(표1[[#This Row],[Q''ty]])</f>
        <v>=F3515</v>
      </c>
    </row>
    <row r="3615" spans="1:8" ht="15" hidden="1" customHeight="1" x14ac:dyDescent="0.4">
      <c r="A3615" s="6">
        <v>2026</v>
      </c>
      <c r="B3615" s="6">
        <f t="shared" si="458"/>
        <v>37</v>
      </c>
      <c r="C3615" s="13" t="s">
        <v>25</v>
      </c>
      <c r="D3615" s="2" t="s">
        <v>6</v>
      </c>
      <c r="E3615" s="14" t="s">
        <v>11</v>
      </c>
      <c r="F3615" s="22">
        <f t="shared" si="463"/>
        <v>4</v>
      </c>
      <c r="H3615" s="5" t="str">
        <f ca="1">_xlfn.FORMULATEXT(표1[[#This Row],[Q''ty]])</f>
        <v>=F3516</v>
      </c>
    </row>
    <row r="3616" spans="1:8" ht="15" hidden="1" customHeight="1" x14ac:dyDescent="0.4">
      <c r="A3616" s="6">
        <v>2026</v>
      </c>
      <c r="B3616" s="6">
        <f t="shared" si="458"/>
        <v>37</v>
      </c>
      <c r="C3616" s="13" t="s">
        <v>25</v>
      </c>
      <c r="D3616" s="2" t="s">
        <v>12</v>
      </c>
      <c r="E3616" s="14" t="s">
        <v>13</v>
      </c>
      <c r="F3616" s="22"/>
      <c r="H3616" s="5" t="e">
        <f ca="1">_xlfn.FORMULATEXT(표1[[#This Row],[Q''ty]])</f>
        <v>#N/A</v>
      </c>
    </row>
    <row r="3617" spans="1:8" ht="15" hidden="1" customHeight="1" x14ac:dyDescent="0.4">
      <c r="A3617" s="6">
        <v>2026</v>
      </c>
      <c r="B3617" s="6">
        <f t="shared" si="458"/>
        <v>37</v>
      </c>
      <c r="C3617" s="13" t="s">
        <v>25</v>
      </c>
      <c r="D3617" s="2" t="s">
        <v>12</v>
      </c>
      <c r="E3617" s="14" t="s">
        <v>14</v>
      </c>
      <c r="F3617" s="22"/>
      <c r="H3617" s="5" t="e">
        <f ca="1">_xlfn.FORMULATEXT(표1[[#This Row],[Q''ty]])</f>
        <v>#N/A</v>
      </c>
    </row>
    <row r="3618" spans="1:8" ht="15" hidden="1" customHeight="1" x14ac:dyDescent="0.4">
      <c r="A3618" s="6">
        <v>2026</v>
      </c>
      <c r="B3618" s="6">
        <f t="shared" si="458"/>
        <v>37</v>
      </c>
      <c r="C3618" s="13" t="s">
        <v>25</v>
      </c>
      <c r="D3618" s="2" t="s">
        <v>12</v>
      </c>
      <c r="E3618" s="14" t="s">
        <v>15</v>
      </c>
      <c r="F3618" s="22"/>
      <c r="H3618" s="5" t="e">
        <f ca="1">_xlfn.FORMULATEXT(표1[[#This Row],[Q''ty]])</f>
        <v>#N/A</v>
      </c>
    </row>
    <row r="3619" spans="1:8" ht="15" hidden="1" customHeight="1" x14ac:dyDescent="0.4">
      <c r="A3619" s="6">
        <v>2026</v>
      </c>
      <c r="B3619" s="6">
        <f t="shared" si="458"/>
        <v>37</v>
      </c>
      <c r="C3619" s="13" t="s">
        <v>25</v>
      </c>
      <c r="D3619" s="2" t="s">
        <v>12</v>
      </c>
      <c r="E3619" s="14" t="s">
        <v>16</v>
      </c>
      <c r="F3619" s="22"/>
      <c r="H3619" s="5" t="e">
        <f ca="1">_xlfn.FORMULATEXT(표1[[#This Row],[Q''ty]])</f>
        <v>#N/A</v>
      </c>
    </row>
    <row r="3620" spans="1:8" ht="15" hidden="1" customHeight="1" thickBot="1" x14ac:dyDescent="0.45">
      <c r="A3620" s="15">
        <v>2026</v>
      </c>
      <c r="B3620" s="15">
        <f t="shared" si="458"/>
        <v>37</v>
      </c>
      <c r="C3620" s="16" t="s">
        <v>25</v>
      </c>
      <c r="D3620" s="17" t="s">
        <v>12</v>
      </c>
      <c r="E3620" s="18" t="s">
        <v>17</v>
      </c>
      <c r="F3620" s="23"/>
      <c r="H3620" s="5" t="e">
        <f ca="1">_xlfn.FORMULATEXT(표1[[#This Row],[Q''ty]])</f>
        <v>#N/A</v>
      </c>
    </row>
    <row r="3621" spans="1:8" ht="15" hidden="1" customHeight="1" thickTop="1" x14ac:dyDescent="0.4">
      <c r="A3621" s="6">
        <v>2026</v>
      </c>
      <c r="B3621" s="6">
        <f t="shared" si="458"/>
        <v>37</v>
      </c>
      <c r="C3621" s="13" t="s">
        <v>26</v>
      </c>
      <c r="D3621" s="2" t="s">
        <v>6</v>
      </c>
      <c r="E3621" s="14" t="s">
        <v>7</v>
      </c>
      <c r="F3621" s="22">
        <f t="shared" ref="F3621:F3626" si="464">F3522</f>
        <v>6</v>
      </c>
      <c r="H3621" s="5" t="str">
        <f ca="1">_xlfn.FORMULATEXT(표1[[#This Row],[Q''ty]])</f>
        <v>=F3522</v>
      </c>
    </row>
    <row r="3622" spans="1:8" ht="15" hidden="1" customHeight="1" x14ac:dyDescent="0.4">
      <c r="A3622" s="6">
        <v>2026</v>
      </c>
      <c r="B3622" s="6">
        <f t="shared" si="458"/>
        <v>37</v>
      </c>
      <c r="C3622" s="13" t="s">
        <v>26</v>
      </c>
      <c r="D3622" s="2" t="s">
        <v>6</v>
      </c>
      <c r="E3622" s="14" t="s">
        <v>8</v>
      </c>
      <c r="F3622" s="22">
        <f t="shared" si="464"/>
        <v>4</v>
      </c>
      <c r="H3622" s="5" t="str">
        <f ca="1">_xlfn.FORMULATEXT(표1[[#This Row],[Q''ty]])</f>
        <v>=F3523</v>
      </c>
    </row>
    <row r="3623" spans="1:8" ht="15" hidden="1" customHeight="1" x14ac:dyDescent="0.4">
      <c r="A3623" s="6">
        <v>2026</v>
      </c>
      <c r="B3623" s="6">
        <f t="shared" si="458"/>
        <v>37</v>
      </c>
      <c r="C3623" s="13" t="s">
        <v>26</v>
      </c>
      <c r="D3623" s="2" t="s">
        <v>6</v>
      </c>
      <c r="E3623" s="14" t="s">
        <v>9</v>
      </c>
      <c r="F3623" s="22">
        <f t="shared" si="464"/>
        <v>2</v>
      </c>
      <c r="H3623" s="5" t="str">
        <f ca="1">_xlfn.FORMULATEXT(표1[[#This Row],[Q''ty]])</f>
        <v>=F3524</v>
      </c>
    </row>
    <row r="3624" spans="1:8" ht="15" hidden="1" customHeight="1" x14ac:dyDescent="0.4">
      <c r="A3624" s="6">
        <v>2026</v>
      </c>
      <c r="B3624" s="6">
        <f t="shared" si="458"/>
        <v>37</v>
      </c>
      <c r="C3624" s="13" t="s">
        <v>26</v>
      </c>
      <c r="D3624" s="2" t="s">
        <v>6</v>
      </c>
      <c r="E3624" s="14" t="s">
        <v>27</v>
      </c>
      <c r="F3624" s="22">
        <f t="shared" si="464"/>
        <v>3</v>
      </c>
      <c r="H3624" s="5" t="str">
        <f ca="1">_xlfn.FORMULATEXT(표1[[#This Row],[Q''ty]])</f>
        <v>=F3525</v>
      </c>
    </row>
    <row r="3625" spans="1:8" ht="15" hidden="1" customHeight="1" x14ac:dyDescent="0.4">
      <c r="A3625" s="6">
        <v>2026</v>
      </c>
      <c r="B3625" s="6">
        <f t="shared" si="458"/>
        <v>37</v>
      </c>
      <c r="C3625" s="13" t="s">
        <v>26</v>
      </c>
      <c r="D3625" s="2" t="s">
        <v>6</v>
      </c>
      <c r="E3625" s="14" t="s">
        <v>10</v>
      </c>
      <c r="F3625" s="22">
        <f t="shared" si="464"/>
        <v>4</v>
      </c>
      <c r="H3625" s="5" t="str">
        <f ca="1">_xlfn.FORMULATEXT(표1[[#This Row],[Q''ty]])</f>
        <v>=F3526</v>
      </c>
    </row>
    <row r="3626" spans="1:8" ht="15" hidden="1" customHeight="1" x14ac:dyDescent="0.4">
      <c r="A3626" s="6">
        <v>2026</v>
      </c>
      <c r="B3626" s="6">
        <f t="shared" si="458"/>
        <v>37</v>
      </c>
      <c r="C3626" s="13" t="s">
        <v>26</v>
      </c>
      <c r="D3626" s="2" t="s">
        <v>6</v>
      </c>
      <c r="E3626" s="14" t="s">
        <v>11</v>
      </c>
      <c r="F3626" s="22">
        <f t="shared" si="464"/>
        <v>6</v>
      </c>
      <c r="H3626" s="5" t="str">
        <f ca="1">_xlfn.FORMULATEXT(표1[[#This Row],[Q''ty]])</f>
        <v>=F3527</v>
      </c>
    </row>
    <row r="3627" spans="1:8" ht="15" hidden="1" customHeight="1" x14ac:dyDescent="0.4">
      <c r="A3627" s="6">
        <v>2026</v>
      </c>
      <c r="B3627" s="6">
        <f t="shared" si="458"/>
        <v>37</v>
      </c>
      <c r="C3627" s="13" t="s">
        <v>26</v>
      </c>
      <c r="D3627" s="2" t="s">
        <v>12</v>
      </c>
      <c r="E3627" s="14" t="str">
        <f t="shared" ref="E3627:E3664" si="465">E3528</f>
        <v>BT GT</v>
      </c>
      <c r="F3627" s="22"/>
      <c r="H3627" s="5" t="e">
        <f ca="1">_xlfn.FORMULATEXT(표1[[#This Row],[Q''ty]])</f>
        <v>#N/A</v>
      </c>
    </row>
    <row r="3628" spans="1:8" ht="15" hidden="1" customHeight="1" x14ac:dyDescent="0.4">
      <c r="A3628" s="6">
        <v>2026</v>
      </c>
      <c r="B3628" s="6">
        <f t="shared" si="458"/>
        <v>37</v>
      </c>
      <c r="C3628" s="13" t="s">
        <v>26</v>
      </c>
      <c r="D3628" s="2" t="s">
        <v>12</v>
      </c>
      <c r="E3628" s="14" t="str">
        <f t="shared" si="465"/>
        <v>WT GT</v>
      </c>
      <c r="F3628" s="22"/>
      <c r="H3628" s="5" t="e">
        <f ca="1">_xlfn.FORMULATEXT(표1[[#This Row],[Q''ty]])</f>
        <v>#N/A</v>
      </c>
    </row>
    <row r="3629" spans="1:8" ht="15" hidden="1" customHeight="1" x14ac:dyDescent="0.4">
      <c r="A3629" s="6">
        <v>2026</v>
      </c>
      <c r="B3629" s="6">
        <f t="shared" si="458"/>
        <v>37</v>
      </c>
      <c r="C3629" s="13" t="s">
        <v>26</v>
      </c>
      <c r="D3629" s="2" t="s">
        <v>12</v>
      </c>
      <c r="E3629" s="14" t="str">
        <f t="shared" si="465"/>
        <v>Bending</v>
      </c>
      <c r="F3629" s="22"/>
      <c r="H3629" s="5" t="e">
        <f ca="1">_xlfn.FORMULATEXT(표1[[#This Row],[Q''ty]])</f>
        <v>#N/A</v>
      </c>
    </row>
    <row r="3630" spans="1:8" ht="15" hidden="1" customHeight="1" x14ac:dyDescent="0.4">
      <c r="A3630" s="6">
        <v>2026</v>
      </c>
      <c r="B3630" s="6">
        <f t="shared" si="458"/>
        <v>37</v>
      </c>
      <c r="C3630" s="13" t="s">
        <v>26</v>
      </c>
      <c r="D3630" s="2" t="s">
        <v>12</v>
      </c>
      <c r="E3630" s="14" t="str">
        <f t="shared" si="465"/>
        <v>L/W</v>
      </c>
      <c r="F3630" s="22"/>
      <c r="H3630" s="5" t="e">
        <f ca="1">_xlfn.FORMULATEXT(표1[[#This Row],[Q''ty]])</f>
        <v>#N/A</v>
      </c>
    </row>
    <row r="3631" spans="1:8" ht="15" hidden="1" customHeight="1" thickBot="1" x14ac:dyDescent="0.45">
      <c r="A3631" s="15">
        <v>2026</v>
      </c>
      <c r="B3631" s="15">
        <f t="shared" ref="B3631:B3664" si="466">B3532+1</f>
        <v>37</v>
      </c>
      <c r="C3631" s="16" t="s">
        <v>26</v>
      </c>
      <c r="D3631" s="17" t="s">
        <v>12</v>
      </c>
      <c r="E3631" s="18" t="str">
        <f t="shared" si="465"/>
        <v>C/W</v>
      </c>
      <c r="F3631" s="23"/>
      <c r="H3631" s="5" t="e">
        <f ca="1">_xlfn.FORMULATEXT(표1[[#This Row],[Q''ty]])</f>
        <v>#N/A</v>
      </c>
    </row>
    <row r="3632" spans="1:8" ht="15" hidden="1" customHeight="1" thickTop="1" x14ac:dyDescent="0.4">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hidden="1" customHeight="1" x14ac:dyDescent="0.4">
      <c r="A3633" s="6">
        <v>2026</v>
      </c>
      <c r="B3633" s="6">
        <f t="shared" si="466"/>
        <v>37</v>
      </c>
      <c r="C3633" s="13" t="s">
        <v>20</v>
      </c>
      <c r="D3633" s="2" t="s">
        <v>6</v>
      </c>
      <c r="E3633" s="14" t="str">
        <f t="shared" si="465"/>
        <v>Paint Booth</v>
      </c>
      <c r="F3633" s="22">
        <f t="shared" si="467"/>
        <v>16</v>
      </c>
      <c r="H3633" s="5" t="str">
        <f ca="1">_xlfn.FORMULATEXT(표1[[#This Row],[Q''ty]])</f>
        <v>=F3534</v>
      </c>
    </row>
    <row r="3634" spans="1:8" ht="15" hidden="1" customHeight="1" x14ac:dyDescent="0.4">
      <c r="A3634" s="6">
        <v>2026</v>
      </c>
      <c r="B3634" s="6">
        <f t="shared" si="466"/>
        <v>37</v>
      </c>
      <c r="C3634" s="13" t="s">
        <v>20</v>
      </c>
      <c r="D3634" s="2" t="s">
        <v>6</v>
      </c>
      <c r="E3634" s="14" t="str">
        <f t="shared" si="465"/>
        <v>Paint Line</v>
      </c>
      <c r="F3634" s="22">
        <f t="shared" si="467"/>
        <v>8</v>
      </c>
      <c r="H3634" s="5" t="str">
        <f ca="1">_xlfn.FORMULATEXT(표1[[#This Row],[Q''ty]])</f>
        <v>=F3535</v>
      </c>
    </row>
    <row r="3635" spans="1:8" ht="15" hidden="1" customHeight="1" x14ac:dyDescent="0.4">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hidden="1" customHeight="1" x14ac:dyDescent="0.4">
      <c r="A3636" s="6">
        <v>2026</v>
      </c>
      <c r="B3636" s="6">
        <f t="shared" si="466"/>
        <v>37</v>
      </c>
      <c r="C3636" s="13" t="s">
        <v>20</v>
      </c>
      <c r="D3636" s="2" t="s">
        <v>6</v>
      </c>
      <c r="E3636" s="14" t="str">
        <f t="shared" si="465"/>
        <v>L/W Machine</v>
      </c>
      <c r="F3636" s="22">
        <f t="shared" si="467"/>
        <v>11</v>
      </c>
      <c r="H3636" s="5" t="str">
        <f ca="1">_xlfn.FORMULATEXT(표1[[#This Row],[Q''ty]])</f>
        <v>=F3537</v>
      </c>
    </row>
    <row r="3637" spans="1:8" ht="15" hidden="1" customHeight="1" x14ac:dyDescent="0.4">
      <c r="A3637" s="6">
        <v>2026</v>
      </c>
      <c r="B3637" s="6">
        <f t="shared" si="466"/>
        <v>37</v>
      </c>
      <c r="C3637" s="13" t="s">
        <v>20</v>
      </c>
      <c r="D3637" s="2" t="s">
        <v>6</v>
      </c>
      <c r="E3637" s="14" t="str">
        <f t="shared" si="465"/>
        <v>C/W Machine</v>
      </c>
      <c r="F3637" s="22">
        <f t="shared" si="467"/>
        <v>15</v>
      </c>
      <c r="H3637" s="5" t="str">
        <f ca="1">_xlfn.FORMULATEXT(표1[[#This Row],[Q''ty]])</f>
        <v>=F3538</v>
      </c>
    </row>
    <row r="3638" spans="1:8" ht="15" hidden="1" customHeight="1" x14ac:dyDescent="0.4">
      <c r="A3638" s="6">
        <v>2026</v>
      </c>
      <c r="B3638" s="6">
        <f t="shared" si="466"/>
        <v>37</v>
      </c>
      <c r="C3638" s="13" t="s">
        <v>20</v>
      </c>
      <c r="D3638" s="2" t="s">
        <v>12</v>
      </c>
      <c r="E3638" s="14" t="str">
        <f t="shared" si="465"/>
        <v>BT GT</v>
      </c>
      <c r="F3638" s="22"/>
      <c r="H3638" s="5" t="e">
        <f ca="1">_xlfn.FORMULATEXT(표1[[#This Row],[Q''ty]])</f>
        <v>#N/A</v>
      </c>
    </row>
    <row r="3639" spans="1:8" ht="15" hidden="1" customHeight="1" x14ac:dyDescent="0.4">
      <c r="A3639" s="6">
        <v>2026</v>
      </c>
      <c r="B3639" s="6">
        <f t="shared" si="466"/>
        <v>37</v>
      </c>
      <c r="C3639" s="13" t="s">
        <v>20</v>
      </c>
      <c r="D3639" s="2" t="s">
        <v>12</v>
      </c>
      <c r="E3639" s="14" t="str">
        <f t="shared" si="465"/>
        <v>WT GT</v>
      </c>
      <c r="F3639" s="22"/>
      <c r="H3639" s="5" t="e">
        <f ca="1">_xlfn.FORMULATEXT(표1[[#This Row],[Q''ty]])</f>
        <v>#N/A</v>
      </c>
    </row>
    <row r="3640" spans="1:8" ht="15" hidden="1" customHeight="1" x14ac:dyDescent="0.4">
      <c r="A3640" s="6">
        <v>2026</v>
      </c>
      <c r="B3640" s="6">
        <f t="shared" si="466"/>
        <v>37</v>
      </c>
      <c r="C3640" s="13" t="s">
        <v>20</v>
      </c>
      <c r="D3640" s="2" t="s">
        <v>12</v>
      </c>
      <c r="E3640" s="14" t="str">
        <f t="shared" si="465"/>
        <v>Bending</v>
      </c>
      <c r="F3640" s="22"/>
      <c r="H3640" s="5" t="e">
        <f ca="1">_xlfn.FORMULATEXT(표1[[#This Row],[Q''ty]])</f>
        <v>#N/A</v>
      </c>
    </row>
    <row r="3641" spans="1:8" ht="15" hidden="1" customHeight="1" x14ac:dyDescent="0.4">
      <c r="A3641" s="6">
        <v>2026</v>
      </c>
      <c r="B3641" s="6">
        <f t="shared" si="466"/>
        <v>37</v>
      </c>
      <c r="C3641" s="13" t="s">
        <v>20</v>
      </c>
      <c r="D3641" s="2" t="s">
        <v>12</v>
      </c>
      <c r="E3641" s="14" t="str">
        <f t="shared" si="465"/>
        <v>L/W</v>
      </c>
      <c r="F3641" s="22"/>
      <c r="H3641" s="5" t="e">
        <f ca="1">_xlfn.FORMULATEXT(표1[[#This Row],[Q''ty]])</f>
        <v>#N/A</v>
      </c>
    </row>
    <row r="3642" spans="1:8" ht="15" hidden="1" customHeight="1" thickBot="1" x14ac:dyDescent="0.45">
      <c r="A3642" s="15">
        <v>2026</v>
      </c>
      <c r="B3642" s="15">
        <f t="shared" si="466"/>
        <v>37</v>
      </c>
      <c r="C3642" s="16" t="s">
        <v>20</v>
      </c>
      <c r="D3642" s="17" t="s">
        <v>12</v>
      </c>
      <c r="E3642" s="18" t="str">
        <f t="shared" si="465"/>
        <v>C/W</v>
      </c>
      <c r="F3642" s="23"/>
      <c r="H3642" s="5" t="e">
        <f ca="1">_xlfn.FORMULATEXT(표1[[#This Row],[Q''ty]])</f>
        <v>#N/A</v>
      </c>
    </row>
    <row r="3643" spans="1:8" ht="15" hidden="1" customHeight="1" thickTop="1" x14ac:dyDescent="0.4">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hidden="1" customHeight="1" x14ac:dyDescent="0.4">
      <c r="A3644" s="6">
        <v>2026</v>
      </c>
      <c r="B3644" s="6">
        <f t="shared" si="466"/>
        <v>37</v>
      </c>
      <c r="C3644" s="13" t="s">
        <v>21</v>
      </c>
      <c r="D3644" s="2" t="s">
        <v>6</v>
      </c>
      <c r="E3644" s="14" t="str">
        <f t="shared" si="465"/>
        <v>Paint Booth</v>
      </c>
      <c r="F3644" s="22">
        <f t="shared" si="468"/>
        <v>4</v>
      </c>
      <c r="H3644" s="5" t="str">
        <f ca="1">_xlfn.FORMULATEXT(표1[[#This Row],[Q''ty]])</f>
        <v>=F3545</v>
      </c>
    </row>
    <row r="3645" spans="1:8" ht="15" hidden="1" customHeight="1" x14ac:dyDescent="0.4">
      <c r="A3645" s="6">
        <v>2026</v>
      </c>
      <c r="B3645" s="6">
        <f t="shared" si="466"/>
        <v>37</v>
      </c>
      <c r="C3645" s="13" t="s">
        <v>21</v>
      </c>
      <c r="D3645" s="2" t="s">
        <v>6</v>
      </c>
      <c r="E3645" s="14" t="str">
        <f t="shared" si="465"/>
        <v>Paint Line</v>
      </c>
      <c r="F3645" s="22">
        <f t="shared" si="468"/>
        <v>4</v>
      </c>
      <c r="H3645" s="5" t="str">
        <f ca="1">_xlfn.FORMULATEXT(표1[[#This Row],[Q''ty]])</f>
        <v>=F3546</v>
      </c>
    </row>
    <row r="3646" spans="1:8" ht="15" hidden="1" customHeight="1" x14ac:dyDescent="0.4">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hidden="1" customHeight="1" x14ac:dyDescent="0.4">
      <c r="A3647" s="6">
        <v>2026</v>
      </c>
      <c r="B3647" s="6">
        <f t="shared" si="466"/>
        <v>37</v>
      </c>
      <c r="C3647" s="13" t="s">
        <v>21</v>
      </c>
      <c r="D3647" s="2" t="s">
        <v>6</v>
      </c>
      <c r="E3647" s="14" t="str">
        <f t="shared" si="465"/>
        <v>L/W Machine</v>
      </c>
      <c r="F3647" s="22">
        <f t="shared" si="468"/>
        <v>4</v>
      </c>
      <c r="H3647" s="5" t="str">
        <f ca="1">_xlfn.FORMULATEXT(표1[[#This Row],[Q''ty]])</f>
        <v>=F3548</v>
      </c>
    </row>
    <row r="3648" spans="1:8" ht="15" hidden="1" customHeight="1" x14ac:dyDescent="0.4">
      <c r="A3648" s="6">
        <v>2026</v>
      </c>
      <c r="B3648" s="6">
        <f t="shared" si="466"/>
        <v>37</v>
      </c>
      <c r="C3648" s="13" t="s">
        <v>21</v>
      </c>
      <c r="D3648" s="2" t="s">
        <v>6</v>
      </c>
      <c r="E3648" s="14" t="str">
        <f t="shared" si="465"/>
        <v>C/W Machine</v>
      </c>
      <c r="F3648" s="22">
        <f t="shared" si="468"/>
        <v>6.5</v>
      </c>
      <c r="H3648" s="5" t="str">
        <f ca="1">_xlfn.FORMULATEXT(표1[[#This Row],[Q''ty]])</f>
        <v>=F3549</v>
      </c>
    </row>
    <row r="3649" spans="1:8" ht="15" hidden="1" customHeight="1" x14ac:dyDescent="0.4">
      <c r="A3649" s="6">
        <v>2026</v>
      </c>
      <c r="B3649" s="6">
        <f t="shared" si="466"/>
        <v>37</v>
      </c>
      <c r="C3649" s="13" t="s">
        <v>21</v>
      </c>
      <c r="D3649" s="2" t="s">
        <v>12</v>
      </c>
      <c r="E3649" s="14" t="str">
        <f t="shared" si="465"/>
        <v>BT GT</v>
      </c>
      <c r="F3649" s="22"/>
      <c r="H3649" s="5" t="e">
        <f ca="1">_xlfn.FORMULATEXT(표1[[#This Row],[Q''ty]])</f>
        <v>#N/A</v>
      </c>
    </row>
    <row r="3650" spans="1:8" ht="15" hidden="1" customHeight="1" x14ac:dyDescent="0.4">
      <c r="A3650" s="6">
        <v>2026</v>
      </c>
      <c r="B3650" s="6">
        <f t="shared" si="466"/>
        <v>37</v>
      </c>
      <c r="C3650" s="13" t="s">
        <v>21</v>
      </c>
      <c r="D3650" s="2" t="s">
        <v>12</v>
      </c>
      <c r="E3650" s="14" t="str">
        <f t="shared" si="465"/>
        <v>WT GT</v>
      </c>
      <c r="F3650" s="22"/>
      <c r="H3650" s="5" t="e">
        <f ca="1">_xlfn.FORMULATEXT(표1[[#This Row],[Q''ty]])</f>
        <v>#N/A</v>
      </c>
    </row>
    <row r="3651" spans="1:8" ht="15" hidden="1" customHeight="1" x14ac:dyDescent="0.4">
      <c r="A3651" s="6">
        <v>2026</v>
      </c>
      <c r="B3651" s="6">
        <f t="shared" si="466"/>
        <v>37</v>
      </c>
      <c r="C3651" s="13" t="s">
        <v>21</v>
      </c>
      <c r="D3651" s="2" t="s">
        <v>12</v>
      </c>
      <c r="E3651" s="14" t="str">
        <f t="shared" si="465"/>
        <v>Bending</v>
      </c>
      <c r="F3651" s="22"/>
      <c r="H3651" s="5" t="e">
        <f ca="1">_xlfn.FORMULATEXT(표1[[#This Row],[Q''ty]])</f>
        <v>#N/A</v>
      </c>
    </row>
    <row r="3652" spans="1:8" ht="15" hidden="1" customHeight="1" x14ac:dyDescent="0.4">
      <c r="A3652" s="6">
        <v>2026</v>
      </c>
      <c r="B3652" s="6">
        <f t="shared" si="466"/>
        <v>37</v>
      </c>
      <c r="C3652" s="13" t="s">
        <v>21</v>
      </c>
      <c r="D3652" s="2" t="s">
        <v>12</v>
      </c>
      <c r="E3652" s="14" t="str">
        <f t="shared" si="465"/>
        <v>L/W</v>
      </c>
      <c r="F3652" s="22"/>
      <c r="H3652" s="5" t="e">
        <f ca="1">_xlfn.FORMULATEXT(표1[[#This Row],[Q''ty]])</f>
        <v>#N/A</v>
      </c>
    </row>
    <row r="3653" spans="1:8" ht="15" hidden="1" customHeight="1" thickBot="1" x14ac:dyDescent="0.45">
      <c r="A3653" s="15">
        <v>2026</v>
      </c>
      <c r="B3653" s="15">
        <f t="shared" si="466"/>
        <v>37</v>
      </c>
      <c r="C3653" s="16" t="s">
        <v>21</v>
      </c>
      <c r="D3653" s="17" t="s">
        <v>12</v>
      </c>
      <c r="E3653" s="18" t="str">
        <f t="shared" si="465"/>
        <v>C/W</v>
      </c>
      <c r="F3653" s="23"/>
      <c r="H3653" s="5" t="e">
        <f ca="1">_xlfn.FORMULATEXT(표1[[#This Row],[Q''ty]])</f>
        <v>#N/A</v>
      </c>
    </row>
    <row r="3654" spans="1:8" ht="15" hidden="1" customHeight="1" thickTop="1" x14ac:dyDescent="0.4">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hidden="1" customHeight="1" x14ac:dyDescent="0.4">
      <c r="A3655" s="6">
        <v>2026</v>
      </c>
      <c r="B3655" s="6">
        <f t="shared" si="466"/>
        <v>37</v>
      </c>
      <c r="C3655" s="13" t="s">
        <v>22</v>
      </c>
      <c r="D3655" s="2" t="s">
        <v>6</v>
      </c>
      <c r="E3655" s="14" t="str">
        <f t="shared" si="465"/>
        <v>Paint Booth</v>
      </c>
      <c r="F3655" s="22">
        <f t="shared" si="469"/>
        <v>6</v>
      </c>
      <c r="H3655" s="5" t="str">
        <f ca="1">_xlfn.FORMULATEXT(표1[[#This Row],[Q''ty]])</f>
        <v>=F3556</v>
      </c>
    </row>
    <row r="3656" spans="1:8" ht="15" hidden="1" customHeight="1" x14ac:dyDescent="0.4">
      <c r="A3656" s="6">
        <v>2026</v>
      </c>
      <c r="B3656" s="6">
        <f t="shared" si="466"/>
        <v>37</v>
      </c>
      <c r="C3656" s="13" t="s">
        <v>22</v>
      </c>
      <c r="D3656" s="2" t="s">
        <v>6</v>
      </c>
      <c r="E3656" s="14" t="str">
        <f t="shared" si="465"/>
        <v>Paint Line</v>
      </c>
      <c r="F3656" s="22">
        <f t="shared" si="469"/>
        <v>4</v>
      </c>
      <c r="H3656" s="5" t="str">
        <f ca="1">_xlfn.FORMULATEXT(표1[[#This Row],[Q''ty]])</f>
        <v>=F3557</v>
      </c>
    </row>
    <row r="3657" spans="1:8" ht="15" hidden="1" customHeight="1" x14ac:dyDescent="0.4">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hidden="1" customHeight="1" x14ac:dyDescent="0.4">
      <c r="A3658" s="6">
        <v>2026</v>
      </c>
      <c r="B3658" s="6">
        <f t="shared" si="466"/>
        <v>37</v>
      </c>
      <c r="C3658" s="13" t="s">
        <v>22</v>
      </c>
      <c r="D3658" s="2" t="s">
        <v>6</v>
      </c>
      <c r="E3658" s="14" t="str">
        <f t="shared" si="465"/>
        <v>L/W Machine</v>
      </c>
      <c r="F3658" s="22">
        <f t="shared" si="469"/>
        <v>7</v>
      </c>
      <c r="H3658" s="5" t="str">
        <f ca="1">_xlfn.FORMULATEXT(표1[[#This Row],[Q''ty]])</f>
        <v>=F3559</v>
      </c>
    </row>
    <row r="3659" spans="1:8" ht="15" hidden="1" customHeight="1" x14ac:dyDescent="0.4">
      <c r="A3659" s="6">
        <v>2026</v>
      </c>
      <c r="B3659" s="6">
        <f t="shared" si="466"/>
        <v>37</v>
      </c>
      <c r="C3659" s="13" t="s">
        <v>22</v>
      </c>
      <c r="D3659" s="2" t="s">
        <v>6</v>
      </c>
      <c r="E3659" s="14" t="str">
        <f t="shared" si="465"/>
        <v>C/W Machine</v>
      </c>
      <c r="F3659" s="22">
        <f t="shared" si="469"/>
        <v>12.5</v>
      </c>
      <c r="H3659" s="5" t="str">
        <f ca="1">_xlfn.FORMULATEXT(표1[[#This Row],[Q''ty]])</f>
        <v>=F3560</v>
      </c>
    </row>
    <row r="3660" spans="1:8" ht="15" hidden="1" customHeight="1" x14ac:dyDescent="0.4">
      <c r="A3660" s="6">
        <v>2026</v>
      </c>
      <c r="B3660" s="6">
        <f t="shared" si="466"/>
        <v>37</v>
      </c>
      <c r="C3660" s="13" t="s">
        <v>22</v>
      </c>
      <c r="D3660" s="2" t="s">
        <v>12</v>
      </c>
      <c r="E3660" s="14" t="str">
        <f t="shared" si="465"/>
        <v>BT GT</v>
      </c>
      <c r="F3660" s="22"/>
      <c r="H3660" s="5" t="e">
        <f ca="1">_xlfn.FORMULATEXT(표1[[#This Row],[Q''ty]])</f>
        <v>#N/A</v>
      </c>
    </row>
    <row r="3661" spans="1:8" ht="15" hidden="1" customHeight="1" x14ac:dyDescent="0.4">
      <c r="A3661" s="6">
        <v>2026</v>
      </c>
      <c r="B3661" s="6">
        <f t="shared" si="466"/>
        <v>37</v>
      </c>
      <c r="C3661" s="13" t="s">
        <v>22</v>
      </c>
      <c r="D3661" s="2" t="s">
        <v>12</v>
      </c>
      <c r="E3661" s="14" t="str">
        <f t="shared" si="465"/>
        <v>WT GT</v>
      </c>
      <c r="F3661" s="22"/>
      <c r="H3661" s="5" t="e">
        <f ca="1">_xlfn.FORMULATEXT(표1[[#This Row],[Q''ty]])</f>
        <v>#N/A</v>
      </c>
    </row>
    <row r="3662" spans="1:8" ht="15" hidden="1" customHeight="1" x14ac:dyDescent="0.4">
      <c r="A3662" s="6">
        <v>2026</v>
      </c>
      <c r="B3662" s="6">
        <f t="shared" si="466"/>
        <v>37</v>
      </c>
      <c r="C3662" s="13" t="s">
        <v>22</v>
      </c>
      <c r="D3662" s="2" t="s">
        <v>12</v>
      </c>
      <c r="E3662" s="14" t="str">
        <f t="shared" si="465"/>
        <v>Bending</v>
      </c>
      <c r="F3662" s="22"/>
      <c r="H3662" s="5" t="e">
        <f ca="1">_xlfn.FORMULATEXT(표1[[#This Row],[Q''ty]])</f>
        <v>#N/A</v>
      </c>
    </row>
    <row r="3663" spans="1:8" ht="15" hidden="1" customHeight="1" x14ac:dyDescent="0.4">
      <c r="A3663" s="6">
        <v>2026</v>
      </c>
      <c r="B3663" s="6">
        <f t="shared" si="466"/>
        <v>37</v>
      </c>
      <c r="C3663" s="13" t="s">
        <v>22</v>
      </c>
      <c r="D3663" s="2" t="s">
        <v>12</v>
      </c>
      <c r="E3663" s="14" t="str">
        <f t="shared" si="465"/>
        <v>L/W</v>
      </c>
      <c r="F3663" s="22"/>
      <c r="H3663" s="5" t="e">
        <f ca="1">_xlfn.FORMULATEXT(표1[[#This Row],[Q''ty]])</f>
        <v>#N/A</v>
      </c>
    </row>
    <row r="3664" spans="1:8" ht="15" hidden="1" customHeight="1" thickBot="1" x14ac:dyDescent="0.45">
      <c r="A3664" s="6">
        <v>2026</v>
      </c>
      <c r="B3664" s="6">
        <f t="shared" si="466"/>
        <v>37</v>
      </c>
      <c r="C3664" s="13" t="s">
        <v>22</v>
      </c>
      <c r="D3664" s="2" t="s">
        <v>12</v>
      </c>
      <c r="E3664" s="14" t="str">
        <f t="shared" si="465"/>
        <v>C/W</v>
      </c>
      <c r="F3664" s="22"/>
      <c r="H3664" s="5" t="e">
        <f ca="1">_xlfn.FORMULATEXT(표1[[#This Row],[Q''ty]])</f>
        <v>#N/A</v>
      </c>
    </row>
    <row r="3665" spans="1:10" ht="15" hidden="1" customHeight="1" thickTop="1" x14ac:dyDescent="0.4">
      <c r="A3665" s="9">
        <v>2026</v>
      </c>
      <c r="B3665" s="9">
        <f>B3566+1</f>
        <v>38</v>
      </c>
      <c r="C3665" s="10" t="s">
        <v>28</v>
      </c>
      <c r="D3665" s="11" t="s">
        <v>6</v>
      </c>
      <c r="E3665" s="12" t="s">
        <v>7</v>
      </c>
      <c r="F3665" s="21">
        <f t="shared" ref="F3665:F3670" si="470">F3566</f>
        <v>15</v>
      </c>
      <c r="H3665" s="5" t="str">
        <f ca="1">_xlfn.FORMULATEXT(표1[[#This Row],[Q''ty]])</f>
        <v>=F3566</v>
      </c>
    </row>
    <row r="3666" spans="1:10" s="2" customFormat="1" ht="15" hidden="1" customHeight="1" x14ac:dyDescent="0.4">
      <c r="A3666" s="6">
        <v>2026</v>
      </c>
      <c r="B3666" s="6">
        <f t="shared" ref="B3666:B3729" si="471">B3567+1</f>
        <v>38</v>
      </c>
      <c r="C3666" s="13" t="s">
        <v>23</v>
      </c>
      <c r="D3666" s="2" t="s">
        <v>6</v>
      </c>
      <c r="E3666" s="14" t="s">
        <v>8</v>
      </c>
      <c r="F3666" s="22">
        <f t="shared" si="470"/>
        <v>10</v>
      </c>
      <c r="H3666" s="5" t="str">
        <f ca="1">_xlfn.FORMULATEXT(표1[[#This Row],[Q''ty]])</f>
        <v>=F3567</v>
      </c>
      <c r="I3666" s="26"/>
      <c r="J3666" s="26"/>
    </row>
    <row r="3667" spans="1:10" s="2" customFormat="1" ht="15" hidden="1" customHeight="1" x14ac:dyDescent="0.4">
      <c r="A3667" s="6">
        <v>2026</v>
      </c>
      <c r="B3667" s="6">
        <f t="shared" si="471"/>
        <v>38</v>
      </c>
      <c r="C3667" s="13" t="s">
        <v>23</v>
      </c>
      <c r="D3667" s="2" t="s">
        <v>6</v>
      </c>
      <c r="E3667" s="14" t="s">
        <v>9</v>
      </c>
      <c r="F3667" s="22">
        <f t="shared" si="470"/>
        <v>5</v>
      </c>
      <c r="H3667" s="5" t="str">
        <f ca="1">_xlfn.FORMULATEXT(표1[[#This Row],[Q''ty]])</f>
        <v>=F3568</v>
      </c>
      <c r="I3667" s="26"/>
      <c r="J3667" s="26"/>
    </row>
    <row r="3668" spans="1:10" ht="15" hidden="1" customHeight="1" x14ac:dyDescent="0.4">
      <c r="A3668" s="6">
        <v>2026</v>
      </c>
      <c r="B3668" s="6">
        <f t="shared" si="471"/>
        <v>38</v>
      </c>
      <c r="C3668" s="13" t="s">
        <v>23</v>
      </c>
      <c r="D3668" s="2" t="s">
        <v>6</v>
      </c>
      <c r="E3668" s="14" t="s">
        <v>27</v>
      </c>
      <c r="F3668" s="22">
        <f t="shared" si="470"/>
        <v>6</v>
      </c>
      <c r="H3668" s="5" t="str">
        <f ca="1">_xlfn.FORMULATEXT(표1[[#This Row],[Q''ty]])</f>
        <v>=F3569</v>
      </c>
    </row>
    <row r="3669" spans="1:10" ht="15" hidden="1" customHeight="1" x14ac:dyDescent="0.4">
      <c r="A3669" s="6">
        <v>2026</v>
      </c>
      <c r="B3669" s="6">
        <f t="shared" si="471"/>
        <v>38</v>
      </c>
      <c r="C3669" s="13" t="s">
        <v>23</v>
      </c>
      <c r="D3669" s="2" t="s">
        <v>6</v>
      </c>
      <c r="E3669" s="14" t="s">
        <v>10</v>
      </c>
      <c r="F3669" s="22">
        <f t="shared" si="470"/>
        <v>10</v>
      </c>
      <c r="H3669" s="5" t="str">
        <f ca="1">_xlfn.FORMULATEXT(표1[[#This Row],[Q''ty]])</f>
        <v>=F3570</v>
      </c>
    </row>
    <row r="3670" spans="1:10" ht="15" hidden="1" customHeight="1" x14ac:dyDescent="0.4">
      <c r="A3670" s="6">
        <v>2026</v>
      </c>
      <c r="B3670" s="6">
        <f t="shared" si="471"/>
        <v>38</v>
      </c>
      <c r="C3670" s="13" t="s">
        <v>23</v>
      </c>
      <c r="D3670" s="2" t="s">
        <v>6</v>
      </c>
      <c r="E3670" s="14" t="s">
        <v>11</v>
      </c>
      <c r="F3670" s="22">
        <f t="shared" si="470"/>
        <v>10</v>
      </c>
      <c r="H3670" s="5" t="str">
        <f ca="1">_xlfn.FORMULATEXT(표1[[#This Row],[Q''ty]])</f>
        <v>=F3571</v>
      </c>
    </row>
    <row r="3671" spans="1:10" ht="15" hidden="1" customHeight="1" x14ac:dyDescent="0.4">
      <c r="A3671" s="6">
        <v>2026</v>
      </c>
      <c r="B3671" s="6">
        <f t="shared" si="471"/>
        <v>38</v>
      </c>
      <c r="C3671" s="13" t="s">
        <v>23</v>
      </c>
      <c r="D3671" s="2" t="s">
        <v>12</v>
      </c>
      <c r="E3671" s="14" t="s">
        <v>13</v>
      </c>
      <c r="F3671" s="22"/>
      <c r="H3671" s="5" t="e">
        <f ca="1">_xlfn.FORMULATEXT(표1[[#This Row],[Q''ty]])</f>
        <v>#N/A</v>
      </c>
    </row>
    <row r="3672" spans="1:10" s="2" customFormat="1" ht="15" hidden="1" customHeight="1" x14ac:dyDescent="0.4">
      <c r="A3672" s="6">
        <v>2026</v>
      </c>
      <c r="B3672" s="6">
        <f t="shared" si="471"/>
        <v>38</v>
      </c>
      <c r="C3672" s="13" t="s">
        <v>23</v>
      </c>
      <c r="D3672" s="2" t="s">
        <v>12</v>
      </c>
      <c r="E3672" s="14" t="s">
        <v>14</v>
      </c>
      <c r="F3672" s="22"/>
      <c r="H3672" s="5" t="e">
        <f ca="1">_xlfn.FORMULATEXT(표1[[#This Row],[Q''ty]])</f>
        <v>#N/A</v>
      </c>
      <c r="I3672" s="26"/>
      <c r="J3672" s="26"/>
    </row>
    <row r="3673" spans="1:10" ht="15" hidden="1" customHeight="1" x14ac:dyDescent="0.4">
      <c r="A3673" s="6">
        <v>2026</v>
      </c>
      <c r="B3673" s="6">
        <f t="shared" si="471"/>
        <v>38</v>
      </c>
      <c r="C3673" s="13" t="s">
        <v>23</v>
      </c>
      <c r="D3673" s="2" t="s">
        <v>12</v>
      </c>
      <c r="E3673" s="14" t="s">
        <v>15</v>
      </c>
      <c r="F3673" s="22"/>
      <c r="H3673" s="5" t="e">
        <f ca="1">_xlfn.FORMULATEXT(표1[[#This Row],[Q''ty]])</f>
        <v>#N/A</v>
      </c>
    </row>
    <row r="3674" spans="1:10" ht="15" hidden="1" customHeight="1" x14ac:dyDescent="0.4">
      <c r="A3674" s="6">
        <v>2026</v>
      </c>
      <c r="B3674" s="6">
        <f t="shared" si="471"/>
        <v>38</v>
      </c>
      <c r="C3674" s="13" t="s">
        <v>23</v>
      </c>
      <c r="D3674" s="2" t="s">
        <v>12</v>
      </c>
      <c r="E3674" s="14" t="s">
        <v>16</v>
      </c>
      <c r="F3674" s="22"/>
      <c r="H3674" s="5" t="e">
        <f ca="1">_xlfn.FORMULATEXT(표1[[#This Row],[Q''ty]])</f>
        <v>#N/A</v>
      </c>
    </row>
    <row r="3675" spans="1:10" ht="15" hidden="1" customHeight="1" thickBot="1" x14ac:dyDescent="0.45">
      <c r="A3675" s="15">
        <v>2026</v>
      </c>
      <c r="B3675" s="15">
        <f t="shared" si="471"/>
        <v>38</v>
      </c>
      <c r="C3675" s="16" t="s">
        <v>23</v>
      </c>
      <c r="D3675" s="17" t="s">
        <v>12</v>
      </c>
      <c r="E3675" s="18" t="s">
        <v>17</v>
      </c>
      <c r="F3675" s="23"/>
      <c r="H3675" s="5" t="e">
        <f ca="1">_xlfn.FORMULATEXT(표1[[#This Row],[Q''ty]])</f>
        <v>#N/A</v>
      </c>
    </row>
    <row r="3676" spans="1:10" ht="15" hidden="1" customHeight="1" thickTop="1" x14ac:dyDescent="0.4">
      <c r="A3676" s="9">
        <v>2026</v>
      </c>
      <c r="B3676" s="9">
        <f t="shared" si="471"/>
        <v>38</v>
      </c>
      <c r="C3676" s="10" t="s">
        <v>29</v>
      </c>
      <c r="D3676" s="11" t="s">
        <v>6</v>
      </c>
      <c r="E3676" s="12" t="s">
        <v>7</v>
      </c>
      <c r="F3676" s="21">
        <f t="shared" ref="F3676:F3681" si="472">F3577</f>
        <v>14</v>
      </c>
      <c r="H3676" s="5" t="str">
        <f ca="1">_xlfn.FORMULATEXT(표1[[#This Row],[Q''ty]])</f>
        <v>=F3577</v>
      </c>
    </row>
    <row r="3677" spans="1:10" s="2" customFormat="1" ht="15" hidden="1" customHeight="1" x14ac:dyDescent="0.4">
      <c r="A3677" s="6">
        <v>2026</v>
      </c>
      <c r="B3677" s="6">
        <f t="shared" si="471"/>
        <v>38</v>
      </c>
      <c r="C3677" s="13" t="s">
        <v>24</v>
      </c>
      <c r="D3677" s="2" t="s">
        <v>6</v>
      </c>
      <c r="E3677" s="14" t="s">
        <v>8</v>
      </c>
      <c r="F3677" s="22">
        <f t="shared" si="472"/>
        <v>8</v>
      </c>
      <c r="H3677" s="5" t="str">
        <f ca="1">_xlfn.FORMULATEXT(표1[[#This Row],[Q''ty]])</f>
        <v>=F3578</v>
      </c>
      <c r="I3677" s="26"/>
      <c r="J3677" s="26"/>
    </row>
    <row r="3678" spans="1:10" s="2" customFormat="1" ht="15" hidden="1" customHeight="1" x14ac:dyDescent="0.4">
      <c r="A3678" s="6">
        <v>2026</v>
      </c>
      <c r="B3678" s="6">
        <f t="shared" si="471"/>
        <v>38</v>
      </c>
      <c r="C3678" s="13" t="s">
        <v>24</v>
      </c>
      <c r="D3678" s="2" t="s">
        <v>6</v>
      </c>
      <c r="E3678" s="14" t="s">
        <v>9</v>
      </c>
      <c r="F3678" s="22">
        <f t="shared" si="472"/>
        <v>4</v>
      </c>
      <c r="H3678" s="5" t="str">
        <f ca="1">_xlfn.FORMULATEXT(표1[[#This Row],[Q''ty]])</f>
        <v>=F3579</v>
      </c>
      <c r="I3678" s="26"/>
      <c r="J3678" s="26"/>
    </row>
    <row r="3679" spans="1:10" ht="15" hidden="1" customHeight="1" x14ac:dyDescent="0.4">
      <c r="A3679" s="6">
        <v>2026</v>
      </c>
      <c r="B3679" s="6">
        <f t="shared" si="471"/>
        <v>38</v>
      </c>
      <c r="C3679" s="13" t="s">
        <v>24</v>
      </c>
      <c r="D3679" s="2" t="s">
        <v>6</v>
      </c>
      <c r="E3679" s="14" t="s">
        <v>27</v>
      </c>
      <c r="F3679" s="22">
        <f t="shared" si="472"/>
        <v>3</v>
      </c>
      <c r="H3679" s="5" t="str">
        <f ca="1">_xlfn.FORMULATEXT(표1[[#This Row],[Q''ty]])</f>
        <v>=F3580</v>
      </c>
    </row>
    <row r="3680" spans="1:10" ht="15" hidden="1" customHeight="1" x14ac:dyDescent="0.4">
      <c r="A3680" s="6">
        <v>2026</v>
      </c>
      <c r="B3680" s="6">
        <f t="shared" si="471"/>
        <v>38</v>
      </c>
      <c r="C3680" s="13" t="s">
        <v>24</v>
      </c>
      <c r="D3680" s="2" t="s">
        <v>6</v>
      </c>
      <c r="E3680" s="14" t="s">
        <v>10</v>
      </c>
      <c r="F3680" s="22">
        <f t="shared" si="472"/>
        <v>6</v>
      </c>
      <c r="H3680" s="5" t="str">
        <f ca="1">_xlfn.FORMULATEXT(표1[[#This Row],[Q''ty]])</f>
        <v>=F3581</v>
      </c>
    </row>
    <row r="3681" spans="1:10" ht="15" hidden="1" customHeight="1" x14ac:dyDescent="0.4">
      <c r="A3681" s="6">
        <v>2026</v>
      </c>
      <c r="B3681" s="6">
        <f t="shared" si="471"/>
        <v>38</v>
      </c>
      <c r="C3681" s="13" t="s">
        <v>24</v>
      </c>
      <c r="D3681" s="2" t="s">
        <v>6</v>
      </c>
      <c r="E3681" s="14" t="s">
        <v>11</v>
      </c>
      <c r="F3681" s="22">
        <f t="shared" si="472"/>
        <v>8.8000000000000007</v>
      </c>
      <c r="H3681" s="5" t="str">
        <f ca="1">_xlfn.FORMULATEXT(표1[[#This Row],[Q''ty]])</f>
        <v>=F3582</v>
      </c>
    </row>
    <row r="3682" spans="1:10" ht="15" hidden="1" customHeight="1" x14ac:dyDescent="0.4">
      <c r="A3682" s="6">
        <v>2026</v>
      </c>
      <c r="B3682" s="6">
        <f t="shared" si="471"/>
        <v>38</v>
      </c>
      <c r="C3682" s="13" t="s">
        <v>24</v>
      </c>
      <c r="D3682" s="2" t="s">
        <v>12</v>
      </c>
      <c r="E3682" s="14" t="s">
        <v>13</v>
      </c>
      <c r="F3682" s="22"/>
      <c r="H3682" s="5" t="e">
        <f ca="1">_xlfn.FORMULATEXT(표1[[#This Row],[Q''ty]])</f>
        <v>#N/A</v>
      </c>
    </row>
    <row r="3683" spans="1:10" s="2" customFormat="1" ht="15" hidden="1" customHeight="1" x14ac:dyDescent="0.4">
      <c r="A3683" s="6">
        <v>2026</v>
      </c>
      <c r="B3683" s="6">
        <f t="shared" si="471"/>
        <v>38</v>
      </c>
      <c r="C3683" s="13" t="s">
        <v>24</v>
      </c>
      <c r="D3683" s="2" t="s">
        <v>12</v>
      </c>
      <c r="E3683" s="14" t="s">
        <v>14</v>
      </c>
      <c r="F3683" s="22"/>
      <c r="H3683" s="5" t="e">
        <f ca="1">_xlfn.FORMULATEXT(표1[[#This Row],[Q''ty]])</f>
        <v>#N/A</v>
      </c>
      <c r="I3683" s="26"/>
      <c r="J3683" s="26"/>
    </row>
    <row r="3684" spans="1:10" ht="15" hidden="1" customHeight="1" x14ac:dyDescent="0.4">
      <c r="A3684" s="6">
        <v>2026</v>
      </c>
      <c r="B3684" s="6">
        <f t="shared" si="471"/>
        <v>38</v>
      </c>
      <c r="C3684" s="13" t="s">
        <v>24</v>
      </c>
      <c r="D3684" s="2" t="s">
        <v>12</v>
      </c>
      <c r="E3684" s="14" t="s">
        <v>15</v>
      </c>
      <c r="F3684" s="22"/>
      <c r="H3684" s="5" t="e">
        <f ca="1">_xlfn.FORMULATEXT(표1[[#This Row],[Q''ty]])</f>
        <v>#N/A</v>
      </c>
    </row>
    <row r="3685" spans="1:10" ht="15" hidden="1" customHeight="1" x14ac:dyDescent="0.4">
      <c r="A3685" s="6">
        <v>2026</v>
      </c>
      <c r="B3685" s="6">
        <f t="shared" si="471"/>
        <v>38</v>
      </c>
      <c r="C3685" s="13" t="s">
        <v>24</v>
      </c>
      <c r="D3685" s="2" t="s">
        <v>12</v>
      </c>
      <c r="E3685" s="14" t="s">
        <v>16</v>
      </c>
      <c r="F3685" s="22"/>
      <c r="H3685" s="5" t="e">
        <f ca="1">_xlfn.FORMULATEXT(표1[[#This Row],[Q''ty]])</f>
        <v>#N/A</v>
      </c>
    </row>
    <row r="3686" spans="1:10" ht="15" hidden="1" customHeight="1" thickBot="1" x14ac:dyDescent="0.45">
      <c r="A3686" s="15">
        <v>2026</v>
      </c>
      <c r="B3686" s="15">
        <f t="shared" si="471"/>
        <v>38</v>
      </c>
      <c r="C3686" s="16" t="s">
        <v>24</v>
      </c>
      <c r="D3686" s="17" t="s">
        <v>12</v>
      </c>
      <c r="E3686" s="18" t="s">
        <v>17</v>
      </c>
      <c r="F3686" s="23"/>
      <c r="H3686" s="5" t="e">
        <f ca="1">_xlfn.FORMULATEXT(표1[[#This Row],[Q''ty]])</f>
        <v>#N/A</v>
      </c>
    </row>
    <row r="3687" spans="1:10" ht="15" hidden="1" customHeight="1" thickTop="1" x14ac:dyDescent="0.4">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10" ht="15" hidden="1" customHeight="1" x14ac:dyDescent="0.4">
      <c r="A3688" s="6">
        <v>2026</v>
      </c>
      <c r="B3688" s="6">
        <f t="shared" si="471"/>
        <v>38</v>
      </c>
      <c r="C3688" s="13" t="s">
        <v>18</v>
      </c>
      <c r="D3688" s="2" t="s">
        <v>6</v>
      </c>
      <c r="E3688" s="14" t="str">
        <f t="shared" si="473"/>
        <v>Paint Booth</v>
      </c>
      <c r="F3688" s="22">
        <f t="shared" si="473"/>
        <v>3</v>
      </c>
      <c r="H3688" s="5" t="str">
        <f ca="1">_xlfn.FORMULATEXT(표1[[#This Row],[Q''ty]])</f>
        <v>=F3589</v>
      </c>
    </row>
    <row r="3689" spans="1:10" ht="15" hidden="1" customHeight="1" x14ac:dyDescent="0.4">
      <c r="A3689" s="6">
        <v>2026</v>
      </c>
      <c r="B3689" s="6">
        <f t="shared" si="471"/>
        <v>38</v>
      </c>
      <c r="C3689" s="13" t="s">
        <v>18</v>
      </c>
      <c r="D3689" s="2" t="s">
        <v>6</v>
      </c>
      <c r="E3689" s="14" t="str">
        <f t="shared" si="473"/>
        <v>Paint Line</v>
      </c>
      <c r="F3689" s="22">
        <f t="shared" si="473"/>
        <v>2</v>
      </c>
      <c r="H3689" s="5" t="str">
        <f ca="1">_xlfn.FORMULATEXT(표1[[#This Row],[Q''ty]])</f>
        <v>=F3590</v>
      </c>
    </row>
    <row r="3690" spans="1:10" ht="15" hidden="1" customHeight="1" x14ac:dyDescent="0.4">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10" ht="15" hidden="1" customHeight="1" x14ac:dyDescent="0.4">
      <c r="A3691" s="6">
        <v>2026</v>
      </c>
      <c r="B3691" s="6">
        <f t="shared" si="471"/>
        <v>38</v>
      </c>
      <c r="C3691" s="13" t="s">
        <v>18</v>
      </c>
      <c r="D3691" s="2" t="s">
        <v>6</v>
      </c>
      <c r="E3691" s="14" t="str">
        <f t="shared" si="473"/>
        <v>L/W Machine</v>
      </c>
      <c r="F3691" s="22">
        <f t="shared" si="473"/>
        <v>2</v>
      </c>
      <c r="H3691" s="5" t="str">
        <f ca="1">_xlfn.FORMULATEXT(표1[[#This Row],[Q''ty]])</f>
        <v>=F3592</v>
      </c>
    </row>
    <row r="3692" spans="1:10" ht="15" hidden="1" customHeight="1" x14ac:dyDescent="0.4">
      <c r="A3692" s="6">
        <v>2026</v>
      </c>
      <c r="B3692" s="6">
        <f t="shared" si="471"/>
        <v>38</v>
      </c>
      <c r="C3692" s="13" t="s">
        <v>18</v>
      </c>
      <c r="D3692" s="2" t="s">
        <v>6</v>
      </c>
      <c r="E3692" s="14" t="str">
        <f t="shared" si="473"/>
        <v>C/W Machine</v>
      </c>
      <c r="F3692" s="22">
        <f t="shared" si="473"/>
        <v>3</v>
      </c>
      <c r="H3692" s="5" t="str">
        <f ca="1">_xlfn.FORMULATEXT(표1[[#This Row],[Q''ty]])</f>
        <v>=F3593</v>
      </c>
    </row>
    <row r="3693" spans="1:10" ht="15" hidden="1" customHeight="1" x14ac:dyDescent="0.4">
      <c r="A3693" s="6">
        <v>2026</v>
      </c>
      <c r="B3693" s="6">
        <f t="shared" si="471"/>
        <v>38</v>
      </c>
      <c r="C3693" s="13" t="s">
        <v>18</v>
      </c>
      <c r="D3693" s="2" t="s">
        <v>12</v>
      </c>
      <c r="E3693" s="14" t="str">
        <f t="shared" ref="E3693:E3708" si="474">E3594</f>
        <v>BT GT</v>
      </c>
      <c r="F3693" s="22"/>
      <c r="H3693" s="5" t="e">
        <f ca="1">_xlfn.FORMULATEXT(표1[[#This Row],[Q''ty]])</f>
        <v>#N/A</v>
      </c>
    </row>
    <row r="3694" spans="1:10" ht="15" hidden="1" customHeight="1" x14ac:dyDescent="0.4">
      <c r="A3694" s="6">
        <v>2026</v>
      </c>
      <c r="B3694" s="6">
        <f t="shared" si="471"/>
        <v>38</v>
      </c>
      <c r="C3694" s="13" t="s">
        <v>18</v>
      </c>
      <c r="D3694" s="2" t="s">
        <v>12</v>
      </c>
      <c r="E3694" s="14" t="str">
        <f t="shared" si="474"/>
        <v>WT GT</v>
      </c>
      <c r="F3694" s="22"/>
      <c r="H3694" s="5" t="e">
        <f ca="1">_xlfn.FORMULATEXT(표1[[#This Row],[Q''ty]])</f>
        <v>#N/A</v>
      </c>
    </row>
    <row r="3695" spans="1:10" ht="15" hidden="1" customHeight="1" x14ac:dyDescent="0.4">
      <c r="A3695" s="6">
        <v>2026</v>
      </c>
      <c r="B3695" s="6">
        <f t="shared" si="471"/>
        <v>38</v>
      </c>
      <c r="C3695" s="13" t="s">
        <v>18</v>
      </c>
      <c r="D3695" s="2" t="s">
        <v>12</v>
      </c>
      <c r="E3695" s="14" t="str">
        <f t="shared" si="474"/>
        <v>Bending</v>
      </c>
      <c r="F3695" s="22"/>
      <c r="H3695" s="5" t="e">
        <f ca="1">_xlfn.FORMULATEXT(표1[[#This Row],[Q''ty]])</f>
        <v>#N/A</v>
      </c>
    </row>
    <row r="3696" spans="1:10" ht="15" hidden="1" customHeight="1" x14ac:dyDescent="0.4">
      <c r="A3696" s="6">
        <v>2026</v>
      </c>
      <c r="B3696" s="6">
        <f t="shared" si="471"/>
        <v>38</v>
      </c>
      <c r="C3696" s="13" t="s">
        <v>18</v>
      </c>
      <c r="D3696" s="2" t="s">
        <v>12</v>
      </c>
      <c r="E3696" s="14" t="str">
        <f t="shared" si="474"/>
        <v>L/W</v>
      </c>
      <c r="F3696" s="22"/>
      <c r="H3696" s="5" t="e">
        <f ca="1">_xlfn.FORMULATEXT(표1[[#This Row],[Q''ty]])</f>
        <v>#N/A</v>
      </c>
    </row>
    <row r="3697" spans="1:8" ht="15" hidden="1" customHeight="1" thickBot="1" x14ac:dyDescent="0.45">
      <c r="A3697" s="15">
        <v>2026</v>
      </c>
      <c r="B3697" s="15">
        <f t="shared" si="471"/>
        <v>38</v>
      </c>
      <c r="C3697" s="16" t="s">
        <v>18</v>
      </c>
      <c r="D3697" s="17" t="s">
        <v>12</v>
      </c>
      <c r="E3697" s="18" t="str">
        <f t="shared" si="474"/>
        <v>C/W</v>
      </c>
      <c r="F3697" s="23"/>
      <c r="H3697" s="5" t="e">
        <f ca="1">_xlfn.FORMULATEXT(표1[[#This Row],[Q''ty]])</f>
        <v>#N/A</v>
      </c>
    </row>
    <row r="3698" spans="1:8" ht="15" hidden="1" customHeight="1" thickTop="1" x14ac:dyDescent="0.4">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hidden="1" customHeight="1" x14ac:dyDescent="0.4">
      <c r="A3699" s="6">
        <v>2026</v>
      </c>
      <c r="B3699" s="6">
        <f t="shared" si="471"/>
        <v>38</v>
      </c>
      <c r="C3699" s="13" t="s">
        <v>19</v>
      </c>
      <c r="D3699" s="2" t="s">
        <v>6</v>
      </c>
      <c r="E3699" s="14" t="str">
        <f t="shared" si="474"/>
        <v>Paint Booth</v>
      </c>
      <c r="F3699" s="22">
        <f t="shared" si="475"/>
        <v>22</v>
      </c>
      <c r="H3699" s="5" t="str">
        <f ca="1">_xlfn.FORMULATEXT(표1[[#This Row],[Q''ty]])</f>
        <v>=F3600</v>
      </c>
    </row>
    <row r="3700" spans="1:8" ht="15" hidden="1" customHeight="1" x14ac:dyDescent="0.4">
      <c r="A3700" s="6">
        <v>2026</v>
      </c>
      <c r="B3700" s="6">
        <f t="shared" si="471"/>
        <v>38</v>
      </c>
      <c r="C3700" s="13" t="s">
        <v>19</v>
      </c>
      <c r="D3700" s="2" t="s">
        <v>6</v>
      </c>
      <c r="E3700" s="14" t="str">
        <f t="shared" si="474"/>
        <v>Paint Line</v>
      </c>
      <c r="F3700" s="22">
        <f t="shared" si="475"/>
        <v>6</v>
      </c>
      <c r="H3700" s="5" t="str">
        <f ca="1">_xlfn.FORMULATEXT(표1[[#This Row],[Q''ty]])</f>
        <v>=F3601</v>
      </c>
    </row>
    <row r="3701" spans="1:8" ht="15" hidden="1" customHeight="1" x14ac:dyDescent="0.4">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hidden="1" customHeight="1" x14ac:dyDescent="0.4">
      <c r="A3702" s="6">
        <v>2026</v>
      </c>
      <c r="B3702" s="6">
        <f t="shared" si="471"/>
        <v>38</v>
      </c>
      <c r="C3702" s="13" t="s">
        <v>19</v>
      </c>
      <c r="D3702" s="2" t="s">
        <v>6</v>
      </c>
      <c r="E3702" s="14" t="str">
        <f t="shared" si="474"/>
        <v>L/W Machine</v>
      </c>
      <c r="F3702" s="22">
        <f t="shared" si="475"/>
        <v>10</v>
      </c>
      <c r="H3702" s="5" t="str">
        <f ca="1">_xlfn.FORMULATEXT(표1[[#This Row],[Q''ty]])</f>
        <v>=F3603</v>
      </c>
    </row>
    <row r="3703" spans="1:8" ht="15" hidden="1" customHeight="1" x14ac:dyDescent="0.4">
      <c r="A3703" s="6">
        <v>2026</v>
      </c>
      <c r="B3703" s="6">
        <f t="shared" si="471"/>
        <v>38</v>
      </c>
      <c r="C3703" s="13" t="s">
        <v>19</v>
      </c>
      <c r="D3703" s="2" t="s">
        <v>6</v>
      </c>
      <c r="E3703" s="14" t="str">
        <f t="shared" si="474"/>
        <v>C/W Machine</v>
      </c>
      <c r="F3703" s="22">
        <f t="shared" si="475"/>
        <v>12</v>
      </c>
      <c r="H3703" s="5" t="str">
        <f ca="1">_xlfn.FORMULATEXT(표1[[#This Row],[Q''ty]])</f>
        <v>=F3604</v>
      </c>
    </row>
    <row r="3704" spans="1:8" ht="15" hidden="1" customHeight="1" x14ac:dyDescent="0.4">
      <c r="A3704" s="6">
        <v>2026</v>
      </c>
      <c r="B3704" s="6">
        <f t="shared" si="471"/>
        <v>38</v>
      </c>
      <c r="C3704" s="13" t="s">
        <v>19</v>
      </c>
      <c r="D3704" s="2" t="s">
        <v>12</v>
      </c>
      <c r="E3704" s="14" t="str">
        <f t="shared" si="474"/>
        <v>BT GT</v>
      </c>
      <c r="F3704" s="22"/>
      <c r="H3704" s="5" t="e">
        <f ca="1">_xlfn.FORMULATEXT(표1[[#This Row],[Q''ty]])</f>
        <v>#N/A</v>
      </c>
    </row>
    <row r="3705" spans="1:8" ht="15" hidden="1" customHeight="1" x14ac:dyDescent="0.4">
      <c r="A3705" s="6">
        <v>2026</v>
      </c>
      <c r="B3705" s="6">
        <f t="shared" si="471"/>
        <v>38</v>
      </c>
      <c r="C3705" s="13" t="s">
        <v>19</v>
      </c>
      <c r="D3705" s="2" t="s">
        <v>12</v>
      </c>
      <c r="E3705" s="14" t="str">
        <f t="shared" si="474"/>
        <v>WT GT</v>
      </c>
      <c r="F3705" s="22"/>
      <c r="H3705" s="5" t="e">
        <f ca="1">_xlfn.FORMULATEXT(표1[[#This Row],[Q''ty]])</f>
        <v>#N/A</v>
      </c>
    </row>
    <row r="3706" spans="1:8" ht="15" hidden="1" customHeight="1" x14ac:dyDescent="0.4">
      <c r="A3706" s="6">
        <v>2026</v>
      </c>
      <c r="B3706" s="6">
        <f t="shared" si="471"/>
        <v>38</v>
      </c>
      <c r="C3706" s="13" t="s">
        <v>19</v>
      </c>
      <c r="D3706" s="2" t="s">
        <v>12</v>
      </c>
      <c r="E3706" s="14" t="str">
        <f t="shared" si="474"/>
        <v>Bending</v>
      </c>
      <c r="F3706" s="22"/>
      <c r="H3706" s="5" t="e">
        <f ca="1">_xlfn.FORMULATEXT(표1[[#This Row],[Q''ty]])</f>
        <v>#N/A</v>
      </c>
    </row>
    <row r="3707" spans="1:8" ht="15" hidden="1" customHeight="1" x14ac:dyDescent="0.4">
      <c r="A3707" s="6">
        <v>2026</v>
      </c>
      <c r="B3707" s="6">
        <f t="shared" si="471"/>
        <v>38</v>
      </c>
      <c r="C3707" s="13" t="s">
        <v>19</v>
      </c>
      <c r="D3707" s="2" t="s">
        <v>12</v>
      </c>
      <c r="E3707" s="14" t="str">
        <f t="shared" si="474"/>
        <v>L/W</v>
      </c>
      <c r="F3707" s="22"/>
      <c r="H3707" s="5" t="e">
        <f ca="1">_xlfn.FORMULATEXT(표1[[#This Row],[Q''ty]])</f>
        <v>#N/A</v>
      </c>
    </row>
    <row r="3708" spans="1:8" ht="15" hidden="1" customHeight="1" thickBot="1" x14ac:dyDescent="0.45">
      <c r="A3708" s="15">
        <v>2026</v>
      </c>
      <c r="B3708" s="15">
        <f t="shared" si="471"/>
        <v>38</v>
      </c>
      <c r="C3708" s="16" t="s">
        <v>19</v>
      </c>
      <c r="D3708" s="17" t="s">
        <v>12</v>
      </c>
      <c r="E3708" s="18" t="str">
        <f t="shared" si="474"/>
        <v>C/W</v>
      </c>
      <c r="F3708" s="23"/>
      <c r="H3708" s="5" t="e">
        <f ca="1">_xlfn.FORMULATEXT(표1[[#This Row],[Q''ty]])</f>
        <v>#N/A</v>
      </c>
    </row>
    <row r="3709" spans="1:8" ht="15" hidden="1" customHeight="1" thickTop="1" x14ac:dyDescent="0.4">
      <c r="A3709" s="6">
        <v>2026</v>
      </c>
      <c r="B3709" s="6">
        <f t="shared" si="471"/>
        <v>38</v>
      </c>
      <c r="C3709" s="13" t="s">
        <v>25</v>
      </c>
      <c r="D3709" s="2" t="s">
        <v>6</v>
      </c>
      <c r="E3709" s="14" t="s">
        <v>7</v>
      </c>
      <c r="F3709" s="22">
        <f t="shared" ref="F3709:F3714" si="476">F3610</f>
        <v>3</v>
      </c>
      <c r="H3709" s="5" t="str">
        <f ca="1">_xlfn.FORMULATEXT(표1[[#This Row],[Q''ty]])</f>
        <v>=F3610</v>
      </c>
    </row>
    <row r="3710" spans="1:8" ht="15" hidden="1" customHeight="1" x14ac:dyDescent="0.4">
      <c r="A3710" s="6">
        <v>2026</v>
      </c>
      <c r="B3710" s="6">
        <f t="shared" si="471"/>
        <v>38</v>
      </c>
      <c r="C3710" s="13" t="s">
        <v>25</v>
      </c>
      <c r="D3710" s="2" t="s">
        <v>6</v>
      </c>
      <c r="E3710" s="14" t="s">
        <v>8</v>
      </c>
      <c r="F3710" s="22">
        <f t="shared" si="476"/>
        <v>3</v>
      </c>
      <c r="H3710" s="5" t="str">
        <f ca="1">_xlfn.FORMULATEXT(표1[[#This Row],[Q''ty]])</f>
        <v>=F3611</v>
      </c>
    </row>
    <row r="3711" spans="1:8" ht="15" hidden="1" customHeight="1" x14ac:dyDescent="0.4">
      <c r="A3711" s="6">
        <v>2026</v>
      </c>
      <c r="B3711" s="6">
        <f t="shared" si="471"/>
        <v>38</v>
      </c>
      <c r="C3711" s="13" t="s">
        <v>25</v>
      </c>
      <c r="D3711" s="2" t="s">
        <v>6</v>
      </c>
      <c r="E3711" s="14" t="s">
        <v>9</v>
      </c>
      <c r="F3711" s="22">
        <f t="shared" si="476"/>
        <v>2</v>
      </c>
      <c r="H3711" s="5" t="str">
        <f ca="1">_xlfn.FORMULATEXT(표1[[#This Row],[Q''ty]])</f>
        <v>=F3612</v>
      </c>
    </row>
    <row r="3712" spans="1:8" ht="15" hidden="1" customHeight="1" x14ac:dyDescent="0.4">
      <c r="A3712" s="6">
        <v>2026</v>
      </c>
      <c r="B3712" s="6">
        <f t="shared" si="471"/>
        <v>38</v>
      </c>
      <c r="C3712" s="13" t="s">
        <v>25</v>
      </c>
      <c r="D3712" s="2" t="s">
        <v>6</v>
      </c>
      <c r="E3712" s="14" t="s">
        <v>27</v>
      </c>
      <c r="F3712" s="22">
        <f t="shared" si="476"/>
        <v>2</v>
      </c>
      <c r="H3712" s="5" t="str">
        <f ca="1">_xlfn.FORMULATEXT(표1[[#This Row],[Q''ty]])</f>
        <v>=F3613</v>
      </c>
    </row>
    <row r="3713" spans="1:8" ht="15" hidden="1" customHeight="1" x14ac:dyDescent="0.4">
      <c r="A3713" s="6">
        <v>2026</v>
      </c>
      <c r="B3713" s="6">
        <f t="shared" si="471"/>
        <v>38</v>
      </c>
      <c r="C3713" s="13" t="s">
        <v>25</v>
      </c>
      <c r="D3713" s="2" t="s">
        <v>6</v>
      </c>
      <c r="E3713" s="14" t="s">
        <v>10</v>
      </c>
      <c r="F3713" s="22">
        <f t="shared" si="476"/>
        <v>3</v>
      </c>
      <c r="H3713" s="5" t="str">
        <f ca="1">_xlfn.FORMULATEXT(표1[[#This Row],[Q''ty]])</f>
        <v>=F3614</v>
      </c>
    </row>
    <row r="3714" spans="1:8" ht="15" hidden="1" customHeight="1" x14ac:dyDescent="0.4">
      <c r="A3714" s="6">
        <v>2026</v>
      </c>
      <c r="B3714" s="6">
        <f t="shared" si="471"/>
        <v>38</v>
      </c>
      <c r="C3714" s="13" t="s">
        <v>25</v>
      </c>
      <c r="D3714" s="2" t="s">
        <v>6</v>
      </c>
      <c r="E3714" s="14" t="s">
        <v>11</v>
      </c>
      <c r="F3714" s="22">
        <f t="shared" si="476"/>
        <v>4</v>
      </c>
      <c r="H3714" s="5" t="str">
        <f ca="1">_xlfn.FORMULATEXT(표1[[#This Row],[Q''ty]])</f>
        <v>=F3615</v>
      </c>
    </row>
    <row r="3715" spans="1:8" ht="15" hidden="1" customHeight="1" x14ac:dyDescent="0.4">
      <c r="A3715" s="6">
        <v>2026</v>
      </c>
      <c r="B3715" s="6">
        <f t="shared" si="471"/>
        <v>38</v>
      </c>
      <c r="C3715" s="13" t="s">
        <v>25</v>
      </c>
      <c r="D3715" s="2" t="s">
        <v>12</v>
      </c>
      <c r="E3715" s="14" t="s">
        <v>13</v>
      </c>
      <c r="F3715" s="22"/>
      <c r="H3715" s="5" t="e">
        <f ca="1">_xlfn.FORMULATEXT(표1[[#This Row],[Q''ty]])</f>
        <v>#N/A</v>
      </c>
    </row>
    <row r="3716" spans="1:8" ht="15" hidden="1" customHeight="1" x14ac:dyDescent="0.4">
      <c r="A3716" s="6">
        <v>2026</v>
      </c>
      <c r="B3716" s="6">
        <f t="shared" si="471"/>
        <v>38</v>
      </c>
      <c r="C3716" s="13" t="s">
        <v>25</v>
      </c>
      <c r="D3716" s="2" t="s">
        <v>12</v>
      </c>
      <c r="E3716" s="14" t="s">
        <v>14</v>
      </c>
      <c r="F3716" s="22"/>
      <c r="H3716" s="5" t="e">
        <f ca="1">_xlfn.FORMULATEXT(표1[[#This Row],[Q''ty]])</f>
        <v>#N/A</v>
      </c>
    </row>
    <row r="3717" spans="1:8" ht="15" hidden="1" customHeight="1" x14ac:dyDescent="0.4">
      <c r="A3717" s="6">
        <v>2026</v>
      </c>
      <c r="B3717" s="6">
        <f t="shared" si="471"/>
        <v>38</v>
      </c>
      <c r="C3717" s="13" t="s">
        <v>25</v>
      </c>
      <c r="D3717" s="2" t="s">
        <v>12</v>
      </c>
      <c r="E3717" s="14" t="s">
        <v>15</v>
      </c>
      <c r="F3717" s="22"/>
      <c r="H3717" s="5" t="e">
        <f ca="1">_xlfn.FORMULATEXT(표1[[#This Row],[Q''ty]])</f>
        <v>#N/A</v>
      </c>
    </row>
    <row r="3718" spans="1:8" ht="15" hidden="1" customHeight="1" x14ac:dyDescent="0.4">
      <c r="A3718" s="6">
        <v>2026</v>
      </c>
      <c r="B3718" s="6">
        <f t="shared" si="471"/>
        <v>38</v>
      </c>
      <c r="C3718" s="13" t="s">
        <v>25</v>
      </c>
      <c r="D3718" s="2" t="s">
        <v>12</v>
      </c>
      <c r="E3718" s="14" t="s">
        <v>16</v>
      </c>
      <c r="F3718" s="22"/>
      <c r="H3718" s="5" t="e">
        <f ca="1">_xlfn.FORMULATEXT(표1[[#This Row],[Q''ty]])</f>
        <v>#N/A</v>
      </c>
    </row>
    <row r="3719" spans="1:8" ht="15" hidden="1" customHeight="1" thickBot="1" x14ac:dyDescent="0.45">
      <c r="A3719" s="15">
        <v>2026</v>
      </c>
      <c r="B3719" s="15">
        <f t="shared" si="471"/>
        <v>38</v>
      </c>
      <c r="C3719" s="16" t="s">
        <v>25</v>
      </c>
      <c r="D3719" s="17" t="s">
        <v>12</v>
      </c>
      <c r="E3719" s="18" t="s">
        <v>17</v>
      </c>
      <c r="F3719" s="23"/>
      <c r="H3719" s="5" t="e">
        <f ca="1">_xlfn.FORMULATEXT(표1[[#This Row],[Q''ty]])</f>
        <v>#N/A</v>
      </c>
    </row>
    <row r="3720" spans="1:8" ht="15" hidden="1" customHeight="1" thickTop="1" x14ac:dyDescent="0.4">
      <c r="A3720" s="6">
        <v>2026</v>
      </c>
      <c r="B3720" s="6">
        <f t="shared" si="471"/>
        <v>38</v>
      </c>
      <c r="C3720" s="13" t="s">
        <v>26</v>
      </c>
      <c r="D3720" s="2" t="s">
        <v>6</v>
      </c>
      <c r="E3720" s="14" t="s">
        <v>7</v>
      </c>
      <c r="F3720" s="22">
        <f t="shared" ref="F3720:F3725" si="477">F3621</f>
        <v>6</v>
      </c>
      <c r="H3720" s="5" t="str">
        <f ca="1">_xlfn.FORMULATEXT(표1[[#This Row],[Q''ty]])</f>
        <v>=F3621</v>
      </c>
    </row>
    <row r="3721" spans="1:8" ht="15" hidden="1" customHeight="1" x14ac:dyDescent="0.4">
      <c r="A3721" s="6">
        <v>2026</v>
      </c>
      <c r="B3721" s="6">
        <f t="shared" si="471"/>
        <v>38</v>
      </c>
      <c r="C3721" s="13" t="s">
        <v>26</v>
      </c>
      <c r="D3721" s="2" t="s">
        <v>6</v>
      </c>
      <c r="E3721" s="14" t="s">
        <v>8</v>
      </c>
      <c r="F3721" s="22">
        <f t="shared" si="477"/>
        <v>4</v>
      </c>
      <c r="H3721" s="5" t="str">
        <f ca="1">_xlfn.FORMULATEXT(표1[[#This Row],[Q''ty]])</f>
        <v>=F3622</v>
      </c>
    </row>
    <row r="3722" spans="1:8" ht="15" hidden="1" customHeight="1" x14ac:dyDescent="0.4">
      <c r="A3722" s="6">
        <v>2026</v>
      </c>
      <c r="B3722" s="6">
        <f t="shared" si="471"/>
        <v>38</v>
      </c>
      <c r="C3722" s="13" t="s">
        <v>26</v>
      </c>
      <c r="D3722" s="2" t="s">
        <v>6</v>
      </c>
      <c r="E3722" s="14" t="s">
        <v>9</v>
      </c>
      <c r="F3722" s="22">
        <f t="shared" si="477"/>
        <v>2</v>
      </c>
      <c r="H3722" s="5" t="str">
        <f ca="1">_xlfn.FORMULATEXT(표1[[#This Row],[Q''ty]])</f>
        <v>=F3623</v>
      </c>
    </row>
    <row r="3723" spans="1:8" ht="15" hidden="1" customHeight="1" x14ac:dyDescent="0.4">
      <c r="A3723" s="6">
        <v>2026</v>
      </c>
      <c r="B3723" s="6">
        <f t="shared" si="471"/>
        <v>38</v>
      </c>
      <c r="C3723" s="13" t="s">
        <v>26</v>
      </c>
      <c r="D3723" s="2" t="s">
        <v>6</v>
      </c>
      <c r="E3723" s="14" t="s">
        <v>27</v>
      </c>
      <c r="F3723" s="22">
        <f t="shared" si="477"/>
        <v>3</v>
      </c>
      <c r="H3723" s="5" t="str">
        <f ca="1">_xlfn.FORMULATEXT(표1[[#This Row],[Q''ty]])</f>
        <v>=F3624</v>
      </c>
    </row>
    <row r="3724" spans="1:8" ht="15" hidden="1" customHeight="1" x14ac:dyDescent="0.4">
      <c r="A3724" s="6">
        <v>2026</v>
      </c>
      <c r="B3724" s="6">
        <f t="shared" si="471"/>
        <v>38</v>
      </c>
      <c r="C3724" s="13" t="s">
        <v>26</v>
      </c>
      <c r="D3724" s="2" t="s">
        <v>6</v>
      </c>
      <c r="E3724" s="14" t="s">
        <v>10</v>
      </c>
      <c r="F3724" s="22">
        <f t="shared" si="477"/>
        <v>4</v>
      </c>
      <c r="H3724" s="5" t="str">
        <f ca="1">_xlfn.FORMULATEXT(표1[[#This Row],[Q''ty]])</f>
        <v>=F3625</v>
      </c>
    </row>
    <row r="3725" spans="1:8" ht="15" hidden="1" customHeight="1" x14ac:dyDescent="0.4">
      <c r="A3725" s="6">
        <v>2026</v>
      </c>
      <c r="B3725" s="6">
        <f t="shared" si="471"/>
        <v>38</v>
      </c>
      <c r="C3725" s="13" t="s">
        <v>26</v>
      </c>
      <c r="D3725" s="2" t="s">
        <v>6</v>
      </c>
      <c r="E3725" s="14" t="s">
        <v>11</v>
      </c>
      <c r="F3725" s="22">
        <f t="shared" si="477"/>
        <v>6</v>
      </c>
      <c r="H3725" s="5" t="str">
        <f ca="1">_xlfn.FORMULATEXT(표1[[#This Row],[Q''ty]])</f>
        <v>=F3626</v>
      </c>
    </row>
    <row r="3726" spans="1:8" ht="15" hidden="1" customHeight="1" x14ac:dyDescent="0.4">
      <c r="A3726" s="6">
        <v>2026</v>
      </c>
      <c r="B3726" s="6">
        <f t="shared" si="471"/>
        <v>38</v>
      </c>
      <c r="C3726" s="13" t="s">
        <v>26</v>
      </c>
      <c r="D3726" s="2" t="s">
        <v>12</v>
      </c>
      <c r="E3726" s="14" t="str">
        <f t="shared" ref="E3726:E3763" si="478">E3627</f>
        <v>BT GT</v>
      </c>
      <c r="F3726" s="22"/>
      <c r="H3726" s="5" t="e">
        <f ca="1">_xlfn.FORMULATEXT(표1[[#This Row],[Q''ty]])</f>
        <v>#N/A</v>
      </c>
    </row>
    <row r="3727" spans="1:8" ht="15" hidden="1" customHeight="1" x14ac:dyDescent="0.4">
      <c r="A3727" s="6">
        <v>2026</v>
      </c>
      <c r="B3727" s="6">
        <f t="shared" si="471"/>
        <v>38</v>
      </c>
      <c r="C3727" s="13" t="s">
        <v>26</v>
      </c>
      <c r="D3727" s="2" t="s">
        <v>12</v>
      </c>
      <c r="E3727" s="14" t="str">
        <f t="shared" si="478"/>
        <v>WT GT</v>
      </c>
      <c r="F3727" s="22"/>
      <c r="H3727" s="5" t="e">
        <f ca="1">_xlfn.FORMULATEXT(표1[[#This Row],[Q''ty]])</f>
        <v>#N/A</v>
      </c>
    </row>
    <row r="3728" spans="1:8" ht="15" hidden="1" customHeight="1" x14ac:dyDescent="0.4">
      <c r="A3728" s="6">
        <v>2026</v>
      </c>
      <c r="B3728" s="6">
        <f t="shared" si="471"/>
        <v>38</v>
      </c>
      <c r="C3728" s="13" t="s">
        <v>26</v>
      </c>
      <c r="D3728" s="2" t="s">
        <v>12</v>
      </c>
      <c r="E3728" s="14" t="str">
        <f t="shared" si="478"/>
        <v>Bending</v>
      </c>
      <c r="F3728" s="22"/>
      <c r="H3728" s="5" t="e">
        <f ca="1">_xlfn.FORMULATEXT(표1[[#This Row],[Q''ty]])</f>
        <v>#N/A</v>
      </c>
    </row>
    <row r="3729" spans="1:8" ht="15" hidden="1" customHeight="1" x14ac:dyDescent="0.4">
      <c r="A3729" s="6">
        <v>2026</v>
      </c>
      <c r="B3729" s="6">
        <f t="shared" si="471"/>
        <v>38</v>
      </c>
      <c r="C3729" s="13" t="s">
        <v>26</v>
      </c>
      <c r="D3729" s="2" t="s">
        <v>12</v>
      </c>
      <c r="E3729" s="14" t="str">
        <f t="shared" si="478"/>
        <v>L/W</v>
      </c>
      <c r="F3729" s="22"/>
      <c r="H3729" s="5" t="e">
        <f ca="1">_xlfn.FORMULATEXT(표1[[#This Row],[Q''ty]])</f>
        <v>#N/A</v>
      </c>
    </row>
    <row r="3730" spans="1:8" ht="15" hidden="1" customHeight="1" thickBot="1" x14ac:dyDescent="0.45">
      <c r="A3730" s="15">
        <v>2026</v>
      </c>
      <c r="B3730" s="15">
        <f t="shared" ref="B3730:B3763" si="479">B3631+1</f>
        <v>38</v>
      </c>
      <c r="C3730" s="16" t="s">
        <v>26</v>
      </c>
      <c r="D3730" s="17" t="s">
        <v>12</v>
      </c>
      <c r="E3730" s="18" t="str">
        <f t="shared" si="478"/>
        <v>C/W</v>
      </c>
      <c r="F3730" s="23"/>
      <c r="H3730" s="5" t="e">
        <f ca="1">_xlfn.FORMULATEXT(표1[[#This Row],[Q''ty]])</f>
        <v>#N/A</v>
      </c>
    </row>
    <row r="3731" spans="1:8" ht="15" hidden="1" customHeight="1" thickTop="1" x14ac:dyDescent="0.4">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hidden="1" customHeight="1" x14ac:dyDescent="0.4">
      <c r="A3732" s="6">
        <v>2026</v>
      </c>
      <c r="B3732" s="6">
        <f t="shared" si="479"/>
        <v>38</v>
      </c>
      <c r="C3732" s="13" t="s">
        <v>20</v>
      </c>
      <c r="D3732" s="2" t="s">
        <v>6</v>
      </c>
      <c r="E3732" s="14" t="str">
        <f t="shared" si="478"/>
        <v>Paint Booth</v>
      </c>
      <c r="F3732" s="22">
        <f t="shared" si="480"/>
        <v>16</v>
      </c>
      <c r="H3732" s="5" t="str">
        <f ca="1">_xlfn.FORMULATEXT(표1[[#This Row],[Q''ty]])</f>
        <v>=F3633</v>
      </c>
    </row>
    <row r="3733" spans="1:8" ht="15" hidden="1" customHeight="1" x14ac:dyDescent="0.4">
      <c r="A3733" s="6">
        <v>2026</v>
      </c>
      <c r="B3733" s="6">
        <f t="shared" si="479"/>
        <v>38</v>
      </c>
      <c r="C3733" s="13" t="s">
        <v>20</v>
      </c>
      <c r="D3733" s="2" t="s">
        <v>6</v>
      </c>
      <c r="E3733" s="14" t="str">
        <f t="shared" si="478"/>
        <v>Paint Line</v>
      </c>
      <c r="F3733" s="22">
        <f t="shared" si="480"/>
        <v>8</v>
      </c>
      <c r="H3733" s="5" t="str">
        <f ca="1">_xlfn.FORMULATEXT(표1[[#This Row],[Q''ty]])</f>
        <v>=F3634</v>
      </c>
    </row>
    <row r="3734" spans="1:8" ht="15" hidden="1" customHeight="1" x14ac:dyDescent="0.4">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hidden="1" customHeight="1" x14ac:dyDescent="0.4">
      <c r="A3735" s="6">
        <v>2026</v>
      </c>
      <c r="B3735" s="6">
        <f t="shared" si="479"/>
        <v>38</v>
      </c>
      <c r="C3735" s="13" t="s">
        <v>20</v>
      </c>
      <c r="D3735" s="2" t="s">
        <v>6</v>
      </c>
      <c r="E3735" s="14" t="str">
        <f t="shared" si="478"/>
        <v>L/W Machine</v>
      </c>
      <c r="F3735" s="22">
        <f t="shared" si="480"/>
        <v>11</v>
      </c>
      <c r="H3735" s="5" t="str">
        <f ca="1">_xlfn.FORMULATEXT(표1[[#This Row],[Q''ty]])</f>
        <v>=F3636</v>
      </c>
    </row>
    <row r="3736" spans="1:8" ht="15" hidden="1" customHeight="1" x14ac:dyDescent="0.4">
      <c r="A3736" s="6">
        <v>2026</v>
      </c>
      <c r="B3736" s="6">
        <f t="shared" si="479"/>
        <v>38</v>
      </c>
      <c r="C3736" s="13" t="s">
        <v>20</v>
      </c>
      <c r="D3736" s="2" t="s">
        <v>6</v>
      </c>
      <c r="E3736" s="14" t="str">
        <f t="shared" si="478"/>
        <v>C/W Machine</v>
      </c>
      <c r="F3736" s="22">
        <f t="shared" si="480"/>
        <v>15</v>
      </c>
      <c r="H3736" s="5" t="str">
        <f ca="1">_xlfn.FORMULATEXT(표1[[#This Row],[Q''ty]])</f>
        <v>=F3637</v>
      </c>
    </row>
    <row r="3737" spans="1:8" ht="15" hidden="1" customHeight="1" x14ac:dyDescent="0.4">
      <c r="A3737" s="6">
        <v>2026</v>
      </c>
      <c r="B3737" s="6">
        <f t="shared" si="479"/>
        <v>38</v>
      </c>
      <c r="C3737" s="13" t="s">
        <v>20</v>
      </c>
      <c r="D3737" s="2" t="s">
        <v>12</v>
      </c>
      <c r="E3737" s="14" t="str">
        <f t="shared" si="478"/>
        <v>BT GT</v>
      </c>
      <c r="F3737" s="22"/>
      <c r="H3737" s="5" t="e">
        <f ca="1">_xlfn.FORMULATEXT(표1[[#This Row],[Q''ty]])</f>
        <v>#N/A</v>
      </c>
    </row>
    <row r="3738" spans="1:8" ht="15" hidden="1" customHeight="1" x14ac:dyDescent="0.4">
      <c r="A3738" s="6">
        <v>2026</v>
      </c>
      <c r="B3738" s="6">
        <f t="shared" si="479"/>
        <v>38</v>
      </c>
      <c r="C3738" s="13" t="s">
        <v>20</v>
      </c>
      <c r="D3738" s="2" t="s">
        <v>12</v>
      </c>
      <c r="E3738" s="14" t="str">
        <f t="shared" si="478"/>
        <v>WT GT</v>
      </c>
      <c r="F3738" s="22"/>
      <c r="H3738" s="5" t="e">
        <f ca="1">_xlfn.FORMULATEXT(표1[[#This Row],[Q''ty]])</f>
        <v>#N/A</v>
      </c>
    </row>
    <row r="3739" spans="1:8" ht="15" hidden="1" customHeight="1" x14ac:dyDescent="0.4">
      <c r="A3739" s="6">
        <v>2026</v>
      </c>
      <c r="B3739" s="6">
        <f t="shared" si="479"/>
        <v>38</v>
      </c>
      <c r="C3739" s="13" t="s">
        <v>20</v>
      </c>
      <c r="D3739" s="2" t="s">
        <v>12</v>
      </c>
      <c r="E3739" s="14" t="str">
        <f t="shared" si="478"/>
        <v>Bending</v>
      </c>
      <c r="F3739" s="22"/>
      <c r="H3739" s="5" t="e">
        <f ca="1">_xlfn.FORMULATEXT(표1[[#This Row],[Q''ty]])</f>
        <v>#N/A</v>
      </c>
    </row>
    <row r="3740" spans="1:8" ht="15" hidden="1" customHeight="1" x14ac:dyDescent="0.4">
      <c r="A3740" s="6">
        <v>2026</v>
      </c>
      <c r="B3740" s="6">
        <f t="shared" si="479"/>
        <v>38</v>
      </c>
      <c r="C3740" s="13" t="s">
        <v>20</v>
      </c>
      <c r="D3740" s="2" t="s">
        <v>12</v>
      </c>
      <c r="E3740" s="14" t="str">
        <f t="shared" si="478"/>
        <v>L/W</v>
      </c>
      <c r="F3740" s="22"/>
      <c r="H3740" s="5" t="e">
        <f ca="1">_xlfn.FORMULATEXT(표1[[#This Row],[Q''ty]])</f>
        <v>#N/A</v>
      </c>
    </row>
    <row r="3741" spans="1:8" ht="15" hidden="1" customHeight="1" thickBot="1" x14ac:dyDescent="0.45">
      <c r="A3741" s="15">
        <v>2026</v>
      </c>
      <c r="B3741" s="15">
        <f t="shared" si="479"/>
        <v>38</v>
      </c>
      <c r="C3741" s="16" t="s">
        <v>20</v>
      </c>
      <c r="D3741" s="17" t="s">
        <v>12</v>
      </c>
      <c r="E3741" s="18" t="str">
        <f t="shared" si="478"/>
        <v>C/W</v>
      </c>
      <c r="F3741" s="23"/>
      <c r="H3741" s="5" t="e">
        <f ca="1">_xlfn.FORMULATEXT(표1[[#This Row],[Q''ty]])</f>
        <v>#N/A</v>
      </c>
    </row>
    <row r="3742" spans="1:8" ht="15" hidden="1" customHeight="1" thickTop="1" x14ac:dyDescent="0.4">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hidden="1" customHeight="1" x14ac:dyDescent="0.4">
      <c r="A3743" s="6">
        <v>2026</v>
      </c>
      <c r="B3743" s="6">
        <f t="shared" si="479"/>
        <v>38</v>
      </c>
      <c r="C3743" s="13" t="s">
        <v>21</v>
      </c>
      <c r="D3743" s="2" t="s">
        <v>6</v>
      </c>
      <c r="E3743" s="14" t="str">
        <f t="shared" si="478"/>
        <v>Paint Booth</v>
      </c>
      <c r="F3743" s="22">
        <f t="shared" si="481"/>
        <v>4</v>
      </c>
      <c r="H3743" s="5" t="str">
        <f ca="1">_xlfn.FORMULATEXT(표1[[#This Row],[Q''ty]])</f>
        <v>=F3644</v>
      </c>
    </row>
    <row r="3744" spans="1:8" ht="15" hidden="1" customHeight="1" x14ac:dyDescent="0.4">
      <c r="A3744" s="6">
        <v>2026</v>
      </c>
      <c r="B3744" s="6">
        <f t="shared" si="479"/>
        <v>38</v>
      </c>
      <c r="C3744" s="13" t="s">
        <v>21</v>
      </c>
      <c r="D3744" s="2" t="s">
        <v>6</v>
      </c>
      <c r="E3744" s="14" t="str">
        <f t="shared" si="478"/>
        <v>Paint Line</v>
      </c>
      <c r="F3744" s="22">
        <f t="shared" si="481"/>
        <v>4</v>
      </c>
      <c r="H3744" s="5" t="str">
        <f ca="1">_xlfn.FORMULATEXT(표1[[#This Row],[Q''ty]])</f>
        <v>=F3645</v>
      </c>
    </row>
    <row r="3745" spans="1:8" ht="15" hidden="1" customHeight="1" x14ac:dyDescent="0.4">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hidden="1" customHeight="1" x14ac:dyDescent="0.4">
      <c r="A3746" s="6">
        <v>2026</v>
      </c>
      <c r="B3746" s="6">
        <f t="shared" si="479"/>
        <v>38</v>
      </c>
      <c r="C3746" s="13" t="s">
        <v>21</v>
      </c>
      <c r="D3746" s="2" t="s">
        <v>6</v>
      </c>
      <c r="E3746" s="14" t="str">
        <f t="shared" si="478"/>
        <v>L/W Machine</v>
      </c>
      <c r="F3746" s="22">
        <f t="shared" si="481"/>
        <v>4</v>
      </c>
      <c r="H3746" s="5" t="str">
        <f ca="1">_xlfn.FORMULATEXT(표1[[#This Row],[Q''ty]])</f>
        <v>=F3647</v>
      </c>
    </row>
    <row r="3747" spans="1:8" ht="15" hidden="1" customHeight="1" x14ac:dyDescent="0.4">
      <c r="A3747" s="6">
        <v>2026</v>
      </c>
      <c r="B3747" s="6">
        <f t="shared" si="479"/>
        <v>38</v>
      </c>
      <c r="C3747" s="13" t="s">
        <v>21</v>
      </c>
      <c r="D3747" s="2" t="s">
        <v>6</v>
      </c>
      <c r="E3747" s="14" t="str">
        <f t="shared" si="478"/>
        <v>C/W Machine</v>
      </c>
      <c r="F3747" s="22">
        <f t="shared" si="481"/>
        <v>6.5</v>
      </c>
      <c r="H3747" s="5" t="str">
        <f ca="1">_xlfn.FORMULATEXT(표1[[#This Row],[Q''ty]])</f>
        <v>=F3648</v>
      </c>
    </row>
    <row r="3748" spans="1:8" ht="15" hidden="1" customHeight="1" x14ac:dyDescent="0.4">
      <c r="A3748" s="6">
        <v>2026</v>
      </c>
      <c r="B3748" s="6">
        <f t="shared" si="479"/>
        <v>38</v>
      </c>
      <c r="C3748" s="13" t="s">
        <v>21</v>
      </c>
      <c r="D3748" s="2" t="s">
        <v>12</v>
      </c>
      <c r="E3748" s="14" t="str">
        <f t="shared" si="478"/>
        <v>BT GT</v>
      </c>
      <c r="F3748" s="22"/>
      <c r="H3748" s="5" t="e">
        <f ca="1">_xlfn.FORMULATEXT(표1[[#This Row],[Q''ty]])</f>
        <v>#N/A</v>
      </c>
    </row>
    <row r="3749" spans="1:8" ht="15" hidden="1" customHeight="1" x14ac:dyDescent="0.4">
      <c r="A3749" s="6">
        <v>2026</v>
      </c>
      <c r="B3749" s="6">
        <f t="shared" si="479"/>
        <v>38</v>
      </c>
      <c r="C3749" s="13" t="s">
        <v>21</v>
      </c>
      <c r="D3749" s="2" t="s">
        <v>12</v>
      </c>
      <c r="E3749" s="14" t="str">
        <f t="shared" si="478"/>
        <v>WT GT</v>
      </c>
      <c r="F3749" s="22"/>
      <c r="H3749" s="5" t="e">
        <f ca="1">_xlfn.FORMULATEXT(표1[[#This Row],[Q''ty]])</f>
        <v>#N/A</v>
      </c>
    </row>
    <row r="3750" spans="1:8" ht="15" hidden="1" customHeight="1" x14ac:dyDescent="0.4">
      <c r="A3750" s="6">
        <v>2026</v>
      </c>
      <c r="B3750" s="6">
        <f t="shared" si="479"/>
        <v>38</v>
      </c>
      <c r="C3750" s="13" t="s">
        <v>21</v>
      </c>
      <c r="D3750" s="2" t="s">
        <v>12</v>
      </c>
      <c r="E3750" s="14" t="str">
        <f t="shared" si="478"/>
        <v>Bending</v>
      </c>
      <c r="F3750" s="22"/>
      <c r="H3750" s="5" t="e">
        <f ca="1">_xlfn.FORMULATEXT(표1[[#This Row],[Q''ty]])</f>
        <v>#N/A</v>
      </c>
    </row>
    <row r="3751" spans="1:8" ht="15" hidden="1" customHeight="1" x14ac:dyDescent="0.4">
      <c r="A3751" s="6">
        <v>2026</v>
      </c>
      <c r="B3751" s="6">
        <f t="shared" si="479"/>
        <v>38</v>
      </c>
      <c r="C3751" s="13" t="s">
        <v>21</v>
      </c>
      <c r="D3751" s="2" t="s">
        <v>12</v>
      </c>
      <c r="E3751" s="14" t="str">
        <f t="shared" si="478"/>
        <v>L/W</v>
      </c>
      <c r="F3751" s="22"/>
      <c r="H3751" s="5" t="e">
        <f ca="1">_xlfn.FORMULATEXT(표1[[#This Row],[Q''ty]])</f>
        <v>#N/A</v>
      </c>
    </row>
    <row r="3752" spans="1:8" ht="15" hidden="1" customHeight="1" thickBot="1" x14ac:dyDescent="0.45">
      <c r="A3752" s="15">
        <v>2026</v>
      </c>
      <c r="B3752" s="15">
        <f t="shared" si="479"/>
        <v>38</v>
      </c>
      <c r="C3752" s="16" t="s">
        <v>21</v>
      </c>
      <c r="D3752" s="17" t="s">
        <v>12</v>
      </c>
      <c r="E3752" s="18" t="str">
        <f t="shared" si="478"/>
        <v>C/W</v>
      </c>
      <c r="F3752" s="23"/>
      <c r="H3752" s="5" t="e">
        <f ca="1">_xlfn.FORMULATEXT(표1[[#This Row],[Q''ty]])</f>
        <v>#N/A</v>
      </c>
    </row>
    <row r="3753" spans="1:8" ht="15" hidden="1" customHeight="1" thickTop="1" x14ac:dyDescent="0.4">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hidden="1" customHeight="1" x14ac:dyDescent="0.4">
      <c r="A3754" s="6">
        <v>2026</v>
      </c>
      <c r="B3754" s="6">
        <f t="shared" si="479"/>
        <v>38</v>
      </c>
      <c r="C3754" s="13" t="s">
        <v>22</v>
      </c>
      <c r="D3754" s="2" t="s">
        <v>6</v>
      </c>
      <c r="E3754" s="14" t="str">
        <f t="shared" si="478"/>
        <v>Paint Booth</v>
      </c>
      <c r="F3754" s="22">
        <f t="shared" si="482"/>
        <v>6</v>
      </c>
      <c r="H3754" s="5" t="str">
        <f ca="1">_xlfn.FORMULATEXT(표1[[#This Row],[Q''ty]])</f>
        <v>=F3655</v>
      </c>
    </row>
    <row r="3755" spans="1:8" ht="15" hidden="1" customHeight="1" x14ac:dyDescent="0.4">
      <c r="A3755" s="6">
        <v>2026</v>
      </c>
      <c r="B3755" s="6">
        <f t="shared" si="479"/>
        <v>38</v>
      </c>
      <c r="C3755" s="13" t="s">
        <v>22</v>
      </c>
      <c r="D3755" s="2" t="s">
        <v>6</v>
      </c>
      <c r="E3755" s="14" t="str">
        <f t="shared" si="478"/>
        <v>Paint Line</v>
      </c>
      <c r="F3755" s="22">
        <f t="shared" si="482"/>
        <v>4</v>
      </c>
      <c r="H3755" s="5" t="str">
        <f ca="1">_xlfn.FORMULATEXT(표1[[#This Row],[Q''ty]])</f>
        <v>=F3656</v>
      </c>
    </row>
    <row r="3756" spans="1:8" ht="15" hidden="1" customHeight="1" x14ac:dyDescent="0.4">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hidden="1" customHeight="1" x14ac:dyDescent="0.4">
      <c r="A3757" s="6">
        <v>2026</v>
      </c>
      <c r="B3757" s="6">
        <f t="shared" si="479"/>
        <v>38</v>
      </c>
      <c r="C3757" s="13" t="s">
        <v>22</v>
      </c>
      <c r="D3757" s="2" t="s">
        <v>6</v>
      </c>
      <c r="E3757" s="14" t="str">
        <f t="shared" si="478"/>
        <v>L/W Machine</v>
      </c>
      <c r="F3757" s="22">
        <f t="shared" si="482"/>
        <v>7</v>
      </c>
      <c r="H3757" s="5" t="str">
        <f ca="1">_xlfn.FORMULATEXT(표1[[#This Row],[Q''ty]])</f>
        <v>=F3658</v>
      </c>
    </row>
    <row r="3758" spans="1:8" ht="15" hidden="1" customHeight="1" x14ac:dyDescent="0.4">
      <c r="A3758" s="6">
        <v>2026</v>
      </c>
      <c r="B3758" s="6">
        <f t="shared" si="479"/>
        <v>38</v>
      </c>
      <c r="C3758" s="13" t="s">
        <v>22</v>
      </c>
      <c r="D3758" s="2" t="s">
        <v>6</v>
      </c>
      <c r="E3758" s="14" t="str">
        <f t="shared" si="478"/>
        <v>C/W Machine</v>
      </c>
      <c r="F3758" s="22">
        <f t="shared" si="482"/>
        <v>12.5</v>
      </c>
      <c r="H3758" s="5" t="str">
        <f ca="1">_xlfn.FORMULATEXT(표1[[#This Row],[Q''ty]])</f>
        <v>=F3659</v>
      </c>
    </row>
    <row r="3759" spans="1:8" ht="15" hidden="1" customHeight="1" x14ac:dyDescent="0.4">
      <c r="A3759" s="6">
        <v>2026</v>
      </c>
      <c r="B3759" s="6">
        <f t="shared" si="479"/>
        <v>38</v>
      </c>
      <c r="C3759" s="13" t="s">
        <v>22</v>
      </c>
      <c r="D3759" s="2" t="s">
        <v>12</v>
      </c>
      <c r="E3759" s="14" t="str">
        <f t="shared" si="478"/>
        <v>BT GT</v>
      </c>
      <c r="F3759" s="22"/>
      <c r="H3759" s="5" t="e">
        <f ca="1">_xlfn.FORMULATEXT(표1[[#This Row],[Q''ty]])</f>
        <v>#N/A</v>
      </c>
    </row>
    <row r="3760" spans="1:8" ht="15" hidden="1" customHeight="1" x14ac:dyDescent="0.4">
      <c r="A3760" s="6">
        <v>2026</v>
      </c>
      <c r="B3760" s="6">
        <f t="shared" si="479"/>
        <v>38</v>
      </c>
      <c r="C3760" s="13" t="s">
        <v>22</v>
      </c>
      <c r="D3760" s="2" t="s">
        <v>12</v>
      </c>
      <c r="E3760" s="14" t="str">
        <f t="shared" si="478"/>
        <v>WT GT</v>
      </c>
      <c r="F3760" s="22"/>
      <c r="H3760" s="5" t="e">
        <f ca="1">_xlfn.FORMULATEXT(표1[[#This Row],[Q''ty]])</f>
        <v>#N/A</v>
      </c>
    </row>
    <row r="3761" spans="1:10" ht="15" hidden="1" customHeight="1" x14ac:dyDescent="0.4">
      <c r="A3761" s="6">
        <v>2026</v>
      </c>
      <c r="B3761" s="6">
        <f t="shared" si="479"/>
        <v>38</v>
      </c>
      <c r="C3761" s="13" t="s">
        <v>22</v>
      </c>
      <c r="D3761" s="2" t="s">
        <v>12</v>
      </c>
      <c r="E3761" s="14" t="str">
        <f t="shared" si="478"/>
        <v>Bending</v>
      </c>
      <c r="F3761" s="22"/>
      <c r="H3761" s="5" t="e">
        <f ca="1">_xlfn.FORMULATEXT(표1[[#This Row],[Q''ty]])</f>
        <v>#N/A</v>
      </c>
    </row>
    <row r="3762" spans="1:10" ht="15" hidden="1" customHeight="1" x14ac:dyDescent="0.4">
      <c r="A3762" s="6">
        <v>2026</v>
      </c>
      <c r="B3762" s="6">
        <f t="shared" si="479"/>
        <v>38</v>
      </c>
      <c r="C3762" s="13" t="s">
        <v>22</v>
      </c>
      <c r="D3762" s="2" t="s">
        <v>12</v>
      </c>
      <c r="E3762" s="14" t="str">
        <f t="shared" si="478"/>
        <v>L/W</v>
      </c>
      <c r="F3762" s="22"/>
      <c r="H3762" s="5" t="e">
        <f ca="1">_xlfn.FORMULATEXT(표1[[#This Row],[Q''ty]])</f>
        <v>#N/A</v>
      </c>
    </row>
    <row r="3763" spans="1:10" ht="15" hidden="1" customHeight="1" thickBot="1" x14ac:dyDescent="0.45">
      <c r="A3763" s="6">
        <v>2026</v>
      </c>
      <c r="B3763" s="6">
        <f t="shared" si="479"/>
        <v>38</v>
      </c>
      <c r="C3763" s="13" t="s">
        <v>22</v>
      </c>
      <c r="D3763" s="2" t="s">
        <v>12</v>
      </c>
      <c r="E3763" s="14" t="str">
        <f t="shared" si="478"/>
        <v>C/W</v>
      </c>
      <c r="F3763" s="22"/>
      <c r="H3763" s="5" t="e">
        <f ca="1">_xlfn.FORMULATEXT(표1[[#This Row],[Q''ty]])</f>
        <v>#N/A</v>
      </c>
    </row>
    <row r="3764" spans="1:10" ht="15" hidden="1" customHeight="1" thickTop="1" x14ac:dyDescent="0.4">
      <c r="A3764" s="9">
        <v>2026</v>
      </c>
      <c r="B3764" s="9">
        <f>B3665+1</f>
        <v>39</v>
      </c>
      <c r="C3764" s="10" t="s">
        <v>28</v>
      </c>
      <c r="D3764" s="11" t="s">
        <v>6</v>
      </c>
      <c r="E3764" s="12" t="s">
        <v>7</v>
      </c>
      <c r="F3764" s="21">
        <f t="shared" ref="F3764:F3769" si="483">F3665</f>
        <v>15</v>
      </c>
      <c r="H3764" s="5" t="str">
        <f ca="1">_xlfn.FORMULATEXT(표1[[#This Row],[Q''ty]])</f>
        <v>=F3665</v>
      </c>
    </row>
    <row r="3765" spans="1:10" s="2" customFormat="1" ht="15" hidden="1" customHeight="1" x14ac:dyDescent="0.4">
      <c r="A3765" s="6">
        <v>2026</v>
      </c>
      <c r="B3765" s="6">
        <f t="shared" ref="B3765:B3828" si="484">B3666+1</f>
        <v>39</v>
      </c>
      <c r="C3765" s="13" t="s">
        <v>23</v>
      </c>
      <c r="D3765" s="2" t="s">
        <v>6</v>
      </c>
      <c r="E3765" s="14" t="s">
        <v>8</v>
      </c>
      <c r="F3765" s="22">
        <f t="shared" si="483"/>
        <v>10</v>
      </c>
      <c r="H3765" s="5" t="str">
        <f ca="1">_xlfn.FORMULATEXT(표1[[#This Row],[Q''ty]])</f>
        <v>=F3666</v>
      </c>
      <c r="I3765" s="26"/>
      <c r="J3765" s="26"/>
    </row>
    <row r="3766" spans="1:10" s="2" customFormat="1" ht="15" hidden="1" customHeight="1" x14ac:dyDescent="0.4">
      <c r="A3766" s="6">
        <v>2026</v>
      </c>
      <c r="B3766" s="6">
        <f t="shared" si="484"/>
        <v>39</v>
      </c>
      <c r="C3766" s="13" t="s">
        <v>23</v>
      </c>
      <c r="D3766" s="2" t="s">
        <v>6</v>
      </c>
      <c r="E3766" s="14" t="s">
        <v>9</v>
      </c>
      <c r="F3766" s="22">
        <f t="shared" si="483"/>
        <v>5</v>
      </c>
      <c r="H3766" s="5" t="str">
        <f ca="1">_xlfn.FORMULATEXT(표1[[#This Row],[Q''ty]])</f>
        <v>=F3667</v>
      </c>
      <c r="I3766" s="26"/>
      <c r="J3766" s="26"/>
    </row>
    <row r="3767" spans="1:10" ht="15" hidden="1" customHeight="1" x14ac:dyDescent="0.4">
      <c r="A3767" s="6">
        <v>2026</v>
      </c>
      <c r="B3767" s="6">
        <f t="shared" si="484"/>
        <v>39</v>
      </c>
      <c r="C3767" s="13" t="s">
        <v>23</v>
      </c>
      <c r="D3767" s="2" t="s">
        <v>6</v>
      </c>
      <c r="E3767" s="14" t="s">
        <v>27</v>
      </c>
      <c r="F3767" s="22">
        <f t="shared" si="483"/>
        <v>6</v>
      </c>
      <c r="H3767" s="5" t="str">
        <f ca="1">_xlfn.FORMULATEXT(표1[[#This Row],[Q''ty]])</f>
        <v>=F3668</v>
      </c>
    </row>
    <row r="3768" spans="1:10" ht="15" hidden="1" customHeight="1" x14ac:dyDescent="0.4">
      <c r="A3768" s="6">
        <v>2026</v>
      </c>
      <c r="B3768" s="6">
        <f t="shared" si="484"/>
        <v>39</v>
      </c>
      <c r="C3768" s="13" t="s">
        <v>23</v>
      </c>
      <c r="D3768" s="2" t="s">
        <v>6</v>
      </c>
      <c r="E3768" s="14" t="s">
        <v>10</v>
      </c>
      <c r="F3768" s="22">
        <f t="shared" si="483"/>
        <v>10</v>
      </c>
      <c r="H3768" s="5" t="str">
        <f ca="1">_xlfn.FORMULATEXT(표1[[#This Row],[Q''ty]])</f>
        <v>=F3669</v>
      </c>
    </row>
    <row r="3769" spans="1:10" ht="15" hidden="1" customHeight="1" x14ac:dyDescent="0.4">
      <c r="A3769" s="6">
        <v>2026</v>
      </c>
      <c r="B3769" s="6">
        <f t="shared" si="484"/>
        <v>39</v>
      </c>
      <c r="C3769" s="13" t="s">
        <v>23</v>
      </c>
      <c r="D3769" s="2" t="s">
        <v>6</v>
      </c>
      <c r="E3769" s="14" t="s">
        <v>11</v>
      </c>
      <c r="F3769" s="22">
        <f t="shared" si="483"/>
        <v>10</v>
      </c>
      <c r="H3769" s="5" t="str">
        <f ca="1">_xlfn.FORMULATEXT(표1[[#This Row],[Q''ty]])</f>
        <v>=F3670</v>
      </c>
    </row>
    <row r="3770" spans="1:10" ht="15" hidden="1" customHeight="1" x14ac:dyDescent="0.4">
      <c r="A3770" s="6">
        <v>2026</v>
      </c>
      <c r="B3770" s="6">
        <f t="shared" si="484"/>
        <v>39</v>
      </c>
      <c r="C3770" s="13" t="s">
        <v>23</v>
      </c>
      <c r="D3770" s="2" t="s">
        <v>12</v>
      </c>
      <c r="E3770" s="14" t="s">
        <v>13</v>
      </c>
      <c r="F3770" s="22"/>
      <c r="H3770" s="5" t="e">
        <f ca="1">_xlfn.FORMULATEXT(표1[[#This Row],[Q''ty]])</f>
        <v>#N/A</v>
      </c>
    </row>
    <row r="3771" spans="1:10" s="2" customFormat="1" ht="15" hidden="1" customHeight="1" x14ac:dyDescent="0.4">
      <c r="A3771" s="6">
        <v>2026</v>
      </c>
      <c r="B3771" s="6">
        <f t="shared" si="484"/>
        <v>39</v>
      </c>
      <c r="C3771" s="13" t="s">
        <v>23</v>
      </c>
      <c r="D3771" s="2" t="s">
        <v>12</v>
      </c>
      <c r="E3771" s="14" t="s">
        <v>14</v>
      </c>
      <c r="F3771" s="22"/>
      <c r="H3771" s="5" t="e">
        <f ca="1">_xlfn.FORMULATEXT(표1[[#This Row],[Q''ty]])</f>
        <v>#N/A</v>
      </c>
      <c r="I3771" s="26"/>
      <c r="J3771" s="26"/>
    </row>
    <row r="3772" spans="1:10" ht="15" hidden="1" customHeight="1" x14ac:dyDescent="0.4">
      <c r="A3772" s="6">
        <v>2026</v>
      </c>
      <c r="B3772" s="6">
        <f t="shared" si="484"/>
        <v>39</v>
      </c>
      <c r="C3772" s="13" t="s">
        <v>23</v>
      </c>
      <c r="D3772" s="2" t="s">
        <v>12</v>
      </c>
      <c r="E3772" s="14" t="s">
        <v>15</v>
      </c>
      <c r="F3772" s="22"/>
      <c r="H3772" s="5" t="e">
        <f ca="1">_xlfn.FORMULATEXT(표1[[#This Row],[Q''ty]])</f>
        <v>#N/A</v>
      </c>
    </row>
    <row r="3773" spans="1:10" ht="15" hidden="1" customHeight="1" x14ac:dyDescent="0.4">
      <c r="A3773" s="6">
        <v>2026</v>
      </c>
      <c r="B3773" s="6">
        <f t="shared" si="484"/>
        <v>39</v>
      </c>
      <c r="C3773" s="13" t="s">
        <v>23</v>
      </c>
      <c r="D3773" s="2" t="s">
        <v>12</v>
      </c>
      <c r="E3773" s="14" t="s">
        <v>16</v>
      </c>
      <c r="F3773" s="22"/>
      <c r="H3773" s="5" t="e">
        <f ca="1">_xlfn.FORMULATEXT(표1[[#This Row],[Q''ty]])</f>
        <v>#N/A</v>
      </c>
    </row>
    <row r="3774" spans="1:10" ht="15" hidden="1" customHeight="1" thickBot="1" x14ac:dyDescent="0.45">
      <c r="A3774" s="15">
        <v>2026</v>
      </c>
      <c r="B3774" s="15">
        <f t="shared" si="484"/>
        <v>39</v>
      </c>
      <c r="C3774" s="16" t="s">
        <v>23</v>
      </c>
      <c r="D3774" s="17" t="s">
        <v>12</v>
      </c>
      <c r="E3774" s="18" t="s">
        <v>17</v>
      </c>
      <c r="F3774" s="23"/>
      <c r="H3774" s="5" t="e">
        <f ca="1">_xlfn.FORMULATEXT(표1[[#This Row],[Q''ty]])</f>
        <v>#N/A</v>
      </c>
    </row>
    <row r="3775" spans="1:10" ht="15" hidden="1" customHeight="1" thickTop="1" x14ac:dyDescent="0.4">
      <c r="A3775" s="9">
        <v>2026</v>
      </c>
      <c r="B3775" s="9">
        <f t="shared" si="484"/>
        <v>39</v>
      </c>
      <c r="C3775" s="10" t="s">
        <v>29</v>
      </c>
      <c r="D3775" s="11" t="s">
        <v>6</v>
      </c>
      <c r="E3775" s="12" t="s">
        <v>7</v>
      </c>
      <c r="F3775" s="21">
        <f t="shared" ref="F3775:F3780" si="485">F3676</f>
        <v>14</v>
      </c>
      <c r="H3775" s="5" t="str">
        <f ca="1">_xlfn.FORMULATEXT(표1[[#This Row],[Q''ty]])</f>
        <v>=F3676</v>
      </c>
    </row>
    <row r="3776" spans="1:10" s="2" customFormat="1" ht="15" hidden="1" customHeight="1" x14ac:dyDescent="0.4">
      <c r="A3776" s="6">
        <v>2026</v>
      </c>
      <c r="B3776" s="6">
        <f t="shared" si="484"/>
        <v>39</v>
      </c>
      <c r="C3776" s="13" t="s">
        <v>24</v>
      </c>
      <c r="D3776" s="2" t="s">
        <v>6</v>
      </c>
      <c r="E3776" s="14" t="s">
        <v>8</v>
      </c>
      <c r="F3776" s="22">
        <f t="shared" si="485"/>
        <v>8</v>
      </c>
      <c r="H3776" s="5" t="str">
        <f ca="1">_xlfn.FORMULATEXT(표1[[#This Row],[Q''ty]])</f>
        <v>=F3677</v>
      </c>
      <c r="I3776" s="26"/>
      <c r="J3776" s="26"/>
    </row>
    <row r="3777" spans="1:10" s="2" customFormat="1" ht="15" hidden="1" customHeight="1" x14ac:dyDescent="0.4">
      <c r="A3777" s="6">
        <v>2026</v>
      </c>
      <c r="B3777" s="6">
        <f t="shared" si="484"/>
        <v>39</v>
      </c>
      <c r="C3777" s="13" t="s">
        <v>24</v>
      </c>
      <c r="D3777" s="2" t="s">
        <v>6</v>
      </c>
      <c r="E3777" s="14" t="s">
        <v>9</v>
      </c>
      <c r="F3777" s="22">
        <f t="shared" si="485"/>
        <v>4</v>
      </c>
      <c r="H3777" s="5" t="str">
        <f ca="1">_xlfn.FORMULATEXT(표1[[#This Row],[Q''ty]])</f>
        <v>=F3678</v>
      </c>
      <c r="I3777" s="26"/>
      <c r="J3777" s="26"/>
    </row>
    <row r="3778" spans="1:10" ht="15" hidden="1" customHeight="1" x14ac:dyDescent="0.4">
      <c r="A3778" s="6">
        <v>2026</v>
      </c>
      <c r="B3778" s="6">
        <f t="shared" si="484"/>
        <v>39</v>
      </c>
      <c r="C3778" s="13" t="s">
        <v>24</v>
      </c>
      <c r="D3778" s="2" t="s">
        <v>6</v>
      </c>
      <c r="E3778" s="14" t="s">
        <v>27</v>
      </c>
      <c r="F3778" s="22">
        <f t="shared" si="485"/>
        <v>3</v>
      </c>
      <c r="H3778" s="5" t="str">
        <f ca="1">_xlfn.FORMULATEXT(표1[[#This Row],[Q''ty]])</f>
        <v>=F3679</v>
      </c>
    </row>
    <row r="3779" spans="1:10" ht="15" hidden="1" customHeight="1" x14ac:dyDescent="0.4">
      <c r="A3779" s="6">
        <v>2026</v>
      </c>
      <c r="B3779" s="6">
        <f t="shared" si="484"/>
        <v>39</v>
      </c>
      <c r="C3779" s="13" t="s">
        <v>24</v>
      </c>
      <c r="D3779" s="2" t="s">
        <v>6</v>
      </c>
      <c r="E3779" s="14" t="s">
        <v>10</v>
      </c>
      <c r="F3779" s="22">
        <f t="shared" si="485"/>
        <v>6</v>
      </c>
      <c r="H3779" s="5" t="str">
        <f ca="1">_xlfn.FORMULATEXT(표1[[#This Row],[Q''ty]])</f>
        <v>=F3680</v>
      </c>
    </row>
    <row r="3780" spans="1:10" ht="15" hidden="1" customHeight="1" x14ac:dyDescent="0.4">
      <c r="A3780" s="6">
        <v>2026</v>
      </c>
      <c r="B3780" s="6">
        <f t="shared" si="484"/>
        <v>39</v>
      </c>
      <c r="C3780" s="13" t="s">
        <v>24</v>
      </c>
      <c r="D3780" s="2" t="s">
        <v>6</v>
      </c>
      <c r="E3780" s="14" t="s">
        <v>11</v>
      </c>
      <c r="F3780" s="22">
        <f t="shared" si="485"/>
        <v>8.8000000000000007</v>
      </c>
      <c r="H3780" s="5" t="str">
        <f ca="1">_xlfn.FORMULATEXT(표1[[#This Row],[Q''ty]])</f>
        <v>=F3681</v>
      </c>
    </row>
    <row r="3781" spans="1:10" ht="15" hidden="1" customHeight="1" x14ac:dyDescent="0.4">
      <c r="A3781" s="6">
        <v>2026</v>
      </c>
      <c r="B3781" s="6">
        <f t="shared" si="484"/>
        <v>39</v>
      </c>
      <c r="C3781" s="13" t="s">
        <v>24</v>
      </c>
      <c r="D3781" s="2" t="s">
        <v>12</v>
      </c>
      <c r="E3781" s="14" t="s">
        <v>13</v>
      </c>
      <c r="F3781" s="22"/>
      <c r="H3781" s="5" t="e">
        <f ca="1">_xlfn.FORMULATEXT(표1[[#This Row],[Q''ty]])</f>
        <v>#N/A</v>
      </c>
    </row>
    <row r="3782" spans="1:10" s="2" customFormat="1" ht="15" hidden="1" customHeight="1" x14ac:dyDescent="0.4">
      <c r="A3782" s="6">
        <v>2026</v>
      </c>
      <c r="B3782" s="6">
        <f t="shared" si="484"/>
        <v>39</v>
      </c>
      <c r="C3782" s="13" t="s">
        <v>24</v>
      </c>
      <c r="D3782" s="2" t="s">
        <v>12</v>
      </c>
      <c r="E3782" s="14" t="s">
        <v>14</v>
      </c>
      <c r="F3782" s="22"/>
      <c r="H3782" s="5" t="e">
        <f ca="1">_xlfn.FORMULATEXT(표1[[#This Row],[Q''ty]])</f>
        <v>#N/A</v>
      </c>
      <c r="I3782" s="26"/>
      <c r="J3782" s="26"/>
    </row>
    <row r="3783" spans="1:10" ht="15" hidden="1" customHeight="1" x14ac:dyDescent="0.4">
      <c r="A3783" s="6">
        <v>2026</v>
      </c>
      <c r="B3783" s="6">
        <f t="shared" si="484"/>
        <v>39</v>
      </c>
      <c r="C3783" s="13" t="s">
        <v>24</v>
      </c>
      <c r="D3783" s="2" t="s">
        <v>12</v>
      </c>
      <c r="E3783" s="14" t="s">
        <v>15</v>
      </c>
      <c r="F3783" s="22"/>
      <c r="H3783" s="5" t="e">
        <f ca="1">_xlfn.FORMULATEXT(표1[[#This Row],[Q''ty]])</f>
        <v>#N/A</v>
      </c>
    </row>
    <row r="3784" spans="1:10" ht="15" hidden="1" customHeight="1" x14ac:dyDescent="0.4">
      <c r="A3784" s="6">
        <v>2026</v>
      </c>
      <c r="B3784" s="6">
        <f t="shared" si="484"/>
        <v>39</v>
      </c>
      <c r="C3784" s="13" t="s">
        <v>24</v>
      </c>
      <c r="D3784" s="2" t="s">
        <v>12</v>
      </c>
      <c r="E3784" s="14" t="s">
        <v>16</v>
      </c>
      <c r="F3784" s="22"/>
      <c r="H3784" s="5" t="e">
        <f ca="1">_xlfn.FORMULATEXT(표1[[#This Row],[Q''ty]])</f>
        <v>#N/A</v>
      </c>
    </row>
    <row r="3785" spans="1:10" ht="15" hidden="1" customHeight="1" thickBot="1" x14ac:dyDescent="0.45">
      <c r="A3785" s="15">
        <v>2026</v>
      </c>
      <c r="B3785" s="15">
        <f t="shared" si="484"/>
        <v>39</v>
      </c>
      <c r="C3785" s="16" t="s">
        <v>24</v>
      </c>
      <c r="D3785" s="17" t="s">
        <v>12</v>
      </c>
      <c r="E3785" s="18" t="s">
        <v>17</v>
      </c>
      <c r="F3785" s="23"/>
      <c r="H3785" s="5" t="e">
        <f ca="1">_xlfn.FORMULATEXT(표1[[#This Row],[Q''ty]])</f>
        <v>#N/A</v>
      </c>
    </row>
    <row r="3786" spans="1:10" ht="15" hidden="1" customHeight="1" thickTop="1" x14ac:dyDescent="0.4">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10" ht="15" hidden="1" customHeight="1" x14ac:dyDescent="0.4">
      <c r="A3787" s="6">
        <v>2026</v>
      </c>
      <c r="B3787" s="6">
        <f t="shared" si="484"/>
        <v>39</v>
      </c>
      <c r="C3787" s="13" t="s">
        <v>18</v>
      </c>
      <c r="D3787" s="2" t="s">
        <v>6</v>
      </c>
      <c r="E3787" s="14" t="str">
        <f t="shared" si="486"/>
        <v>Paint Booth</v>
      </c>
      <c r="F3787" s="22">
        <f t="shared" si="486"/>
        <v>3</v>
      </c>
      <c r="H3787" s="5" t="str">
        <f ca="1">_xlfn.FORMULATEXT(표1[[#This Row],[Q''ty]])</f>
        <v>=F3688</v>
      </c>
    </row>
    <row r="3788" spans="1:10" ht="15" hidden="1" customHeight="1" x14ac:dyDescent="0.4">
      <c r="A3788" s="6">
        <v>2026</v>
      </c>
      <c r="B3788" s="6">
        <f t="shared" si="484"/>
        <v>39</v>
      </c>
      <c r="C3788" s="13" t="s">
        <v>18</v>
      </c>
      <c r="D3788" s="2" t="s">
        <v>6</v>
      </c>
      <c r="E3788" s="14" t="str">
        <f t="shared" si="486"/>
        <v>Paint Line</v>
      </c>
      <c r="F3788" s="22">
        <f t="shared" si="486"/>
        <v>2</v>
      </c>
      <c r="H3788" s="5" t="str">
        <f ca="1">_xlfn.FORMULATEXT(표1[[#This Row],[Q''ty]])</f>
        <v>=F3689</v>
      </c>
    </row>
    <row r="3789" spans="1:10" ht="15" hidden="1" customHeight="1" x14ac:dyDescent="0.4">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10" ht="15" hidden="1" customHeight="1" x14ac:dyDescent="0.4">
      <c r="A3790" s="6">
        <v>2026</v>
      </c>
      <c r="B3790" s="6">
        <f t="shared" si="484"/>
        <v>39</v>
      </c>
      <c r="C3790" s="13" t="s">
        <v>18</v>
      </c>
      <c r="D3790" s="2" t="s">
        <v>6</v>
      </c>
      <c r="E3790" s="14" t="str">
        <f t="shared" si="486"/>
        <v>L/W Machine</v>
      </c>
      <c r="F3790" s="22">
        <f t="shared" si="486"/>
        <v>2</v>
      </c>
      <c r="H3790" s="5" t="str">
        <f ca="1">_xlfn.FORMULATEXT(표1[[#This Row],[Q''ty]])</f>
        <v>=F3691</v>
      </c>
    </row>
    <row r="3791" spans="1:10" ht="15" hidden="1" customHeight="1" x14ac:dyDescent="0.4">
      <c r="A3791" s="6">
        <v>2026</v>
      </c>
      <c r="B3791" s="6">
        <f t="shared" si="484"/>
        <v>39</v>
      </c>
      <c r="C3791" s="13" t="s">
        <v>18</v>
      </c>
      <c r="D3791" s="2" t="s">
        <v>6</v>
      </c>
      <c r="E3791" s="14" t="str">
        <f t="shared" si="486"/>
        <v>C/W Machine</v>
      </c>
      <c r="F3791" s="22">
        <f t="shared" si="486"/>
        <v>3</v>
      </c>
      <c r="H3791" s="5" t="str">
        <f ca="1">_xlfn.FORMULATEXT(표1[[#This Row],[Q''ty]])</f>
        <v>=F3692</v>
      </c>
    </row>
    <row r="3792" spans="1:10" ht="15" hidden="1" customHeight="1" x14ac:dyDescent="0.4">
      <c r="A3792" s="6">
        <v>2026</v>
      </c>
      <c r="B3792" s="6">
        <f t="shared" si="484"/>
        <v>39</v>
      </c>
      <c r="C3792" s="13" t="s">
        <v>18</v>
      </c>
      <c r="D3792" s="2" t="s">
        <v>12</v>
      </c>
      <c r="E3792" s="14" t="str">
        <f t="shared" ref="E3792:E3807" si="487">E3693</f>
        <v>BT GT</v>
      </c>
      <c r="F3792" s="22"/>
      <c r="H3792" s="5" t="e">
        <f ca="1">_xlfn.FORMULATEXT(표1[[#This Row],[Q''ty]])</f>
        <v>#N/A</v>
      </c>
    </row>
    <row r="3793" spans="1:8" ht="15" hidden="1" customHeight="1" x14ac:dyDescent="0.4">
      <c r="A3793" s="6">
        <v>2026</v>
      </c>
      <c r="B3793" s="6">
        <f t="shared" si="484"/>
        <v>39</v>
      </c>
      <c r="C3793" s="13" t="s">
        <v>18</v>
      </c>
      <c r="D3793" s="2" t="s">
        <v>12</v>
      </c>
      <c r="E3793" s="14" t="str">
        <f t="shared" si="487"/>
        <v>WT GT</v>
      </c>
      <c r="F3793" s="22"/>
      <c r="H3793" s="5" t="e">
        <f ca="1">_xlfn.FORMULATEXT(표1[[#This Row],[Q''ty]])</f>
        <v>#N/A</v>
      </c>
    </row>
    <row r="3794" spans="1:8" ht="15" hidden="1" customHeight="1" x14ac:dyDescent="0.4">
      <c r="A3794" s="6">
        <v>2026</v>
      </c>
      <c r="B3794" s="6">
        <f t="shared" si="484"/>
        <v>39</v>
      </c>
      <c r="C3794" s="13" t="s">
        <v>18</v>
      </c>
      <c r="D3794" s="2" t="s">
        <v>12</v>
      </c>
      <c r="E3794" s="14" t="str">
        <f t="shared" si="487"/>
        <v>Bending</v>
      </c>
      <c r="F3794" s="22"/>
      <c r="H3794" s="5" t="e">
        <f ca="1">_xlfn.FORMULATEXT(표1[[#This Row],[Q''ty]])</f>
        <v>#N/A</v>
      </c>
    </row>
    <row r="3795" spans="1:8" ht="15" hidden="1" customHeight="1" x14ac:dyDescent="0.4">
      <c r="A3795" s="6">
        <v>2026</v>
      </c>
      <c r="B3795" s="6">
        <f t="shared" si="484"/>
        <v>39</v>
      </c>
      <c r="C3795" s="13" t="s">
        <v>18</v>
      </c>
      <c r="D3795" s="2" t="s">
        <v>12</v>
      </c>
      <c r="E3795" s="14" t="str">
        <f t="shared" si="487"/>
        <v>L/W</v>
      </c>
      <c r="F3795" s="22"/>
      <c r="H3795" s="5" t="e">
        <f ca="1">_xlfn.FORMULATEXT(표1[[#This Row],[Q''ty]])</f>
        <v>#N/A</v>
      </c>
    </row>
    <row r="3796" spans="1:8" ht="15" hidden="1" customHeight="1" thickBot="1" x14ac:dyDescent="0.45">
      <c r="A3796" s="15">
        <v>2026</v>
      </c>
      <c r="B3796" s="15">
        <f t="shared" si="484"/>
        <v>39</v>
      </c>
      <c r="C3796" s="16" t="s">
        <v>18</v>
      </c>
      <c r="D3796" s="17" t="s">
        <v>12</v>
      </c>
      <c r="E3796" s="18" t="str">
        <f t="shared" si="487"/>
        <v>C/W</v>
      </c>
      <c r="F3796" s="23"/>
      <c r="H3796" s="5" t="e">
        <f ca="1">_xlfn.FORMULATEXT(표1[[#This Row],[Q''ty]])</f>
        <v>#N/A</v>
      </c>
    </row>
    <row r="3797" spans="1:8" ht="15" hidden="1" customHeight="1" thickTop="1" x14ac:dyDescent="0.4">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hidden="1" customHeight="1" x14ac:dyDescent="0.4">
      <c r="A3798" s="6">
        <v>2026</v>
      </c>
      <c r="B3798" s="6">
        <f t="shared" si="484"/>
        <v>39</v>
      </c>
      <c r="C3798" s="13" t="s">
        <v>19</v>
      </c>
      <c r="D3798" s="2" t="s">
        <v>6</v>
      </c>
      <c r="E3798" s="14" t="str">
        <f t="shared" si="487"/>
        <v>Paint Booth</v>
      </c>
      <c r="F3798" s="22">
        <f t="shared" si="488"/>
        <v>22</v>
      </c>
      <c r="H3798" s="5" t="str">
        <f ca="1">_xlfn.FORMULATEXT(표1[[#This Row],[Q''ty]])</f>
        <v>=F3699</v>
      </c>
    </row>
    <row r="3799" spans="1:8" ht="15" hidden="1" customHeight="1" x14ac:dyDescent="0.4">
      <c r="A3799" s="6">
        <v>2026</v>
      </c>
      <c r="B3799" s="6">
        <f t="shared" si="484"/>
        <v>39</v>
      </c>
      <c r="C3799" s="13" t="s">
        <v>19</v>
      </c>
      <c r="D3799" s="2" t="s">
        <v>6</v>
      </c>
      <c r="E3799" s="14" t="str">
        <f t="shared" si="487"/>
        <v>Paint Line</v>
      </c>
      <c r="F3799" s="22">
        <f t="shared" si="488"/>
        <v>6</v>
      </c>
      <c r="H3799" s="5" t="str">
        <f ca="1">_xlfn.FORMULATEXT(표1[[#This Row],[Q''ty]])</f>
        <v>=F3700</v>
      </c>
    </row>
    <row r="3800" spans="1:8" ht="15" hidden="1" customHeight="1" x14ac:dyDescent="0.4">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hidden="1" customHeight="1" x14ac:dyDescent="0.4">
      <c r="A3801" s="6">
        <v>2026</v>
      </c>
      <c r="B3801" s="6">
        <f t="shared" si="484"/>
        <v>39</v>
      </c>
      <c r="C3801" s="13" t="s">
        <v>19</v>
      </c>
      <c r="D3801" s="2" t="s">
        <v>6</v>
      </c>
      <c r="E3801" s="14" t="str">
        <f t="shared" si="487"/>
        <v>L/W Machine</v>
      </c>
      <c r="F3801" s="22">
        <f t="shared" si="488"/>
        <v>10</v>
      </c>
      <c r="H3801" s="5" t="str">
        <f ca="1">_xlfn.FORMULATEXT(표1[[#This Row],[Q''ty]])</f>
        <v>=F3702</v>
      </c>
    </row>
    <row r="3802" spans="1:8" ht="15" hidden="1" customHeight="1" x14ac:dyDescent="0.4">
      <c r="A3802" s="6">
        <v>2026</v>
      </c>
      <c r="B3802" s="6">
        <f t="shared" si="484"/>
        <v>39</v>
      </c>
      <c r="C3802" s="13" t="s">
        <v>19</v>
      </c>
      <c r="D3802" s="2" t="s">
        <v>6</v>
      </c>
      <c r="E3802" s="14" t="str">
        <f t="shared" si="487"/>
        <v>C/W Machine</v>
      </c>
      <c r="F3802" s="22">
        <f t="shared" si="488"/>
        <v>12</v>
      </c>
      <c r="H3802" s="5" t="str">
        <f ca="1">_xlfn.FORMULATEXT(표1[[#This Row],[Q''ty]])</f>
        <v>=F3703</v>
      </c>
    </row>
    <row r="3803" spans="1:8" ht="15" hidden="1" customHeight="1" x14ac:dyDescent="0.4">
      <c r="A3803" s="6">
        <v>2026</v>
      </c>
      <c r="B3803" s="6">
        <f t="shared" si="484"/>
        <v>39</v>
      </c>
      <c r="C3803" s="13" t="s">
        <v>19</v>
      </c>
      <c r="D3803" s="2" t="s">
        <v>12</v>
      </c>
      <c r="E3803" s="14" t="str">
        <f t="shared" si="487"/>
        <v>BT GT</v>
      </c>
      <c r="F3803" s="22"/>
      <c r="H3803" s="5" t="e">
        <f ca="1">_xlfn.FORMULATEXT(표1[[#This Row],[Q''ty]])</f>
        <v>#N/A</v>
      </c>
    </row>
    <row r="3804" spans="1:8" ht="15" hidden="1" customHeight="1" x14ac:dyDescent="0.4">
      <c r="A3804" s="6">
        <v>2026</v>
      </c>
      <c r="B3804" s="6">
        <f t="shared" si="484"/>
        <v>39</v>
      </c>
      <c r="C3804" s="13" t="s">
        <v>19</v>
      </c>
      <c r="D3804" s="2" t="s">
        <v>12</v>
      </c>
      <c r="E3804" s="14" t="str">
        <f t="shared" si="487"/>
        <v>WT GT</v>
      </c>
      <c r="F3804" s="22"/>
      <c r="H3804" s="5" t="e">
        <f ca="1">_xlfn.FORMULATEXT(표1[[#This Row],[Q''ty]])</f>
        <v>#N/A</v>
      </c>
    </row>
    <row r="3805" spans="1:8" ht="15" hidden="1" customHeight="1" x14ac:dyDescent="0.4">
      <c r="A3805" s="6">
        <v>2026</v>
      </c>
      <c r="B3805" s="6">
        <f t="shared" si="484"/>
        <v>39</v>
      </c>
      <c r="C3805" s="13" t="s">
        <v>19</v>
      </c>
      <c r="D3805" s="2" t="s">
        <v>12</v>
      </c>
      <c r="E3805" s="14" t="str">
        <f t="shared" si="487"/>
        <v>Bending</v>
      </c>
      <c r="F3805" s="22"/>
      <c r="H3805" s="5" t="e">
        <f ca="1">_xlfn.FORMULATEXT(표1[[#This Row],[Q''ty]])</f>
        <v>#N/A</v>
      </c>
    </row>
    <row r="3806" spans="1:8" ht="15" hidden="1" customHeight="1" x14ac:dyDescent="0.4">
      <c r="A3806" s="6">
        <v>2026</v>
      </c>
      <c r="B3806" s="6">
        <f t="shared" si="484"/>
        <v>39</v>
      </c>
      <c r="C3806" s="13" t="s">
        <v>19</v>
      </c>
      <c r="D3806" s="2" t="s">
        <v>12</v>
      </c>
      <c r="E3806" s="14" t="str">
        <f t="shared" si="487"/>
        <v>L/W</v>
      </c>
      <c r="F3806" s="22"/>
      <c r="H3806" s="5" t="e">
        <f ca="1">_xlfn.FORMULATEXT(표1[[#This Row],[Q''ty]])</f>
        <v>#N/A</v>
      </c>
    </row>
    <row r="3807" spans="1:8" ht="15" hidden="1" customHeight="1" thickBot="1" x14ac:dyDescent="0.45">
      <c r="A3807" s="15">
        <v>2026</v>
      </c>
      <c r="B3807" s="15">
        <f t="shared" si="484"/>
        <v>39</v>
      </c>
      <c r="C3807" s="16" t="s">
        <v>19</v>
      </c>
      <c r="D3807" s="17" t="s">
        <v>12</v>
      </c>
      <c r="E3807" s="18" t="str">
        <f t="shared" si="487"/>
        <v>C/W</v>
      </c>
      <c r="F3807" s="23"/>
      <c r="H3807" s="5" t="e">
        <f ca="1">_xlfn.FORMULATEXT(표1[[#This Row],[Q''ty]])</f>
        <v>#N/A</v>
      </c>
    </row>
    <row r="3808" spans="1:8" ht="15" hidden="1" customHeight="1" thickTop="1" x14ac:dyDescent="0.4">
      <c r="A3808" s="6">
        <v>2026</v>
      </c>
      <c r="B3808" s="6">
        <f t="shared" si="484"/>
        <v>39</v>
      </c>
      <c r="C3808" s="13" t="s">
        <v>25</v>
      </c>
      <c r="D3808" s="2" t="s">
        <v>6</v>
      </c>
      <c r="E3808" s="14" t="s">
        <v>7</v>
      </c>
      <c r="F3808" s="22">
        <f t="shared" ref="F3808:F3813" si="489">F3709</f>
        <v>3</v>
      </c>
      <c r="H3808" s="5" t="str">
        <f ca="1">_xlfn.FORMULATEXT(표1[[#This Row],[Q''ty]])</f>
        <v>=F3709</v>
      </c>
    </row>
    <row r="3809" spans="1:8" ht="15" hidden="1" customHeight="1" x14ac:dyDescent="0.4">
      <c r="A3809" s="6">
        <v>2026</v>
      </c>
      <c r="B3809" s="6">
        <f t="shared" si="484"/>
        <v>39</v>
      </c>
      <c r="C3809" s="13" t="s">
        <v>25</v>
      </c>
      <c r="D3809" s="2" t="s">
        <v>6</v>
      </c>
      <c r="E3809" s="14" t="s">
        <v>8</v>
      </c>
      <c r="F3809" s="22">
        <f t="shared" si="489"/>
        <v>3</v>
      </c>
      <c r="H3809" s="5" t="str">
        <f ca="1">_xlfn.FORMULATEXT(표1[[#This Row],[Q''ty]])</f>
        <v>=F3710</v>
      </c>
    </row>
    <row r="3810" spans="1:8" ht="15" hidden="1" customHeight="1" x14ac:dyDescent="0.4">
      <c r="A3810" s="6">
        <v>2026</v>
      </c>
      <c r="B3810" s="6">
        <f t="shared" si="484"/>
        <v>39</v>
      </c>
      <c r="C3810" s="13" t="s">
        <v>25</v>
      </c>
      <c r="D3810" s="2" t="s">
        <v>6</v>
      </c>
      <c r="E3810" s="14" t="s">
        <v>9</v>
      </c>
      <c r="F3810" s="22">
        <f t="shared" si="489"/>
        <v>2</v>
      </c>
      <c r="H3810" s="5" t="str">
        <f ca="1">_xlfn.FORMULATEXT(표1[[#This Row],[Q''ty]])</f>
        <v>=F3711</v>
      </c>
    </row>
    <row r="3811" spans="1:8" ht="15" hidden="1" customHeight="1" x14ac:dyDescent="0.4">
      <c r="A3811" s="6">
        <v>2026</v>
      </c>
      <c r="B3811" s="6">
        <f t="shared" si="484"/>
        <v>39</v>
      </c>
      <c r="C3811" s="13" t="s">
        <v>25</v>
      </c>
      <c r="D3811" s="2" t="s">
        <v>6</v>
      </c>
      <c r="E3811" s="14" t="s">
        <v>27</v>
      </c>
      <c r="F3811" s="22">
        <f t="shared" si="489"/>
        <v>2</v>
      </c>
      <c r="H3811" s="5" t="str">
        <f ca="1">_xlfn.FORMULATEXT(표1[[#This Row],[Q''ty]])</f>
        <v>=F3712</v>
      </c>
    </row>
    <row r="3812" spans="1:8" ht="15" hidden="1" customHeight="1" x14ac:dyDescent="0.4">
      <c r="A3812" s="6">
        <v>2026</v>
      </c>
      <c r="B3812" s="6">
        <f t="shared" si="484"/>
        <v>39</v>
      </c>
      <c r="C3812" s="13" t="s">
        <v>25</v>
      </c>
      <c r="D3812" s="2" t="s">
        <v>6</v>
      </c>
      <c r="E3812" s="14" t="s">
        <v>10</v>
      </c>
      <c r="F3812" s="22">
        <f t="shared" si="489"/>
        <v>3</v>
      </c>
      <c r="H3812" s="5" t="str">
        <f ca="1">_xlfn.FORMULATEXT(표1[[#This Row],[Q''ty]])</f>
        <v>=F3713</v>
      </c>
    </row>
    <row r="3813" spans="1:8" ht="15" hidden="1" customHeight="1" x14ac:dyDescent="0.4">
      <c r="A3813" s="6">
        <v>2026</v>
      </c>
      <c r="B3813" s="6">
        <f t="shared" si="484"/>
        <v>39</v>
      </c>
      <c r="C3813" s="13" t="s">
        <v>25</v>
      </c>
      <c r="D3813" s="2" t="s">
        <v>6</v>
      </c>
      <c r="E3813" s="14" t="s">
        <v>11</v>
      </c>
      <c r="F3813" s="22">
        <f t="shared" si="489"/>
        <v>4</v>
      </c>
      <c r="H3813" s="5" t="str">
        <f ca="1">_xlfn.FORMULATEXT(표1[[#This Row],[Q''ty]])</f>
        <v>=F3714</v>
      </c>
    </row>
    <row r="3814" spans="1:8" ht="15" hidden="1" customHeight="1" x14ac:dyDescent="0.4">
      <c r="A3814" s="6">
        <v>2026</v>
      </c>
      <c r="B3814" s="6">
        <f t="shared" si="484"/>
        <v>39</v>
      </c>
      <c r="C3814" s="13" t="s">
        <v>25</v>
      </c>
      <c r="D3814" s="2" t="s">
        <v>12</v>
      </c>
      <c r="E3814" s="14" t="s">
        <v>13</v>
      </c>
      <c r="F3814" s="22"/>
      <c r="H3814" s="5" t="e">
        <f ca="1">_xlfn.FORMULATEXT(표1[[#This Row],[Q''ty]])</f>
        <v>#N/A</v>
      </c>
    </row>
    <row r="3815" spans="1:8" ht="15" hidden="1" customHeight="1" x14ac:dyDescent="0.4">
      <c r="A3815" s="6">
        <v>2026</v>
      </c>
      <c r="B3815" s="6">
        <f t="shared" si="484"/>
        <v>39</v>
      </c>
      <c r="C3815" s="13" t="s">
        <v>25</v>
      </c>
      <c r="D3815" s="2" t="s">
        <v>12</v>
      </c>
      <c r="E3815" s="14" t="s">
        <v>14</v>
      </c>
      <c r="F3815" s="22"/>
      <c r="H3815" s="5" t="e">
        <f ca="1">_xlfn.FORMULATEXT(표1[[#This Row],[Q''ty]])</f>
        <v>#N/A</v>
      </c>
    </row>
    <row r="3816" spans="1:8" ht="15" hidden="1" customHeight="1" x14ac:dyDescent="0.4">
      <c r="A3816" s="6">
        <v>2026</v>
      </c>
      <c r="B3816" s="6">
        <f t="shared" si="484"/>
        <v>39</v>
      </c>
      <c r="C3816" s="13" t="s">
        <v>25</v>
      </c>
      <c r="D3816" s="2" t="s">
        <v>12</v>
      </c>
      <c r="E3816" s="14" t="s">
        <v>15</v>
      </c>
      <c r="F3816" s="22"/>
      <c r="H3816" s="5" t="e">
        <f ca="1">_xlfn.FORMULATEXT(표1[[#This Row],[Q''ty]])</f>
        <v>#N/A</v>
      </c>
    </row>
    <row r="3817" spans="1:8" ht="15" hidden="1" customHeight="1" x14ac:dyDescent="0.4">
      <c r="A3817" s="6">
        <v>2026</v>
      </c>
      <c r="B3817" s="6">
        <f t="shared" si="484"/>
        <v>39</v>
      </c>
      <c r="C3817" s="13" t="s">
        <v>25</v>
      </c>
      <c r="D3817" s="2" t="s">
        <v>12</v>
      </c>
      <c r="E3817" s="14" t="s">
        <v>16</v>
      </c>
      <c r="F3817" s="22"/>
      <c r="H3817" s="5" t="e">
        <f ca="1">_xlfn.FORMULATEXT(표1[[#This Row],[Q''ty]])</f>
        <v>#N/A</v>
      </c>
    </row>
    <row r="3818" spans="1:8" ht="15" hidden="1" customHeight="1" thickBot="1" x14ac:dyDescent="0.45">
      <c r="A3818" s="15">
        <v>2026</v>
      </c>
      <c r="B3818" s="15">
        <f t="shared" si="484"/>
        <v>39</v>
      </c>
      <c r="C3818" s="16" t="s">
        <v>25</v>
      </c>
      <c r="D3818" s="17" t="s">
        <v>12</v>
      </c>
      <c r="E3818" s="18" t="s">
        <v>17</v>
      </c>
      <c r="F3818" s="23"/>
      <c r="H3818" s="5" t="e">
        <f ca="1">_xlfn.FORMULATEXT(표1[[#This Row],[Q''ty]])</f>
        <v>#N/A</v>
      </c>
    </row>
    <row r="3819" spans="1:8" ht="15" hidden="1" customHeight="1" thickTop="1" x14ac:dyDescent="0.4">
      <c r="A3819" s="6">
        <v>2026</v>
      </c>
      <c r="B3819" s="6">
        <f t="shared" si="484"/>
        <v>39</v>
      </c>
      <c r="C3819" s="13" t="s">
        <v>26</v>
      </c>
      <c r="D3819" s="2" t="s">
        <v>6</v>
      </c>
      <c r="E3819" s="14" t="s">
        <v>7</v>
      </c>
      <c r="F3819" s="22">
        <f t="shared" ref="F3819:F3824" si="490">F3720</f>
        <v>6</v>
      </c>
      <c r="H3819" s="5" t="str">
        <f ca="1">_xlfn.FORMULATEXT(표1[[#This Row],[Q''ty]])</f>
        <v>=F3720</v>
      </c>
    </row>
    <row r="3820" spans="1:8" ht="15" hidden="1" customHeight="1" x14ac:dyDescent="0.4">
      <c r="A3820" s="6">
        <v>2026</v>
      </c>
      <c r="B3820" s="6">
        <f t="shared" si="484"/>
        <v>39</v>
      </c>
      <c r="C3820" s="13" t="s">
        <v>26</v>
      </c>
      <c r="D3820" s="2" t="s">
        <v>6</v>
      </c>
      <c r="E3820" s="14" t="s">
        <v>8</v>
      </c>
      <c r="F3820" s="22">
        <f t="shared" si="490"/>
        <v>4</v>
      </c>
      <c r="H3820" s="5" t="str">
        <f ca="1">_xlfn.FORMULATEXT(표1[[#This Row],[Q''ty]])</f>
        <v>=F3721</v>
      </c>
    </row>
    <row r="3821" spans="1:8" ht="15" hidden="1" customHeight="1" x14ac:dyDescent="0.4">
      <c r="A3821" s="6">
        <v>2026</v>
      </c>
      <c r="B3821" s="6">
        <f t="shared" si="484"/>
        <v>39</v>
      </c>
      <c r="C3821" s="13" t="s">
        <v>26</v>
      </c>
      <c r="D3821" s="2" t="s">
        <v>6</v>
      </c>
      <c r="E3821" s="14" t="s">
        <v>9</v>
      </c>
      <c r="F3821" s="22">
        <f t="shared" si="490"/>
        <v>2</v>
      </c>
      <c r="H3821" s="5" t="str">
        <f ca="1">_xlfn.FORMULATEXT(표1[[#This Row],[Q''ty]])</f>
        <v>=F3722</v>
      </c>
    </row>
    <row r="3822" spans="1:8" ht="15" hidden="1" customHeight="1" x14ac:dyDescent="0.4">
      <c r="A3822" s="6">
        <v>2026</v>
      </c>
      <c r="B3822" s="6">
        <f t="shared" si="484"/>
        <v>39</v>
      </c>
      <c r="C3822" s="13" t="s">
        <v>26</v>
      </c>
      <c r="D3822" s="2" t="s">
        <v>6</v>
      </c>
      <c r="E3822" s="14" t="s">
        <v>27</v>
      </c>
      <c r="F3822" s="22">
        <f t="shared" si="490"/>
        <v>3</v>
      </c>
      <c r="H3822" s="5" t="str">
        <f ca="1">_xlfn.FORMULATEXT(표1[[#This Row],[Q''ty]])</f>
        <v>=F3723</v>
      </c>
    </row>
    <row r="3823" spans="1:8" ht="15" hidden="1" customHeight="1" x14ac:dyDescent="0.4">
      <c r="A3823" s="6">
        <v>2026</v>
      </c>
      <c r="B3823" s="6">
        <f t="shared" si="484"/>
        <v>39</v>
      </c>
      <c r="C3823" s="13" t="s">
        <v>26</v>
      </c>
      <c r="D3823" s="2" t="s">
        <v>6</v>
      </c>
      <c r="E3823" s="14" t="s">
        <v>10</v>
      </c>
      <c r="F3823" s="22">
        <f t="shared" si="490"/>
        <v>4</v>
      </c>
      <c r="H3823" s="5" t="str">
        <f ca="1">_xlfn.FORMULATEXT(표1[[#This Row],[Q''ty]])</f>
        <v>=F3724</v>
      </c>
    </row>
    <row r="3824" spans="1:8" ht="15" hidden="1" customHeight="1" x14ac:dyDescent="0.4">
      <c r="A3824" s="6">
        <v>2026</v>
      </c>
      <c r="B3824" s="6">
        <f t="shared" si="484"/>
        <v>39</v>
      </c>
      <c r="C3824" s="13" t="s">
        <v>26</v>
      </c>
      <c r="D3824" s="2" t="s">
        <v>6</v>
      </c>
      <c r="E3824" s="14" t="s">
        <v>11</v>
      </c>
      <c r="F3824" s="22">
        <f t="shared" si="490"/>
        <v>6</v>
      </c>
      <c r="H3824" s="5" t="str">
        <f ca="1">_xlfn.FORMULATEXT(표1[[#This Row],[Q''ty]])</f>
        <v>=F3725</v>
      </c>
    </row>
    <row r="3825" spans="1:8" ht="15" hidden="1" customHeight="1" x14ac:dyDescent="0.4">
      <c r="A3825" s="6">
        <v>2026</v>
      </c>
      <c r="B3825" s="6">
        <f t="shared" si="484"/>
        <v>39</v>
      </c>
      <c r="C3825" s="13" t="s">
        <v>26</v>
      </c>
      <c r="D3825" s="2" t="s">
        <v>12</v>
      </c>
      <c r="E3825" s="14" t="str">
        <f t="shared" ref="E3825:E3862" si="491">E3726</f>
        <v>BT GT</v>
      </c>
      <c r="F3825" s="22"/>
      <c r="H3825" s="5" t="e">
        <f ca="1">_xlfn.FORMULATEXT(표1[[#This Row],[Q''ty]])</f>
        <v>#N/A</v>
      </c>
    </row>
    <row r="3826" spans="1:8" ht="15" hidden="1" customHeight="1" x14ac:dyDescent="0.4">
      <c r="A3826" s="6">
        <v>2026</v>
      </c>
      <c r="B3826" s="6">
        <f t="shared" si="484"/>
        <v>39</v>
      </c>
      <c r="C3826" s="13" t="s">
        <v>26</v>
      </c>
      <c r="D3826" s="2" t="s">
        <v>12</v>
      </c>
      <c r="E3826" s="14" t="str">
        <f t="shared" si="491"/>
        <v>WT GT</v>
      </c>
      <c r="F3826" s="22"/>
      <c r="H3826" s="5" t="e">
        <f ca="1">_xlfn.FORMULATEXT(표1[[#This Row],[Q''ty]])</f>
        <v>#N/A</v>
      </c>
    </row>
    <row r="3827" spans="1:8" ht="15" hidden="1" customHeight="1" x14ac:dyDescent="0.4">
      <c r="A3827" s="6">
        <v>2026</v>
      </c>
      <c r="B3827" s="6">
        <f t="shared" si="484"/>
        <v>39</v>
      </c>
      <c r="C3827" s="13" t="s">
        <v>26</v>
      </c>
      <c r="D3827" s="2" t="s">
        <v>12</v>
      </c>
      <c r="E3827" s="14" t="str">
        <f t="shared" si="491"/>
        <v>Bending</v>
      </c>
      <c r="F3827" s="22"/>
      <c r="H3827" s="5" t="e">
        <f ca="1">_xlfn.FORMULATEXT(표1[[#This Row],[Q''ty]])</f>
        <v>#N/A</v>
      </c>
    </row>
    <row r="3828" spans="1:8" ht="15" hidden="1" customHeight="1" x14ac:dyDescent="0.4">
      <c r="A3828" s="6">
        <v>2026</v>
      </c>
      <c r="B3828" s="6">
        <f t="shared" si="484"/>
        <v>39</v>
      </c>
      <c r="C3828" s="13" t="s">
        <v>26</v>
      </c>
      <c r="D3828" s="2" t="s">
        <v>12</v>
      </c>
      <c r="E3828" s="14" t="str">
        <f t="shared" si="491"/>
        <v>L/W</v>
      </c>
      <c r="F3828" s="22"/>
      <c r="H3828" s="5" t="e">
        <f ca="1">_xlfn.FORMULATEXT(표1[[#This Row],[Q''ty]])</f>
        <v>#N/A</v>
      </c>
    </row>
    <row r="3829" spans="1:8" ht="15" hidden="1" customHeight="1" thickBot="1" x14ac:dyDescent="0.45">
      <c r="A3829" s="15">
        <v>2026</v>
      </c>
      <c r="B3829" s="15">
        <f t="shared" ref="B3829:B3862" si="492">B3730+1</f>
        <v>39</v>
      </c>
      <c r="C3829" s="16" t="s">
        <v>26</v>
      </c>
      <c r="D3829" s="17" t="s">
        <v>12</v>
      </c>
      <c r="E3829" s="18" t="str">
        <f t="shared" si="491"/>
        <v>C/W</v>
      </c>
      <c r="F3829" s="23"/>
      <c r="H3829" s="5" t="e">
        <f ca="1">_xlfn.FORMULATEXT(표1[[#This Row],[Q''ty]])</f>
        <v>#N/A</v>
      </c>
    </row>
    <row r="3830" spans="1:8" ht="15" hidden="1" customHeight="1" thickTop="1" x14ac:dyDescent="0.4">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hidden="1" customHeight="1" x14ac:dyDescent="0.4">
      <c r="A3831" s="6">
        <v>2026</v>
      </c>
      <c r="B3831" s="6">
        <f t="shared" si="492"/>
        <v>39</v>
      </c>
      <c r="C3831" s="13" t="s">
        <v>20</v>
      </c>
      <c r="D3831" s="2" t="s">
        <v>6</v>
      </c>
      <c r="E3831" s="14" t="str">
        <f t="shared" si="491"/>
        <v>Paint Booth</v>
      </c>
      <c r="F3831" s="22">
        <f t="shared" si="493"/>
        <v>16</v>
      </c>
      <c r="H3831" s="5" t="str">
        <f ca="1">_xlfn.FORMULATEXT(표1[[#This Row],[Q''ty]])</f>
        <v>=F3732</v>
      </c>
    </row>
    <row r="3832" spans="1:8" ht="15" hidden="1" customHeight="1" x14ac:dyDescent="0.4">
      <c r="A3832" s="6">
        <v>2026</v>
      </c>
      <c r="B3832" s="6">
        <f t="shared" si="492"/>
        <v>39</v>
      </c>
      <c r="C3832" s="13" t="s">
        <v>20</v>
      </c>
      <c r="D3832" s="2" t="s">
        <v>6</v>
      </c>
      <c r="E3832" s="14" t="str">
        <f t="shared" si="491"/>
        <v>Paint Line</v>
      </c>
      <c r="F3832" s="22">
        <f t="shared" si="493"/>
        <v>8</v>
      </c>
      <c r="H3832" s="5" t="str">
        <f ca="1">_xlfn.FORMULATEXT(표1[[#This Row],[Q''ty]])</f>
        <v>=F3733</v>
      </c>
    </row>
    <row r="3833" spans="1:8" ht="15" hidden="1" customHeight="1" x14ac:dyDescent="0.4">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hidden="1" customHeight="1" x14ac:dyDescent="0.4">
      <c r="A3834" s="6">
        <v>2026</v>
      </c>
      <c r="B3834" s="6">
        <f t="shared" si="492"/>
        <v>39</v>
      </c>
      <c r="C3834" s="13" t="s">
        <v>20</v>
      </c>
      <c r="D3834" s="2" t="s">
        <v>6</v>
      </c>
      <c r="E3834" s="14" t="str">
        <f t="shared" si="491"/>
        <v>L/W Machine</v>
      </c>
      <c r="F3834" s="22">
        <f t="shared" si="493"/>
        <v>11</v>
      </c>
      <c r="H3834" s="5" t="str">
        <f ca="1">_xlfn.FORMULATEXT(표1[[#This Row],[Q''ty]])</f>
        <v>=F3735</v>
      </c>
    </row>
    <row r="3835" spans="1:8" ht="15" hidden="1" customHeight="1" x14ac:dyDescent="0.4">
      <c r="A3835" s="6">
        <v>2026</v>
      </c>
      <c r="B3835" s="6">
        <f t="shared" si="492"/>
        <v>39</v>
      </c>
      <c r="C3835" s="13" t="s">
        <v>20</v>
      </c>
      <c r="D3835" s="2" t="s">
        <v>6</v>
      </c>
      <c r="E3835" s="14" t="str">
        <f t="shared" si="491"/>
        <v>C/W Machine</v>
      </c>
      <c r="F3835" s="22">
        <f t="shared" si="493"/>
        <v>15</v>
      </c>
      <c r="H3835" s="5" t="str">
        <f ca="1">_xlfn.FORMULATEXT(표1[[#This Row],[Q''ty]])</f>
        <v>=F3736</v>
      </c>
    </row>
    <row r="3836" spans="1:8" ht="15" hidden="1" customHeight="1" x14ac:dyDescent="0.4">
      <c r="A3836" s="6">
        <v>2026</v>
      </c>
      <c r="B3836" s="6">
        <f t="shared" si="492"/>
        <v>39</v>
      </c>
      <c r="C3836" s="13" t="s">
        <v>20</v>
      </c>
      <c r="D3836" s="2" t="s">
        <v>12</v>
      </c>
      <c r="E3836" s="14" t="str">
        <f t="shared" si="491"/>
        <v>BT GT</v>
      </c>
      <c r="F3836" s="22"/>
      <c r="H3836" s="5" t="e">
        <f ca="1">_xlfn.FORMULATEXT(표1[[#This Row],[Q''ty]])</f>
        <v>#N/A</v>
      </c>
    </row>
    <row r="3837" spans="1:8" ht="15" hidden="1" customHeight="1" x14ac:dyDescent="0.4">
      <c r="A3837" s="6">
        <v>2026</v>
      </c>
      <c r="B3837" s="6">
        <f t="shared" si="492"/>
        <v>39</v>
      </c>
      <c r="C3837" s="13" t="s">
        <v>20</v>
      </c>
      <c r="D3837" s="2" t="s">
        <v>12</v>
      </c>
      <c r="E3837" s="14" t="str">
        <f t="shared" si="491"/>
        <v>WT GT</v>
      </c>
      <c r="F3837" s="22"/>
      <c r="H3837" s="5" t="e">
        <f ca="1">_xlfn.FORMULATEXT(표1[[#This Row],[Q''ty]])</f>
        <v>#N/A</v>
      </c>
    </row>
    <row r="3838" spans="1:8" ht="15" hidden="1" customHeight="1" x14ac:dyDescent="0.4">
      <c r="A3838" s="6">
        <v>2026</v>
      </c>
      <c r="B3838" s="6">
        <f t="shared" si="492"/>
        <v>39</v>
      </c>
      <c r="C3838" s="13" t="s">
        <v>20</v>
      </c>
      <c r="D3838" s="2" t="s">
        <v>12</v>
      </c>
      <c r="E3838" s="14" t="str">
        <f t="shared" si="491"/>
        <v>Bending</v>
      </c>
      <c r="F3838" s="22"/>
      <c r="H3838" s="5" t="e">
        <f ca="1">_xlfn.FORMULATEXT(표1[[#This Row],[Q''ty]])</f>
        <v>#N/A</v>
      </c>
    </row>
    <row r="3839" spans="1:8" ht="15" hidden="1" customHeight="1" x14ac:dyDescent="0.4">
      <c r="A3839" s="6">
        <v>2026</v>
      </c>
      <c r="B3839" s="6">
        <f t="shared" si="492"/>
        <v>39</v>
      </c>
      <c r="C3839" s="13" t="s">
        <v>20</v>
      </c>
      <c r="D3839" s="2" t="s">
        <v>12</v>
      </c>
      <c r="E3839" s="14" t="str">
        <f t="shared" si="491"/>
        <v>L/W</v>
      </c>
      <c r="F3839" s="22"/>
      <c r="H3839" s="5" t="e">
        <f ca="1">_xlfn.FORMULATEXT(표1[[#This Row],[Q''ty]])</f>
        <v>#N/A</v>
      </c>
    </row>
    <row r="3840" spans="1:8" ht="15" hidden="1" customHeight="1" thickBot="1" x14ac:dyDescent="0.45">
      <c r="A3840" s="15">
        <v>2026</v>
      </c>
      <c r="B3840" s="15">
        <f t="shared" si="492"/>
        <v>39</v>
      </c>
      <c r="C3840" s="16" t="s">
        <v>20</v>
      </c>
      <c r="D3840" s="17" t="s">
        <v>12</v>
      </c>
      <c r="E3840" s="18" t="str">
        <f t="shared" si="491"/>
        <v>C/W</v>
      </c>
      <c r="F3840" s="23"/>
      <c r="H3840" s="5" t="e">
        <f ca="1">_xlfn.FORMULATEXT(표1[[#This Row],[Q''ty]])</f>
        <v>#N/A</v>
      </c>
    </row>
    <row r="3841" spans="1:8" ht="15" hidden="1" customHeight="1" thickTop="1" x14ac:dyDescent="0.4">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hidden="1" customHeight="1" x14ac:dyDescent="0.4">
      <c r="A3842" s="6">
        <v>2026</v>
      </c>
      <c r="B3842" s="6">
        <f t="shared" si="492"/>
        <v>39</v>
      </c>
      <c r="C3842" s="13" t="s">
        <v>21</v>
      </c>
      <c r="D3842" s="2" t="s">
        <v>6</v>
      </c>
      <c r="E3842" s="14" t="str">
        <f t="shared" si="491"/>
        <v>Paint Booth</v>
      </c>
      <c r="F3842" s="22">
        <f t="shared" si="494"/>
        <v>4</v>
      </c>
      <c r="H3842" s="5" t="str">
        <f ca="1">_xlfn.FORMULATEXT(표1[[#This Row],[Q''ty]])</f>
        <v>=F3743</v>
      </c>
    </row>
    <row r="3843" spans="1:8" ht="15" hidden="1" customHeight="1" x14ac:dyDescent="0.4">
      <c r="A3843" s="6">
        <v>2026</v>
      </c>
      <c r="B3843" s="6">
        <f t="shared" si="492"/>
        <v>39</v>
      </c>
      <c r="C3843" s="13" t="s">
        <v>21</v>
      </c>
      <c r="D3843" s="2" t="s">
        <v>6</v>
      </c>
      <c r="E3843" s="14" t="str">
        <f t="shared" si="491"/>
        <v>Paint Line</v>
      </c>
      <c r="F3843" s="22">
        <f t="shared" si="494"/>
        <v>4</v>
      </c>
      <c r="H3843" s="5" t="str">
        <f ca="1">_xlfn.FORMULATEXT(표1[[#This Row],[Q''ty]])</f>
        <v>=F3744</v>
      </c>
    </row>
    <row r="3844" spans="1:8" ht="15" hidden="1" customHeight="1" x14ac:dyDescent="0.4">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hidden="1" customHeight="1" x14ac:dyDescent="0.4">
      <c r="A3845" s="6">
        <v>2026</v>
      </c>
      <c r="B3845" s="6">
        <f t="shared" si="492"/>
        <v>39</v>
      </c>
      <c r="C3845" s="13" t="s">
        <v>21</v>
      </c>
      <c r="D3845" s="2" t="s">
        <v>6</v>
      </c>
      <c r="E3845" s="14" t="str">
        <f t="shared" si="491"/>
        <v>L/W Machine</v>
      </c>
      <c r="F3845" s="22">
        <f t="shared" si="494"/>
        <v>4</v>
      </c>
      <c r="H3845" s="5" t="str">
        <f ca="1">_xlfn.FORMULATEXT(표1[[#This Row],[Q''ty]])</f>
        <v>=F3746</v>
      </c>
    </row>
    <row r="3846" spans="1:8" ht="15" hidden="1" customHeight="1" x14ac:dyDescent="0.4">
      <c r="A3846" s="6">
        <v>2026</v>
      </c>
      <c r="B3846" s="6">
        <f t="shared" si="492"/>
        <v>39</v>
      </c>
      <c r="C3846" s="13" t="s">
        <v>21</v>
      </c>
      <c r="D3846" s="2" t="s">
        <v>6</v>
      </c>
      <c r="E3846" s="14" t="str">
        <f t="shared" si="491"/>
        <v>C/W Machine</v>
      </c>
      <c r="F3846" s="22">
        <f t="shared" si="494"/>
        <v>6.5</v>
      </c>
      <c r="H3846" s="5" t="str">
        <f ca="1">_xlfn.FORMULATEXT(표1[[#This Row],[Q''ty]])</f>
        <v>=F3747</v>
      </c>
    </row>
    <row r="3847" spans="1:8" ht="15" hidden="1" customHeight="1" x14ac:dyDescent="0.4">
      <c r="A3847" s="6">
        <v>2026</v>
      </c>
      <c r="B3847" s="6">
        <f t="shared" si="492"/>
        <v>39</v>
      </c>
      <c r="C3847" s="13" t="s">
        <v>21</v>
      </c>
      <c r="D3847" s="2" t="s">
        <v>12</v>
      </c>
      <c r="E3847" s="14" t="str">
        <f t="shared" si="491"/>
        <v>BT GT</v>
      </c>
      <c r="F3847" s="22"/>
      <c r="H3847" s="5" t="e">
        <f ca="1">_xlfn.FORMULATEXT(표1[[#This Row],[Q''ty]])</f>
        <v>#N/A</v>
      </c>
    </row>
    <row r="3848" spans="1:8" ht="15" hidden="1" customHeight="1" x14ac:dyDescent="0.4">
      <c r="A3848" s="6">
        <v>2026</v>
      </c>
      <c r="B3848" s="6">
        <f t="shared" si="492"/>
        <v>39</v>
      </c>
      <c r="C3848" s="13" t="s">
        <v>21</v>
      </c>
      <c r="D3848" s="2" t="s">
        <v>12</v>
      </c>
      <c r="E3848" s="14" t="str">
        <f t="shared" si="491"/>
        <v>WT GT</v>
      </c>
      <c r="F3848" s="22"/>
      <c r="H3848" s="5" t="e">
        <f ca="1">_xlfn.FORMULATEXT(표1[[#This Row],[Q''ty]])</f>
        <v>#N/A</v>
      </c>
    </row>
    <row r="3849" spans="1:8" ht="15" hidden="1" customHeight="1" x14ac:dyDescent="0.4">
      <c r="A3849" s="6">
        <v>2026</v>
      </c>
      <c r="B3849" s="6">
        <f t="shared" si="492"/>
        <v>39</v>
      </c>
      <c r="C3849" s="13" t="s">
        <v>21</v>
      </c>
      <c r="D3849" s="2" t="s">
        <v>12</v>
      </c>
      <c r="E3849" s="14" t="str">
        <f t="shared" si="491"/>
        <v>Bending</v>
      </c>
      <c r="F3849" s="22"/>
      <c r="H3849" s="5" t="e">
        <f ca="1">_xlfn.FORMULATEXT(표1[[#This Row],[Q''ty]])</f>
        <v>#N/A</v>
      </c>
    </row>
    <row r="3850" spans="1:8" ht="15" hidden="1" customHeight="1" x14ac:dyDescent="0.4">
      <c r="A3850" s="6">
        <v>2026</v>
      </c>
      <c r="B3850" s="6">
        <f t="shared" si="492"/>
        <v>39</v>
      </c>
      <c r="C3850" s="13" t="s">
        <v>21</v>
      </c>
      <c r="D3850" s="2" t="s">
        <v>12</v>
      </c>
      <c r="E3850" s="14" t="str">
        <f t="shared" si="491"/>
        <v>L/W</v>
      </c>
      <c r="F3850" s="22"/>
      <c r="H3850" s="5" t="e">
        <f ca="1">_xlfn.FORMULATEXT(표1[[#This Row],[Q''ty]])</f>
        <v>#N/A</v>
      </c>
    </row>
    <row r="3851" spans="1:8" ht="15" hidden="1" customHeight="1" thickBot="1" x14ac:dyDescent="0.45">
      <c r="A3851" s="15">
        <v>2026</v>
      </c>
      <c r="B3851" s="15">
        <f t="shared" si="492"/>
        <v>39</v>
      </c>
      <c r="C3851" s="16" t="s">
        <v>21</v>
      </c>
      <c r="D3851" s="17" t="s">
        <v>12</v>
      </c>
      <c r="E3851" s="18" t="str">
        <f t="shared" si="491"/>
        <v>C/W</v>
      </c>
      <c r="F3851" s="23"/>
      <c r="H3851" s="5" t="e">
        <f ca="1">_xlfn.FORMULATEXT(표1[[#This Row],[Q''ty]])</f>
        <v>#N/A</v>
      </c>
    </row>
    <row r="3852" spans="1:8" ht="15" hidden="1" customHeight="1" thickTop="1" x14ac:dyDescent="0.4">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hidden="1" customHeight="1" x14ac:dyDescent="0.4">
      <c r="A3853" s="6">
        <v>2026</v>
      </c>
      <c r="B3853" s="6">
        <f t="shared" si="492"/>
        <v>39</v>
      </c>
      <c r="C3853" s="13" t="s">
        <v>22</v>
      </c>
      <c r="D3853" s="2" t="s">
        <v>6</v>
      </c>
      <c r="E3853" s="14" t="str">
        <f t="shared" si="491"/>
        <v>Paint Booth</v>
      </c>
      <c r="F3853" s="22">
        <f t="shared" si="495"/>
        <v>6</v>
      </c>
      <c r="H3853" s="5" t="str">
        <f ca="1">_xlfn.FORMULATEXT(표1[[#This Row],[Q''ty]])</f>
        <v>=F3754</v>
      </c>
    </row>
    <row r="3854" spans="1:8" ht="15" hidden="1" customHeight="1" x14ac:dyDescent="0.4">
      <c r="A3854" s="6">
        <v>2026</v>
      </c>
      <c r="B3854" s="6">
        <f t="shared" si="492"/>
        <v>39</v>
      </c>
      <c r="C3854" s="13" t="s">
        <v>22</v>
      </c>
      <c r="D3854" s="2" t="s">
        <v>6</v>
      </c>
      <c r="E3854" s="14" t="str">
        <f t="shared" si="491"/>
        <v>Paint Line</v>
      </c>
      <c r="F3854" s="22">
        <f t="shared" si="495"/>
        <v>4</v>
      </c>
      <c r="H3854" s="5" t="str">
        <f ca="1">_xlfn.FORMULATEXT(표1[[#This Row],[Q''ty]])</f>
        <v>=F3755</v>
      </c>
    </row>
    <row r="3855" spans="1:8" ht="15" hidden="1" customHeight="1" x14ac:dyDescent="0.4">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hidden="1" customHeight="1" x14ac:dyDescent="0.4">
      <c r="A3856" s="6">
        <v>2026</v>
      </c>
      <c r="B3856" s="6">
        <f t="shared" si="492"/>
        <v>39</v>
      </c>
      <c r="C3856" s="13" t="s">
        <v>22</v>
      </c>
      <c r="D3856" s="2" t="s">
        <v>6</v>
      </c>
      <c r="E3856" s="14" t="str">
        <f t="shared" si="491"/>
        <v>L/W Machine</v>
      </c>
      <c r="F3856" s="22">
        <f t="shared" si="495"/>
        <v>7</v>
      </c>
      <c r="H3856" s="5" t="str">
        <f ca="1">_xlfn.FORMULATEXT(표1[[#This Row],[Q''ty]])</f>
        <v>=F3757</v>
      </c>
    </row>
    <row r="3857" spans="1:10" ht="15" hidden="1" customHeight="1" x14ac:dyDescent="0.4">
      <c r="A3857" s="6">
        <v>2026</v>
      </c>
      <c r="B3857" s="6">
        <f t="shared" si="492"/>
        <v>39</v>
      </c>
      <c r="C3857" s="13" t="s">
        <v>22</v>
      </c>
      <c r="D3857" s="2" t="s">
        <v>6</v>
      </c>
      <c r="E3857" s="14" t="str">
        <f t="shared" si="491"/>
        <v>C/W Machine</v>
      </c>
      <c r="F3857" s="22">
        <f t="shared" si="495"/>
        <v>12.5</v>
      </c>
      <c r="H3857" s="5" t="str">
        <f ca="1">_xlfn.FORMULATEXT(표1[[#This Row],[Q''ty]])</f>
        <v>=F3758</v>
      </c>
    </row>
    <row r="3858" spans="1:10" ht="15" hidden="1" customHeight="1" x14ac:dyDescent="0.4">
      <c r="A3858" s="6">
        <v>2026</v>
      </c>
      <c r="B3858" s="6">
        <f t="shared" si="492"/>
        <v>39</v>
      </c>
      <c r="C3858" s="13" t="s">
        <v>22</v>
      </c>
      <c r="D3858" s="2" t="s">
        <v>12</v>
      </c>
      <c r="E3858" s="14" t="str">
        <f t="shared" si="491"/>
        <v>BT GT</v>
      </c>
      <c r="F3858" s="22"/>
      <c r="H3858" s="5" t="e">
        <f ca="1">_xlfn.FORMULATEXT(표1[[#This Row],[Q''ty]])</f>
        <v>#N/A</v>
      </c>
    </row>
    <row r="3859" spans="1:10" ht="15" hidden="1" customHeight="1" x14ac:dyDescent="0.4">
      <c r="A3859" s="6">
        <v>2026</v>
      </c>
      <c r="B3859" s="6">
        <f t="shared" si="492"/>
        <v>39</v>
      </c>
      <c r="C3859" s="13" t="s">
        <v>22</v>
      </c>
      <c r="D3859" s="2" t="s">
        <v>12</v>
      </c>
      <c r="E3859" s="14" t="str">
        <f t="shared" si="491"/>
        <v>WT GT</v>
      </c>
      <c r="F3859" s="22"/>
      <c r="H3859" s="5" t="e">
        <f ca="1">_xlfn.FORMULATEXT(표1[[#This Row],[Q''ty]])</f>
        <v>#N/A</v>
      </c>
    </row>
    <row r="3860" spans="1:10" ht="15" hidden="1" customHeight="1" x14ac:dyDescent="0.4">
      <c r="A3860" s="6">
        <v>2026</v>
      </c>
      <c r="B3860" s="6">
        <f t="shared" si="492"/>
        <v>39</v>
      </c>
      <c r="C3860" s="13" t="s">
        <v>22</v>
      </c>
      <c r="D3860" s="2" t="s">
        <v>12</v>
      </c>
      <c r="E3860" s="14" t="str">
        <f t="shared" si="491"/>
        <v>Bending</v>
      </c>
      <c r="F3860" s="22"/>
      <c r="H3860" s="5" t="e">
        <f ca="1">_xlfn.FORMULATEXT(표1[[#This Row],[Q''ty]])</f>
        <v>#N/A</v>
      </c>
    </row>
    <row r="3861" spans="1:10" ht="15" hidden="1" customHeight="1" x14ac:dyDescent="0.4">
      <c r="A3861" s="6">
        <v>2026</v>
      </c>
      <c r="B3861" s="6">
        <f t="shared" si="492"/>
        <v>39</v>
      </c>
      <c r="C3861" s="13" t="s">
        <v>22</v>
      </c>
      <c r="D3861" s="2" t="s">
        <v>12</v>
      </c>
      <c r="E3861" s="14" t="str">
        <f t="shared" si="491"/>
        <v>L/W</v>
      </c>
      <c r="F3861" s="22"/>
      <c r="H3861" s="5" t="e">
        <f ca="1">_xlfn.FORMULATEXT(표1[[#This Row],[Q''ty]])</f>
        <v>#N/A</v>
      </c>
    </row>
    <row r="3862" spans="1:10" ht="15" hidden="1" customHeight="1" thickBot="1" x14ac:dyDescent="0.45">
      <c r="A3862" s="6">
        <v>2026</v>
      </c>
      <c r="B3862" s="6">
        <f t="shared" si="492"/>
        <v>39</v>
      </c>
      <c r="C3862" s="13" t="s">
        <v>22</v>
      </c>
      <c r="D3862" s="2" t="s">
        <v>12</v>
      </c>
      <c r="E3862" s="14" t="str">
        <f t="shared" si="491"/>
        <v>C/W</v>
      </c>
      <c r="F3862" s="22"/>
      <c r="H3862" s="5" t="e">
        <f ca="1">_xlfn.FORMULATEXT(표1[[#This Row],[Q''ty]])</f>
        <v>#N/A</v>
      </c>
    </row>
    <row r="3863" spans="1:10" ht="15" hidden="1" customHeight="1" thickTop="1" x14ac:dyDescent="0.4">
      <c r="A3863" s="9">
        <v>2026</v>
      </c>
      <c r="B3863" s="9">
        <f>B3764+1</f>
        <v>40</v>
      </c>
      <c r="C3863" s="10" t="s">
        <v>28</v>
      </c>
      <c r="D3863" s="11" t="s">
        <v>6</v>
      </c>
      <c r="E3863" s="12" t="s">
        <v>7</v>
      </c>
      <c r="F3863" s="21">
        <f t="shared" ref="F3863:F3868" si="496">F3764</f>
        <v>15</v>
      </c>
      <c r="H3863" s="5" t="str">
        <f ca="1">_xlfn.FORMULATEXT(표1[[#This Row],[Q''ty]])</f>
        <v>=F3764</v>
      </c>
    </row>
    <row r="3864" spans="1:10" s="2" customFormat="1" ht="15" hidden="1" customHeight="1" x14ac:dyDescent="0.4">
      <c r="A3864" s="6">
        <v>2026</v>
      </c>
      <c r="B3864" s="6">
        <f t="shared" ref="B3864:B3927" si="497">B3765+1</f>
        <v>40</v>
      </c>
      <c r="C3864" s="13" t="s">
        <v>23</v>
      </c>
      <c r="D3864" s="2" t="s">
        <v>6</v>
      </c>
      <c r="E3864" s="14" t="s">
        <v>8</v>
      </c>
      <c r="F3864" s="22">
        <f t="shared" si="496"/>
        <v>10</v>
      </c>
      <c r="H3864" s="5" t="str">
        <f ca="1">_xlfn.FORMULATEXT(표1[[#This Row],[Q''ty]])</f>
        <v>=F3765</v>
      </c>
      <c r="I3864" s="26"/>
      <c r="J3864" s="26"/>
    </row>
    <row r="3865" spans="1:10" s="2" customFormat="1" ht="15" hidden="1" customHeight="1" x14ac:dyDescent="0.4">
      <c r="A3865" s="6">
        <v>2026</v>
      </c>
      <c r="B3865" s="6">
        <f t="shared" si="497"/>
        <v>40</v>
      </c>
      <c r="C3865" s="13" t="s">
        <v>23</v>
      </c>
      <c r="D3865" s="2" t="s">
        <v>6</v>
      </c>
      <c r="E3865" s="14" t="s">
        <v>9</v>
      </c>
      <c r="F3865" s="22">
        <f t="shared" si="496"/>
        <v>5</v>
      </c>
      <c r="H3865" s="5" t="str">
        <f ca="1">_xlfn.FORMULATEXT(표1[[#This Row],[Q''ty]])</f>
        <v>=F3766</v>
      </c>
      <c r="I3865" s="26"/>
      <c r="J3865" s="26"/>
    </row>
    <row r="3866" spans="1:10" ht="15" hidden="1" customHeight="1" x14ac:dyDescent="0.4">
      <c r="A3866" s="6">
        <v>2026</v>
      </c>
      <c r="B3866" s="6">
        <f t="shared" si="497"/>
        <v>40</v>
      </c>
      <c r="C3866" s="13" t="s">
        <v>23</v>
      </c>
      <c r="D3866" s="2" t="s">
        <v>6</v>
      </c>
      <c r="E3866" s="14" t="s">
        <v>27</v>
      </c>
      <c r="F3866" s="22">
        <f t="shared" si="496"/>
        <v>6</v>
      </c>
      <c r="H3866" s="5" t="str">
        <f ca="1">_xlfn.FORMULATEXT(표1[[#This Row],[Q''ty]])</f>
        <v>=F3767</v>
      </c>
    </row>
    <row r="3867" spans="1:10" ht="15" hidden="1" customHeight="1" x14ac:dyDescent="0.4">
      <c r="A3867" s="6">
        <v>2026</v>
      </c>
      <c r="B3867" s="6">
        <f t="shared" si="497"/>
        <v>40</v>
      </c>
      <c r="C3867" s="13" t="s">
        <v>23</v>
      </c>
      <c r="D3867" s="2" t="s">
        <v>6</v>
      </c>
      <c r="E3867" s="14" t="s">
        <v>10</v>
      </c>
      <c r="F3867" s="22">
        <f t="shared" si="496"/>
        <v>10</v>
      </c>
      <c r="H3867" s="5" t="str">
        <f ca="1">_xlfn.FORMULATEXT(표1[[#This Row],[Q''ty]])</f>
        <v>=F3768</v>
      </c>
    </row>
    <row r="3868" spans="1:10" ht="15" hidden="1" customHeight="1" x14ac:dyDescent="0.4">
      <c r="A3868" s="6">
        <v>2026</v>
      </c>
      <c r="B3868" s="6">
        <f t="shared" si="497"/>
        <v>40</v>
      </c>
      <c r="C3868" s="13" t="s">
        <v>23</v>
      </c>
      <c r="D3868" s="2" t="s">
        <v>6</v>
      </c>
      <c r="E3868" s="14" t="s">
        <v>11</v>
      </c>
      <c r="F3868" s="22">
        <f t="shared" si="496"/>
        <v>10</v>
      </c>
      <c r="H3868" s="5" t="str">
        <f ca="1">_xlfn.FORMULATEXT(표1[[#This Row],[Q''ty]])</f>
        <v>=F3769</v>
      </c>
    </row>
    <row r="3869" spans="1:10" ht="15" hidden="1" customHeight="1" x14ac:dyDescent="0.4">
      <c r="A3869" s="6">
        <v>2026</v>
      </c>
      <c r="B3869" s="6">
        <f t="shared" si="497"/>
        <v>40</v>
      </c>
      <c r="C3869" s="13" t="s">
        <v>23</v>
      </c>
      <c r="D3869" s="2" t="s">
        <v>12</v>
      </c>
      <c r="E3869" s="14" t="s">
        <v>13</v>
      </c>
      <c r="F3869" s="22"/>
      <c r="H3869" s="5" t="e">
        <f ca="1">_xlfn.FORMULATEXT(표1[[#This Row],[Q''ty]])</f>
        <v>#N/A</v>
      </c>
    </row>
    <row r="3870" spans="1:10" s="2" customFormat="1" ht="15" hidden="1" customHeight="1" x14ac:dyDescent="0.4">
      <c r="A3870" s="6">
        <v>2026</v>
      </c>
      <c r="B3870" s="6">
        <f t="shared" si="497"/>
        <v>40</v>
      </c>
      <c r="C3870" s="13" t="s">
        <v>23</v>
      </c>
      <c r="D3870" s="2" t="s">
        <v>12</v>
      </c>
      <c r="E3870" s="14" t="s">
        <v>14</v>
      </c>
      <c r="F3870" s="22"/>
      <c r="H3870" s="5" t="e">
        <f ca="1">_xlfn.FORMULATEXT(표1[[#This Row],[Q''ty]])</f>
        <v>#N/A</v>
      </c>
      <c r="I3870" s="26"/>
      <c r="J3870" s="26"/>
    </row>
    <row r="3871" spans="1:10" ht="15" hidden="1" customHeight="1" x14ac:dyDescent="0.4">
      <c r="A3871" s="6">
        <v>2026</v>
      </c>
      <c r="B3871" s="6">
        <f t="shared" si="497"/>
        <v>40</v>
      </c>
      <c r="C3871" s="13" t="s">
        <v>23</v>
      </c>
      <c r="D3871" s="2" t="s">
        <v>12</v>
      </c>
      <c r="E3871" s="14" t="s">
        <v>15</v>
      </c>
      <c r="F3871" s="22"/>
      <c r="H3871" s="5" t="e">
        <f ca="1">_xlfn.FORMULATEXT(표1[[#This Row],[Q''ty]])</f>
        <v>#N/A</v>
      </c>
    </row>
    <row r="3872" spans="1:10" ht="15" hidden="1" customHeight="1" x14ac:dyDescent="0.4">
      <c r="A3872" s="6">
        <v>2026</v>
      </c>
      <c r="B3872" s="6">
        <f t="shared" si="497"/>
        <v>40</v>
      </c>
      <c r="C3872" s="13" t="s">
        <v>23</v>
      </c>
      <c r="D3872" s="2" t="s">
        <v>12</v>
      </c>
      <c r="E3872" s="14" t="s">
        <v>16</v>
      </c>
      <c r="F3872" s="22"/>
      <c r="H3872" s="5" t="e">
        <f ca="1">_xlfn.FORMULATEXT(표1[[#This Row],[Q''ty]])</f>
        <v>#N/A</v>
      </c>
    </row>
    <row r="3873" spans="1:10" ht="15" hidden="1" customHeight="1" thickBot="1" x14ac:dyDescent="0.45">
      <c r="A3873" s="15">
        <v>2026</v>
      </c>
      <c r="B3873" s="15">
        <f t="shared" si="497"/>
        <v>40</v>
      </c>
      <c r="C3873" s="16" t="s">
        <v>23</v>
      </c>
      <c r="D3873" s="17" t="s">
        <v>12</v>
      </c>
      <c r="E3873" s="18" t="s">
        <v>17</v>
      </c>
      <c r="F3873" s="23"/>
      <c r="H3873" s="5" t="e">
        <f ca="1">_xlfn.FORMULATEXT(표1[[#This Row],[Q''ty]])</f>
        <v>#N/A</v>
      </c>
    </row>
    <row r="3874" spans="1:10" ht="15" hidden="1" customHeight="1" thickTop="1" x14ac:dyDescent="0.4">
      <c r="A3874" s="9">
        <v>2026</v>
      </c>
      <c r="B3874" s="9">
        <f t="shared" si="497"/>
        <v>40</v>
      </c>
      <c r="C3874" s="10" t="s">
        <v>29</v>
      </c>
      <c r="D3874" s="11" t="s">
        <v>6</v>
      </c>
      <c r="E3874" s="12" t="s">
        <v>7</v>
      </c>
      <c r="F3874" s="21">
        <f t="shared" ref="F3874:F3879" si="498">F3775</f>
        <v>14</v>
      </c>
      <c r="H3874" s="5" t="str">
        <f ca="1">_xlfn.FORMULATEXT(표1[[#This Row],[Q''ty]])</f>
        <v>=F3775</v>
      </c>
    </row>
    <row r="3875" spans="1:10" s="2" customFormat="1" ht="15" hidden="1" customHeight="1" x14ac:dyDescent="0.4">
      <c r="A3875" s="6">
        <v>2026</v>
      </c>
      <c r="B3875" s="6">
        <f t="shared" si="497"/>
        <v>40</v>
      </c>
      <c r="C3875" s="13" t="s">
        <v>24</v>
      </c>
      <c r="D3875" s="2" t="s">
        <v>6</v>
      </c>
      <c r="E3875" s="14" t="s">
        <v>8</v>
      </c>
      <c r="F3875" s="22">
        <f t="shared" si="498"/>
        <v>8</v>
      </c>
      <c r="H3875" s="5" t="str">
        <f ca="1">_xlfn.FORMULATEXT(표1[[#This Row],[Q''ty]])</f>
        <v>=F3776</v>
      </c>
      <c r="I3875" s="26"/>
      <c r="J3875" s="26"/>
    </row>
    <row r="3876" spans="1:10" s="2" customFormat="1" ht="15" hidden="1" customHeight="1" x14ac:dyDescent="0.4">
      <c r="A3876" s="6">
        <v>2026</v>
      </c>
      <c r="B3876" s="6">
        <f t="shared" si="497"/>
        <v>40</v>
      </c>
      <c r="C3876" s="13" t="s">
        <v>24</v>
      </c>
      <c r="D3876" s="2" t="s">
        <v>6</v>
      </c>
      <c r="E3876" s="14" t="s">
        <v>9</v>
      </c>
      <c r="F3876" s="22">
        <f t="shared" si="498"/>
        <v>4</v>
      </c>
      <c r="H3876" s="5" t="str">
        <f ca="1">_xlfn.FORMULATEXT(표1[[#This Row],[Q''ty]])</f>
        <v>=F3777</v>
      </c>
      <c r="I3876" s="26"/>
      <c r="J3876" s="26"/>
    </row>
    <row r="3877" spans="1:10" ht="15" hidden="1" customHeight="1" x14ac:dyDescent="0.4">
      <c r="A3877" s="6">
        <v>2026</v>
      </c>
      <c r="B3877" s="6">
        <f t="shared" si="497"/>
        <v>40</v>
      </c>
      <c r="C3877" s="13" t="s">
        <v>24</v>
      </c>
      <c r="D3877" s="2" t="s">
        <v>6</v>
      </c>
      <c r="E3877" s="14" t="s">
        <v>27</v>
      </c>
      <c r="F3877" s="22">
        <f t="shared" si="498"/>
        <v>3</v>
      </c>
      <c r="H3877" s="5" t="str">
        <f ca="1">_xlfn.FORMULATEXT(표1[[#This Row],[Q''ty]])</f>
        <v>=F3778</v>
      </c>
    </row>
    <row r="3878" spans="1:10" ht="15" hidden="1" customHeight="1" x14ac:dyDescent="0.4">
      <c r="A3878" s="6">
        <v>2026</v>
      </c>
      <c r="B3878" s="6">
        <f t="shared" si="497"/>
        <v>40</v>
      </c>
      <c r="C3878" s="13" t="s">
        <v>24</v>
      </c>
      <c r="D3878" s="2" t="s">
        <v>6</v>
      </c>
      <c r="E3878" s="14" t="s">
        <v>10</v>
      </c>
      <c r="F3878" s="22">
        <f t="shared" si="498"/>
        <v>6</v>
      </c>
      <c r="H3878" s="5" t="str">
        <f ca="1">_xlfn.FORMULATEXT(표1[[#This Row],[Q''ty]])</f>
        <v>=F3779</v>
      </c>
    </row>
    <row r="3879" spans="1:10" ht="15" hidden="1" customHeight="1" x14ac:dyDescent="0.4">
      <c r="A3879" s="6">
        <v>2026</v>
      </c>
      <c r="B3879" s="6">
        <f t="shared" si="497"/>
        <v>40</v>
      </c>
      <c r="C3879" s="13" t="s">
        <v>24</v>
      </c>
      <c r="D3879" s="2" t="s">
        <v>6</v>
      </c>
      <c r="E3879" s="14" t="s">
        <v>11</v>
      </c>
      <c r="F3879" s="22">
        <f t="shared" si="498"/>
        <v>8.8000000000000007</v>
      </c>
      <c r="H3879" s="5" t="str">
        <f ca="1">_xlfn.FORMULATEXT(표1[[#This Row],[Q''ty]])</f>
        <v>=F3780</v>
      </c>
    </row>
    <row r="3880" spans="1:10" ht="15" hidden="1" customHeight="1" x14ac:dyDescent="0.4">
      <c r="A3880" s="6">
        <v>2026</v>
      </c>
      <c r="B3880" s="6">
        <f t="shared" si="497"/>
        <v>40</v>
      </c>
      <c r="C3880" s="13" t="s">
        <v>24</v>
      </c>
      <c r="D3880" s="2" t="s">
        <v>12</v>
      </c>
      <c r="E3880" s="14" t="s">
        <v>13</v>
      </c>
      <c r="F3880" s="22"/>
      <c r="H3880" s="5" t="e">
        <f ca="1">_xlfn.FORMULATEXT(표1[[#This Row],[Q''ty]])</f>
        <v>#N/A</v>
      </c>
    </row>
    <row r="3881" spans="1:10" s="2" customFormat="1" ht="15" hidden="1" customHeight="1" x14ac:dyDescent="0.4">
      <c r="A3881" s="6">
        <v>2026</v>
      </c>
      <c r="B3881" s="6">
        <f t="shared" si="497"/>
        <v>40</v>
      </c>
      <c r="C3881" s="13" t="s">
        <v>24</v>
      </c>
      <c r="D3881" s="2" t="s">
        <v>12</v>
      </c>
      <c r="E3881" s="14" t="s">
        <v>14</v>
      </c>
      <c r="F3881" s="22"/>
      <c r="H3881" s="5" t="e">
        <f ca="1">_xlfn.FORMULATEXT(표1[[#This Row],[Q''ty]])</f>
        <v>#N/A</v>
      </c>
      <c r="I3881" s="26"/>
      <c r="J3881" s="26"/>
    </row>
    <row r="3882" spans="1:10" ht="15" hidden="1" customHeight="1" x14ac:dyDescent="0.4">
      <c r="A3882" s="6">
        <v>2026</v>
      </c>
      <c r="B3882" s="6">
        <f t="shared" si="497"/>
        <v>40</v>
      </c>
      <c r="C3882" s="13" t="s">
        <v>24</v>
      </c>
      <c r="D3882" s="2" t="s">
        <v>12</v>
      </c>
      <c r="E3882" s="14" t="s">
        <v>15</v>
      </c>
      <c r="F3882" s="22"/>
      <c r="H3882" s="5" t="e">
        <f ca="1">_xlfn.FORMULATEXT(표1[[#This Row],[Q''ty]])</f>
        <v>#N/A</v>
      </c>
    </row>
    <row r="3883" spans="1:10" ht="15" hidden="1" customHeight="1" x14ac:dyDescent="0.4">
      <c r="A3883" s="6">
        <v>2026</v>
      </c>
      <c r="B3883" s="6">
        <f t="shared" si="497"/>
        <v>40</v>
      </c>
      <c r="C3883" s="13" t="s">
        <v>24</v>
      </c>
      <c r="D3883" s="2" t="s">
        <v>12</v>
      </c>
      <c r="E3883" s="14" t="s">
        <v>16</v>
      </c>
      <c r="F3883" s="22"/>
      <c r="H3883" s="5" t="e">
        <f ca="1">_xlfn.FORMULATEXT(표1[[#This Row],[Q''ty]])</f>
        <v>#N/A</v>
      </c>
    </row>
    <row r="3884" spans="1:10" ht="15" hidden="1" customHeight="1" thickBot="1" x14ac:dyDescent="0.45">
      <c r="A3884" s="15">
        <v>2026</v>
      </c>
      <c r="B3884" s="15">
        <f t="shared" si="497"/>
        <v>40</v>
      </c>
      <c r="C3884" s="16" t="s">
        <v>24</v>
      </c>
      <c r="D3884" s="17" t="s">
        <v>12</v>
      </c>
      <c r="E3884" s="18" t="s">
        <v>17</v>
      </c>
      <c r="F3884" s="23"/>
      <c r="H3884" s="5" t="e">
        <f ca="1">_xlfn.FORMULATEXT(표1[[#This Row],[Q''ty]])</f>
        <v>#N/A</v>
      </c>
    </row>
    <row r="3885" spans="1:10" ht="15" hidden="1" customHeight="1" thickTop="1" x14ac:dyDescent="0.4">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10" ht="15" hidden="1" customHeight="1" x14ac:dyDescent="0.4">
      <c r="A3886" s="6">
        <v>2026</v>
      </c>
      <c r="B3886" s="6">
        <f t="shared" si="497"/>
        <v>40</v>
      </c>
      <c r="C3886" s="13" t="s">
        <v>18</v>
      </c>
      <c r="D3886" s="2" t="s">
        <v>6</v>
      </c>
      <c r="E3886" s="14" t="str">
        <f t="shared" si="499"/>
        <v>Paint Booth</v>
      </c>
      <c r="F3886" s="22">
        <f t="shared" si="499"/>
        <v>3</v>
      </c>
      <c r="H3886" s="5" t="str">
        <f ca="1">_xlfn.FORMULATEXT(표1[[#This Row],[Q''ty]])</f>
        <v>=F3787</v>
      </c>
    </row>
    <row r="3887" spans="1:10" ht="15" hidden="1" customHeight="1" x14ac:dyDescent="0.4">
      <c r="A3887" s="6">
        <v>2026</v>
      </c>
      <c r="B3887" s="6">
        <f t="shared" si="497"/>
        <v>40</v>
      </c>
      <c r="C3887" s="13" t="s">
        <v>18</v>
      </c>
      <c r="D3887" s="2" t="s">
        <v>6</v>
      </c>
      <c r="E3887" s="14" t="str">
        <f t="shared" si="499"/>
        <v>Paint Line</v>
      </c>
      <c r="F3887" s="22">
        <f t="shared" si="499"/>
        <v>2</v>
      </c>
      <c r="H3887" s="5" t="str">
        <f ca="1">_xlfn.FORMULATEXT(표1[[#This Row],[Q''ty]])</f>
        <v>=F3788</v>
      </c>
    </row>
    <row r="3888" spans="1:10" ht="15" hidden="1" customHeight="1" x14ac:dyDescent="0.4">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hidden="1" customHeight="1" x14ac:dyDescent="0.4">
      <c r="A3889" s="6">
        <v>2026</v>
      </c>
      <c r="B3889" s="6">
        <f t="shared" si="497"/>
        <v>40</v>
      </c>
      <c r="C3889" s="13" t="s">
        <v>18</v>
      </c>
      <c r="D3889" s="2" t="s">
        <v>6</v>
      </c>
      <c r="E3889" s="14" t="str">
        <f t="shared" si="499"/>
        <v>L/W Machine</v>
      </c>
      <c r="F3889" s="22">
        <f t="shared" si="499"/>
        <v>2</v>
      </c>
      <c r="H3889" s="5" t="str">
        <f ca="1">_xlfn.FORMULATEXT(표1[[#This Row],[Q''ty]])</f>
        <v>=F3790</v>
      </c>
    </row>
    <row r="3890" spans="1:8" ht="15" hidden="1" customHeight="1" x14ac:dyDescent="0.4">
      <c r="A3890" s="6">
        <v>2026</v>
      </c>
      <c r="B3890" s="6">
        <f t="shared" si="497"/>
        <v>40</v>
      </c>
      <c r="C3890" s="13" t="s">
        <v>18</v>
      </c>
      <c r="D3890" s="2" t="s">
        <v>6</v>
      </c>
      <c r="E3890" s="14" t="str">
        <f t="shared" si="499"/>
        <v>C/W Machine</v>
      </c>
      <c r="F3890" s="22">
        <f t="shared" si="499"/>
        <v>3</v>
      </c>
      <c r="H3890" s="5" t="str">
        <f ca="1">_xlfn.FORMULATEXT(표1[[#This Row],[Q''ty]])</f>
        <v>=F3791</v>
      </c>
    </row>
    <row r="3891" spans="1:8" ht="15" hidden="1" customHeight="1" x14ac:dyDescent="0.4">
      <c r="A3891" s="6">
        <v>2026</v>
      </c>
      <c r="B3891" s="6">
        <f t="shared" si="497"/>
        <v>40</v>
      </c>
      <c r="C3891" s="13" t="s">
        <v>18</v>
      </c>
      <c r="D3891" s="2" t="s">
        <v>12</v>
      </c>
      <c r="E3891" s="14" t="str">
        <f t="shared" ref="E3891:E3906" si="500">E3792</f>
        <v>BT GT</v>
      </c>
      <c r="F3891" s="22"/>
      <c r="H3891" s="5" t="e">
        <f ca="1">_xlfn.FORMULATEXT(표1[[#This Row],[Q''ty]])</f>
        <v>#N/A</v>
      </c>
    </row>
    <row r="3892" spans="1:8" ht="15" hidden="1" customHeight="1" x14ac:dyDescent="0.4">
      <c r="A3892" s="6">
        <v>2026</v>
      </c>
      <c r="B3892" s="6">
        <f t="shared" si="497"/>
        <v>40</v>
      </c>
      <c r="C3892" s="13" t="s">
        <v>18</v>
      </c>
      <c r="D3892" s="2" t="s">
        <v>12</v>
      </c>
      <c r="E3892" s="14" t="str">
        <f t="shared" si="500"/>
        <v>WT GT</v>
      </c>
      <c r="F3892" s="22"/>
      <c r="H3892" s="5" t="e">
        <f ca="1">_xlfn.FORMULATEXT(표1[[#This Row],[Q''ty]])</f>
        <v>#N/A</v>
      </c>
    </row>
    <row r="3893" spans="1:8" ht="15" hidden="1" customHeight="1" x14ac:dyDescent="0.4">
      <c r="A3893" s="6">
        <v>2026</v>
      </c>
      <c r="B3893" s="6">
        <f t="shared" si="497"/>
        <v>40</v>
      </c>
      <c r="C3893" s="13" t="s">
        <v>18</v>
      </c>
      <c r="D3893" s="2" t="s">
        <v>12</v>
      </c>
      <c r="E3893" s="14" t="str">
        <f t="shared" si="500"/>
        <v>Bending</v>
      </c>
      <c r="F3893" s="22"/>
      <c r="H3893" s="5" t="e">
        <f ca="1">_xlfn.FORMULATEXT(표1[[#This Row],[Q''ty]])</f>
        <v>#N/A</v>
      </c>
    </row>
    <row r="3894" spans="1:8" ht="15" hidden="1" customHeight="1" x14ac:dyDescent="0.4">
      <c r="A3894" s="6">
        <v>2026</v>
      </c>
      <c r="B3894" s="6">
        <f t="shared" si="497"/>
        <v>40</v>
      </c>
      <c r="C3894" s="13" t="s">
        <v>18</v>
      </c>
      <c r="D3894" s="2" t="s">
        <v>12</v>
      </c>
      <c r="E3894" s="14" t="str">
        <f t="shared" si="500"/>
        <v>L/W</v>
      </c>
      <c r="F3894" s="22"/>
      <c r="H3894" s="5" t="e">
        <f ca="1">_xlfn.FORMULATEXT(표1[[#This Row],[Q''ty]])</f>
        <v>#N/A</v>
      </c>
    </row>
    <row r="3895" spans="1:8" ht="15" hidden="1" customHeight="1" thickBot="1" x14ac:dyDescent="0.45">
      <c r="A3895" s="15">
        <v>2026</v>
      </c>
      <c r="B3895" s="15">
        <f t="shared" si="497"/>
        <v>40</v>
      </c>
      <c r="C3895" s="16" t="s">
        <v>18</v>
      </c>
      <c r="D3895" s="17" t="s">
        <v>12</v>
      </c>
      <c r="E3895" s="18" t="str">
        <f t="shared" si="500"/>
        <v>C/W</v>
      </c>
      <c r="F3895" s="23"/>
      <c r="H3895" s="5" t="e">
        <f ca="1">_xlfn.FORMULATEXT(표1[[#This Row],[Q''ty]])</f>
        <v>#N/A</v>
      </c>
    </row>
    <row r="3896" spans="1:8" ht="15" hidden="1" customHeight="1" thickTop="1" x14ac:dyDescent="0.4">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hidden="1" customHeight="1" x14ac:dyDescent="0.4">
      <c r="A3897" s="6">
        <v>2026</v>
      </c>
      <c r="B3897" s="6">
        <f t="shared" si="497"/>
        <v>40</v>
      </c>
      <c r="C3897" s="13" t="s">
        <v>19</v>
      </c>
      <c r="D3897" s="2" t="s">
        <v>6</v>
      </c>
      <c r="E3897" s="14" t="str">
        <f t="shared" si="500"/>
        <v>Paint Booth</v>
      </c>
      <c r="F3897" s="22">
        <f t="shared" si="501"/>
        <v>22</v>
      </c>
      <c r="H3897" s="5" t="str">
        <f ca="1">_xlfn.FORMULATEXT(표1[[#This Row],[Q''ty]])</f>
        <v>=F3798</v>
      </c>
    </row>
    <row r="3898" spans="1:8" ht="15" hidden="1" customHeight="1" x14ac:dyDescent="0.4">
      <c r="A3898" s="6">
        <v>2026</v>
      </c>
      <c r="B3898" s="6">
        <f t="shared" si="497"/>
        <v>40</v>
      </c>
      <c r="C3898" s="13" t="s">
        <v>19</v>
      </c>
      <c r="D3898" s="2" t="s">
        <v>6</v>
      </c>
      <c r="E3898" s="14" t="str">
        <f t="shared" si="500"/>
        <v>Paint Line</v>
      </c>
      <c r="F3898" s="22">
        <f t="shared" si="501"/>
        <v>6</v>
      </c>
      <c r="H3898" s="5" t="str">
        <f ca="1">_xlfn.FORMULATEXT(표1[[#This Row],[Q''ty]])</f>
        <v>=F3799</v>
      </c>
    </row>
    <row r="3899" spans="1:8" ht="15" hidden="1" customHeight="1" x14ac:dyDescent="0.4">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hidden="1" customHeight="1" x14ac:dyDescent="0.4">
      <c r="A3900" s="6">
        <v>2026</v>
      </c>
      <c r="B3900" s="6">
        <f t="shared" si="497"/>
        <v>40</v>
      </c>
      <c r="C3900" s="13" t="s">
        <v>19</v>
      </c>
      <c r="D3900" s="2" t="s">
        <v>6</v>
      </c>
      <c r="E3900" s="14" t="str">
        <f t="shared" si="500"/>
        <v>L/W Machine</v>
      </c>
      <c r="F3900" s="22">
        <f t="shared" si="501"/>
        <v>10</v>
      </c>
      <c r="H3900" s="5" t="str">
        <f ca="1">_xlfn.FORMULATEXT(표1[[#This Row],[Q''ty]])</f>
        <v>=F3801</v>
      </c>
    </row>
    <row r="3901" spans="1:8" ht="15" hidden="1" customHeight="1" x14ac:dyDescent="0.4">
      <c r="A3901" s="6">
        <v>2026</v>
      </c>
      <c r="B3901" s="6">
        <f t="shared" si="497"/>
        <v>40</v>
      </c>
      <c r="C3901" s="13" t="s">
        <v>19</v>
      </c>
      <c r="D3901" s="2" t="s">
        <v>6</v>
      </c>
      <c r="E3901" s="14" t="str">
        <f t="shared" si="500"/>
        <v>C/W Machine</v>
      </c>
      <c r="F3901" s="22">
        <f t="shared" si="501"/>
        <v>12</v>
      </c>
      <c r="H3901" s="5" t="str">
        <f ca="1">_xlfn.FORMULATEXT(표1[[#This Row],[Q''ty]])</f>
        <v>=F3802</v>
      </c>
    </row>
    <row r="3902" spans="1:8" ht="15" hidden="1" customHeight="1" x14ac:dyDescent="0.4">
      <c r="A3902" s="6">
        <v>2026</v>
      </c>
      <c r="B3902" s="6">
        <f t="shared" si="497"/>
        <v>40</v>
      </c>
      <c r="C3902" s="13" t="s">
        <v>19</v>
      </c>
      <c r="D3902" s="2" t="s">
        <v>12</v>
      </c>
      <c r="E3902" s="14" t="str">
        <f t="shared" si="500"/>
        <v>BT GT</v>
      </c>
      <c r="F3902" s="22"/>
      <c r="H3902" s="5" t="e">
        <f ca="1">_xlfn.FORMULATEXT(표1[[#This Row],[Q''ty]])</f>
        <v>#N/A</v>
      </c>
    </row>
    <row r="3903" spans="1:8" ht="15" hidden="1" customHeight="1" x14ac:dyDescent="0.4">
      <c r="A3903" s="6">
        <v>2026</v>
      </c>
      <c r="B3903" s="6">
        <f t="shared" si="497"/>
        <v>40</v>
      </c>
      <c r="C3903" s="13" t="s">
        <v>19</v>
      </c>
      <c r="D3903" s="2" t="s">
        <v>12</v>
      </c>
      <c r="E3903" s="14" t="str">
        <f t="shared" si="500"/>
        <v>WT GT</v>
      </c>
      <c r="F3903" s="22"/>
      <c r="H3903" s="5" t="e">
        <f ca="1">_xlfn.FORMULATEXT(표1[[#This Row],[Q''ty]])</f>
        <v>#N/A</v>
      </c>
    </row>
    <row r="3904" spans="1:8" ht="15" hidden="1" customHeight="1" x14ac:dyDescent="0.4">
      <c r="A3904" s="6">
        <v>2026</v>
      </c>
      <c r="B3904" s="6">
        <f t="shared" si="497"/>
        <v>40</v>
      </c>
      <c r="C3904" s="13" t="s">
        <v>19</v>
      </c>
      <c r="D3904" s="2" t="s">
        <v>12</v>
      </c>
      <c r="E3904" s="14" t="str">
        <f t="shared" si="500"/>
        <v>Bending</v>
      </c>
      <c r="F3904" s="22"/>
      <c r="H3904" s="5" t="e">
        <f ca="1">_xlfn.FORMULATEXT(표1[[#This Row],[Q''ty]])</f>
        <v>#N/A</v>
      </c>
    </row>
    <row r="3905" spans="1:8" ht="15" hidden="1" customHeight="1" x14ac:dyDescent="0.4">
      <c r="A3905" s="6">
        <v>2026</v>
      </c>
      <c r="B3905" s="6">
        <f t="shared" si="497"/>
        <v>40</v>
      </c>
      <c r="C3905" s="13" t="s">
        <v>19</v>
      </c>
      <c r="D3905" s="2" t="s">
        <v>12</v>
      </c>
      <c r="E3905" s="14" t="str">
        <f t="shared" si="500"/>
        <v>L/W</v>
      </c>
      <c r="F3905" s="22"/>
      <c r="H3905" s="5" t="e">
        <f ca="1">_xlfn.FORMULATEXT(표1[[#This Row],[Q''ty]])</f>
        <v>#N/A</v>
      </c>
    </row>
    <row r="3906" spans="1:8" ht="15" hidden="1" customHeight="1" thickBot="1" x14ac:dyDescent="0.45">
      <c r="A3906" s="15">
        <v>2026</v>
      </c>
      <c r="B3906" s="15">
        <f t="shared" si="497"/>
        <v>40</v>
      </c>
      <c r="C3906" s="16" t="s">
        <v>19</v>
      </c>
      <c r="D3906" s="17" t="s">
        <v>12</v>
      </c>
      <c r="E3906" s="18" t="str">
        <f t="shared" si="500"/>
        <v>C/W</v>
      </c>
      <c r="F3906" s="23"/>
      <c r="H3906" s="5" t="e">
        <f ca="1">_xlfn.FORMULATEXT(표1[[#This Row],[Q''ty]])</f>
        <v>#N/A</v>
      </c>
    </row>
    <row r="3907" spans="1:8" ht="15" hidden="1" customHeight="1" thickTop="1" x14ac:dyDescent="0.4">
      <c r="A3907" s="6">
        <v>2026</v>
      </c>
      <c r="B3907" s="6">
        <f t="shared" si="497"/>
        <v>40</v>
      </c>
      <c r="C3907" s="13" t="s">
        <v>25</v>
      </c>
      <c r="D3907" s="2" t="s">
        <v>6</v>
      </c>
      <c r="E3907" s="14" t="s">
        <v>7</v>
      </c>
      <c r="F3907" s="22">
        <f t="shared" ref="F3907:F3912" si="502">F3808</f>
        <v>3</v>
      </c>
      <c r="H3907" s="5" t="str">
        <f ca="1">_xlfn.FORMULATEXT(표1[[#This Row],[Q''ty]])</f>
        <v>=F3808</v>
      </c>
    </row>
    <row r="3908" spans="1:8" ht="15" hidden="1" customHeight="1" x14ac:dyDescent="0.4">
      <c r="A3908" s="6">
        <v>2026</v>
      </c>
      <c r="B3908" s="6">
        <f t="shared" si="497"/>
        <v>40</v>
      </c>
      <c r="C3908" s="13" t="s">
        <v>25</v>
      </c>
      <c r="D3908" s="2" t="s">
        <v>6</v>
      </c>
      <c r="E3908" s="14" t="s">
        <v>8</v>
      </c>
      <c r="F3908" s="22">
        <f t="shared" si="502"/>
        <v>3</v>
      </c>
      <c r="H3908" s="5" t="str">
        <f ca="1">_xlfn.FORMULATEXT(표1[[#This Row],[Q''ty]])</f>
        <v>=F3809</v>
      </c>
    </row>
    <row r="3909" spans="1:8" ht="15" hidden="1" customHeight="1" x14ac:dyDescent="0.4">
      <c r="A3909" s="6">
        <v>2026</v>
      </c>
      <c r="B3909" s="6">
        <f t="shared" si="497"/>
        <v>40</v>
      </c>
      <c r="C3909" s="13" t="s">
        <v>25</v>
      </c>
      <c r="D3909" s="2" t="s">
        <v>6</v>
      </c>
      <c r="E3909" s="14" t="s">
        <v>9</v>
      </c>
      <c r="F3909" s="22">
        <f t="shared" si="502"/>
        <v>2</v>
      </c>
      <c r="H3909" s="5" t="str">
        <f ca="1">_xlfn.FORMULATEXT(표1[[#This Row],[Q''ty]])</f>
        <v>=F3810</v>
      </c>
    </row>
    <row r="3910" spans="1:8" ht="15" hidden="1" customHeight="1" x14ac:dyDescent="0.4">
      <c r="A3910" s="6">
        <v>2026</v>
      </c>
      <c r="B3910" s="6">
        <f t="shared" si="497"/>
        <v>40</v>
      </c>
      <c r="C3910" s="13" t="s">
        <v>25</v>
      </c>
      <c r="D3910" s="2" t="s">
        <v>6</v>
      </c>
      <c r="E3910" s="14" t="s">
        <v>27</v>
      </c>
      <c r="F3910" s="22">
        <f t="shared" si="502"/>
        <v>2</v>
      </c>
      <c r="H3910" s="5" t="str">
        <f ca="1">_xlfn.FORMULATEXT(표1[[#This Row],[Q''ty]])</f>
        <v>=F3811</v>
      </c>
    </row>
    <row r="3911" spans="1:8" ht="15" hidden="1" customHeight="1" x14ac:dyDescent="0.4">
      <c r="A3911" s="6">
        <v>2026</v>
      </c>
      <c r="B3911" s="6">
        <f t="shared" si="497"/>
        <v>40</v>
      </c>
      <c r="C3911" s="13" t="s">
        <v>25</v>
      </c>
      <c r="D3911" s="2" t="s">
        <v>6</v>
      </c>
      <c r="E3911" s="14" t="s">
        <v>10</v>
      </c>
      <c r="F3911" s="22">
        <f t="shared" si="502"/>
        <v>3</v>
      </c>
      <c r="H3911" s="5" t="str">
        <f ca="1">_xlfn.FORMULATEXT(표1[[#This Row],[Q''ty]])</f>
        <v>=F3812</v>
      </c>
    </row>
    <row r="3912" spans="1:8" ht="15" hidden="1" customHeight="1" x14ac:dyDescent="0.4">
      <c r="A3912" s="6">
        <v>2026</v>
      </c>
      <c r="B3912" s="6">
        <f t="shared" si="497"/>
        <v>40</v>
      </c>
      <c r="C3912" s="13" t="s">
        <v>25</v>
      </c>
      <c r="D3912" s="2" t="s">
        <v>6</v>
      </c>
      <c r="E3912" s="14" t="s">
        <v>11</v>
      </c>
      <c r="F3912" s="22">
        <f t="shared" si="502"/>
        <v>4</v>
      </c>
      <c r="H3912" s="5" t="str">
        <f ca="1">_xlfn.FORMULATEXT(표1[[#This Row],[Q''ty]])</f>
        <v>=F3813</v>
      </c>
    </row>
    <row r="3913" spans="1:8" ht="15" hidden="1" customHeight="1" x14ac:dyDescent="0.4">
      <c r="A3913" s="6">
        <v>2026</v>
      </c>
      <c r="B3913" s="6">
        <f t="shared" si="497"/>
        <v>40</v>
      </c>
      <c r="C3913" s="13" t="s">
        <v>25</v>
      </c>
      <c r="D3913" s="2" t="s">
        <v>12</v>
      </c>
      <c r="E3913" s="14" t="s">
        <v>13</v>
      </c>
      <c r="F3913" s="22"/>
      <c r="H3913" s="5" t="e">
        <f ca="1">_xlfn.FORMULATEXT(표1[[#This Row],[Q''ty]])</f>
        <v>#N/A</v>
      </c>
    </row>
    <row r="3914" spans="1:8" ht="15" hidden="1" customHeight="1" x14ac:dyDescent="0.4">
      <c r="A3914" s="6">
        <v>2026</v>
      </c>
      <c r="B3914" s="6">
        <f t="shared" si="497"/>
        <v>40</v>
      </c>
      <c r="C3914" s="13" t="s">
        <v>25</v>
      </c>
      <c r="D3914" s="2" t="s">
        <v>12</v>
      </c>
      <c r="E3914" s="14" t="s">
        <v>14</v>
      </c>
      <c r="F3914" s="22"/>
      <c r="H3914" s="5" t="e">
        <f ca="1">_xlfn.FORMULATEXT(표1[[#This Row],[Q''ty]])</f>
        <v>#N/A</v>
      </c>
    </row>
    <row r="3915" spans="1:8" ht="15" hidden="1" customHeight="1" x14ac:dyDescent="0.4">
      <c r="A3915" s="6">
        <v>2026</v>
      </c>
      <c r="B3915" s="6">
        <f t="shared" si="497"/>
        <v>40</v>
      </c>
      <c r="C3915" s="13" t="s">
        <v>25</v>
      </c>
      <c r="D3915" s="2" t="s">
        <v>12</v>
      </c>
      <c r="E3915" s="14" t="s">
        <v>15</v>
      </c>
      <c r="F3915" s="22"/>
      <c r="H3915" s="5" t="e">
        <f ca="1">_xlfn.FORMULATEXT(표1[[#This Row],[Q''ty]])</f>
        <v>#N/A</v>
      </c>
    </row>
    <row r="3916" spans="1:8" ht="15" hidden="1" customHeight="1" x14ac:dyDescent="0.4">
      <c r="A3916" s="6">
        <v>2026</v>
      </c>
      <c r="B3916" s="6">
        <f t="shared" si="497"/>
        <v>40</v>
      </c>
      <c r="C3916" s="13" t="s">
        <v>25</v>
      </c>
      <c r="D3916" s="2" t="s">
        <v>12</v>
      </c>
      <c r="E3916" s="14" t="s">
        <v>16</v>
      </c>
      <c r="F3916" s="22"/>
      <c r="H3916" s="5" t="e">
        <f ca="1">_xlfn.FORMULATEXT(표1[[#This Row],[Q''ty]])</f>
        <v>#N/A</v>
      </c>
    </row>
    <row r="3917" spans="1:8" ht="15" hidden="1" customHeight="1" thickBot="1" x14ac:dyDescent="0.45">
      <c r="A3917" s="15">
        <v>2026</v>
      </c>
      <c r="B3917" s="15">
        <f t="shared" si="497"/>
        <v>40</v>
      </c>
      <c r="C3917" s="16" t="s">
        <v>25</v>
      </c>
      <c r="D3917" s="17" t="s">
        <v>12</v>
      </c>
      <c r="E3917" s="18" t="s">
        <v>17</v>
      </c>
      <c r="F3917" s="23"/>
      <c r="H3917" s="5" t="e">
        <f ca="1">_xlfn.FORMULATEXT(표1[[#This Row],[Q''ty]])</f>
        <v>#N/A</v>
      </c>
    </row>
    <row r="3918" spans="1:8" ht="15" hidden="1" customHeight="1" thickTop="1" x14ac:dyDescent="0.4">
      <c r="A3918" s="6">
        <v>2026</v>
      </c>
      <c r="B3918" s="6">
        <f t="shared" si="497"/>
        <v>40</v>
      </c>
      <c r="C3918" s="13" t="s">
        <v>26</v>
      </c>
      <c r="D3918" s="2" t="s">
        <v>6</v>
      </c>
      <c r="E3918" s="14" t="s">
        <v>7</v>
      </c>
      <c r="F3918" s="22">
        <f t="shared" ref="F3918:F3923" si="503">F3819</f>
        <v>6</v>
      </c>
      <c r="H3918" s="5" t="str">
        <f ca="1">_xlfn.FORMULATEXT(표1[[#This Row],[Q''ty]])</f>
        <v>=F3819</v>
      </c>
    </row>
    <row r="3919" spans="1:8" ht="15" hidden="1" customHeight="1" x14ac:dyDescent="0.4">
      <c r="A3919" s="6">
        <v>2026</v>
      </c>
      <c r="B3919" s="6">
        <f t="shared" si="497"/>
        <v>40</v>
      </c>
      <c r="C3919" s="13" t="s">
        <v>26</v>
      </c>
      <c r="D3919" s="2" t="s">
        <v>6</v>
      </c>
      <c r="E3919" s="14" t="s">
        <v>8</v>
      </c>
      <c r="F3919" s="22">
        <f t="shared" si="503"/>
        <v>4</v>
      </c>
      <c r="H3919" s="5" t="str">
        <f ca="1">_xlfn.FORMULATEXT(표1[[#This Row],[Q''ty]])</f>
        <v>=F3820</v>
      </c>
    </row>
    <row r="3920" spans="1:8" ht="15" hidden="1" customHeight="1" x14ac:dyDescent="0.4">
      <c r="A3920" s="6">
        <v>2026</v>
      </c>
      <c r="B3920" s="6">
        <f t="shared" si="497"/>
        <v>40</v>
      </c>
      <c r="C3920" s="13" t="s">
        <v>26</v>
      </c>
      <c r="D3920" s="2" t="s">
        <v>6</v>
      </c>
      <c r="E3920" s="14" t="s">
        <v>9</v>
      </c>
      <c r="F3920" s="22">
        <f t="shared" si="503"/>
        <v>2</v>
      </c>
      <c r="H3920" s="5" t="str">
        <f ca="1">_xlfn.FORMULATEXT(표1[[#This Row],[Q''ty]])</f>
        <v>=F3821</v>
      </c>
    </row>
    <row r="3921" spans="1:8" ht="15" hidden="1" customHeight="1" x14ac:dyDescent="0.4">
      <c r="A3921" s="6">
        <v>2026</v>
      </c>
      <c r="B3921" s="6">
        <f t="shared" si="497"/>
        <v>40</v>
      </c>
      <c r="C3921" s="13" t="s">
        <v>26</v>
      </c>
      <c r="D3921" s="2" t="s">
        <v>6</v>
      </c>
      <c r="E3921" s="14" t="s">
        <v>27</v>
      </c>
      <c r="F3921" s="22">
        <f t="shared" si="503"/>
        <v>3</v>
      </c>
      <c r="H3921" s="5" t="str">
        <f ca="1">_xlfn.FORMULATEXT(표1[[#This Row],[Q''ty]])</f>
        <v>=F3822</v>
      </c>
    </row>
    <row r="3922" spans="1:8" ht="15" hidden="1" customHeight="1" x14ac:dyDescent="0.4">
      <c r="A3922" s="6">
        <v>2026</v>
      </c>
      <c r="B3922" s="6">
        <f t="shared" si="497"/>
        <v>40</v>
      </c>
      <c r="C3922" s="13" t="s">
        <v>26</v>
      </c>
      <c r="D3922" s="2" t="s">
        <v>6</v>
      </c>
      <c r="E3922" s="14" t="s">
        <v>10</v>
      </c>
      <c r="F3922" s="22">
        <f t="shared" si="503"/>
        <v>4</v>
      </c>
      <c r="H3922" s="5" t="str">
        <f ca="1">_xlfn.FORMULATEXT(표1[[#This Row],[Q''ty]])</f>
        <v>=F3823</v>
      </c>
    </row>
    <row r="3923" spans="1:8" ht="15" hidden="1" customHeight="1" x14ac:dyDescent="0.4">
      <c r="A3923" s="6">
        <v>2026</v>
      </c>
      <c r="B3923" s="6">
        <f t="shared" si="497"/>
        <v>40</v>
      </c>
      <c r="C3923" s="13" t="s">
        <v>26</v>
      </c>
      <c r="D3923" s="2" t="s">
        <v>6</v>
      </c>
      <c r="E3923" s="14" t="s">
        <v>11</v>
      </c>
      <c r="F3923" s="22">
        <f t="shared" si="503"/>
        <v>6</v>
      </c>
      <c r="H3923" s="5" t="str">
        <f ca="1">_xlfn.FORMULATEXT(표1[[#This Row],[Q''ty]])</f>
        <v>=F3824</v>
      </c>
    </row>
    <row r="3924" spans="1:8" ht="15" hidden="1" customHeight="1" x14ac:dyDescent="0.4">
      <c r="A3924" s="6">
        <v>2026</v>
      </c>
      <c r="B3924" s="6">
        <f t="shared" si="497"/>
        <v>40</v>
      </c>
      <c r="C3924" s="13" t="s">
        <v>26</v>
      </c>
      <c r="D3924" s="2" t="s">
        <v>12</v>
      </c>
      <c r="E3924" s="14" t="str">
        <f t="shared" ref="E3924:E3961" si="504">E3825</f>
        <v>BT GT</v>
      </c>
      <c r="F3924" s="22"/>
      <c r="H3924" s="5" t="e">
        <f ca="1">_xlfn.FORMULATEXT(표1[[#This Row],[Q''ty]])</f>
        <v>#N/A</v>
      </c>
    </row>
    <row r="3925" spans="1:8" ht="15" hidden="1" customHeight="1" x14ac:dyDescent="0.4">
      <c r="A3925" s="6">
        <v>2026</v>
      </c>
      <c r="B3925" s="6">
        <f t="shared" si="497"/>
        <v>40</v>
      </c>
      <c r="C3925" s="13" t="s">
        <v>26</v>
      </c>
      <c r="D3925" s="2" t="s">
        <v>12</v>
      </c>
      <c r="E3925" s="14" t="str">
        <f t="shared" si="504"/>
        <v>WT GT</v>
      </c>
      <c r="F3925" s="22"/>
      <c r="H3925" s="5" t="e">
        <f ca="1">_xlfn.FORMULATEXT(표1[[#This Row],[Q''ty]])</f>
        <v>#N/A</v>
      </c>
    </row>
    <row r="3926" spans="1:8" ht="15" hidden="1" customHeight="1" x14ac:dyDescent="0.4">
      <c r="A3926" s="6">
        <v>2026</v>
      </c>
      <c r="B3926" s="6">
        <f t="shared" si="497"/>
        <v>40</v>
      </c>
      <c r="C3926" s="13" t="s">
        <v>26</v>
      </c>
      <c r="D3926" s="2" t="s">
        <v>12</v>
      </c>
      <c r="E3926" s="14" t="str">
        <f t="shared" si="504"/>
        <v>Bending</v>
      </c>
      <c r="F3926" s="22"/>
      <c r="H3926" s="5" t="e">
        <f ca="1">_xlfn.FORMULATEXT(표1[[#This Row],[Q''ty]])</f>
        <v>#N/A</v>
      </c>
    </row>
    <row r="3927" spans="1:8" ht="15" hidden="1" customHeight="1" x14ac:dyDescent="0.4">
      <c r="A3927" s="6">
        <v>2026</v>
      </c>
      <c r="B3927" s="6">
        <f t="shared" si="497"/>
        <v>40</v>
      </c>
      <c r="C3927" s="13" t="s">
        <v>26</v>
      </c>
      <c r="D3927" s="2" t="s">
        <v>12</v>
      </c>
      <c r="E3927" s="14" t="str">
        <f t="shared" si="504"/>
        <v>L/W</v>
      </c>
      <c r="F3927" s="22"/>
      <c r="H3927" s="5" t="e">
        <f ca="1">_xlfn.FORMULATEXT(표1[[#This Row],[Q''ty]])</f>
        <v>#N/A</v>
      </c>
    </row>
    <row r="3928" spans="1:8" ht="15" hidden="1" customHeight="1" thickBot="1" x14ac:dyDescent="0.45">
      <c r="A3928" s="15">
        <v>2026</v>
      </c>
      <c r="B3928" s="15">
        <f t="shared" ref="B3928:B3961" si="505">B3829+1</f>
        <v>40</v>
      </c>
      <c r="C3928" s="16" t="s">
        <v>26</v>
      </c>
      <c r="D3928" s="17" t="s">
        <v>12</v>
      </c>
      <c r="E3928" s="18" t="str">
        <f t="shared" si="504"/>
        <v>C/W</v>
      </c>
      <c r="F3928" s="23"/>
      <c r="H3928" s="5" t="e">
        <f ca="1">_xlfn.FORMULATEXT(표1[[#This Row],[Q''ty]])</f>
        <v>#N/A</v>
      </c>
    </row>
    <row r="3929" spans="1:8" ht="15" hidden="1" customHeight="1" thickTop="1" x14ac:dyDescent="0.4">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hidden="1" customHeight="1" x14ac:dyDescent="0.4">
      <c r="A3930" s="6">
        <v>2026</v>
      </c>
      <c r="B3930" s="6">
        <f t="shared" si="505"/>
        <v>40</v>
      </c>
      <c r="C3930" s="13" t="s">
        <v>20</v>
      </c>
      <c r="D3930" s="2" t="s">
        <v>6</v>
      </c>
      <c r="E3930" s="14" t="str">
        <f t="shared" si="504"/>
        <v>Paint Booth</v>
      </c>
      <c r="F3930" s="22">
        <f t="shared" si="506"/>
        <v>16</v>
      </c>
      <c r="H3930" s="5" t="str">
        <f ca="1">_xlfn.FORMULATEXT(표1[[#This Row],[Q''ty]])</f>
        <v>=F3831</v>
      </c>
    </row>
    <row r="3931" spans="1:8" ht="15" hidden="1" customHeight="1" x14ac:dyDescent="0.4">
      <c r="A3931" s="6">
        <v>2026</v>
      </c>
      <c r="B3931" s="6">
        <f t="shared" si="505"/>
        <v>40</v>
      </c>
      <c r="C3931" s="13" t="s">
        <v>20</v>
      </c>
      <c r="D3931" s="2" t="s">
        <v>6</v>
      </c>
      <c r="E3931" s="14" t="str">
        <f t="shared" si="504"/>
        <v>Paint Line</v>
      </c>
      <c r="F3931" s="22">
        <f t="shared" si="506"/>
        <v>8</v>
      </c>
      <c r="H3931" s="5" t="str">
        <f ca="1">_xlfn.FORMULATEXT(표1[[#This Row],[Q''ty]])</f>
        <v>=F3832</v>
      </c>
    </row>
    <row r="3932" spans="1:8" ht="15" hidden="1" customHeight="1" x14ac:dyDescent="0.4">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hidden="1" customHeight="1" x14ac:dyDescent="0.4">
      <c r="A3933" s="6">
        <v>2026</v>
      </c>
      <c r="B3933" s="6">
        <f t="shared" si="505"/>
        <v>40</v>
      </c>
      <c r="C3933" s="13" t="s">
        <v>20</v>
      </c>
      <c r="D3933" s="2" t="s">
        <v>6</v>
      </c>
      <c r="E3933" s="14" t="str">
        <f t="shared" si="504"/>
        <v>L/W Machine</v>
      </c>
      <c r="F3933" s="22">
        <f t="shared" si="506"/>
        <v>11</v>
      </c>
      <c r="H3933" s="5" t="str">
        <f ca="1">_xlfn.FORMULATEXT(표1[[#This Row],[Q''ty]])</f>
        <v>=F3834</v>
      </c>
    </row>
    <row r="3934" spans="1:8" ht="15" hidden="1" customHeight="1" x14ac:dyDescent="0.4">
      <c r="A3934" s="6">
        <v>2026</v>
      </c>
      <c r="B3934" s="6">
        <f t="shared" si="505"/>
        <v>40</v>
      </c>
      <c r="C3934" s="13" t="s">
        <v>20</v>
      </c>
      <c r="D3934" s="2" t="s">
        <v>6</v>
      </c>
      <c r="E3934" s="14" t="str">
        <f t="shared" si="504"/>
        <v>C/W Machine</v>
      </c>
      <c r="F3934" s="22">
        <f t="shared" si="506"/>
        <v>15</v>
      </c>
      <c r="H3934" s="5" t="str">
        <f ca="1">_xlfn.FORMULATEXT(표1[[#This Row],[Q''ty]])</f>
        <v>=F3835</v>
      </c>
    </row>
    <row r="3935" spans="1:8" ht="15" hidden="1" customHeight="1" x14ac:dyDescent="0.4">
      <c r="A3935" s="6">
        <v>2026</v>
      </c>
      <c r="B3935" s="6">
        <f t="shared" si="505"/>
        <v>40</v>
      </c>
      <c r="C3935" s="13" t="s">
        <v>20</v>
      </c>
      <c r="D3935" s="2" t="s">
        <v>12</v>
      </c>
      <c r="E3935" s="14" t="str">
        <f t="shared" si="504"/>
        <v>BT GT</v>
      </c>
      <c r="F3935" s="22"/>
      <c r="H3935" s="5" t="e">
        <f ca="1">_xlfn.FORMULATEXT(표1[[#This Row],[Q''ty]])</f>
        <v>#N/A</v>
      </c>
    </row>
    <row r="3936" spans="1:8" ht="15" hidden="1" customHeight="1" x14ac:dyDescent="0.4">
      <c r="A3936" s="6">
        <v>2026</v>
      </c>
      <c r="B3936" s="6">
        <f t="shared" si="505"/>
        <v>40</v>
      </c>
      <c r="C3936" s="13" t="s">
        <v>20</v>
      </c>
      <c r="D3936" s="2" t="s">
        <v>12</v>
      </c>
      <c r="E3936" s="14" t="str">
        <f t="shared" si="504"/>
        <v>WT GT</v>
      </c>
      <c r="F3936" s="22"/>
      <c r="H3936" s="5" t="e">
        <f ca="1">_xlfn.FORMULATEXT(표1[[#This Row],[Q''ty]])</f>
        <v>#N/A</v>
      </c>
    </row>
    <row r="3937" spans="1:8" ht="15" hidden="1" customHeight="1" x14ac:dyDescent="0.4">
      <c r="A3937" s="6">
        <v>2026</v>
      </c>
      <c r="B3937" s="6">
        <f t="shared" si="505"/>
        <v>40</v>
      </c>
      <c r="C3937" s="13" t="s">
        <v>20</v>
      </c>
      <c r="D3937" s="2" t="s">
        <v>12</v>
      </c>
      <c r="E3937" s="14" t="str">
        <f t="shared" si="504"/>
        <v>Bending</v>
      </c>
      <c r="F3937" s="22"/>
      <c r="H3937" s="5" t="e">
        <f ca="1">_xlfn.FORMULATEXT(표1[[#This Row],[Q''ty]])</f>
        <v>#N/A</v>
      </c>
    </row>
    <row r="3938" spans="1:8" ht="15" hidden="1" customHeight="1" x14ac:dyDescent="0.4">
      <c r="A3938" s="6">
        <v>2026</v>
      </c>
      <c r="B3938" s="6">
        <f t="shared" si="505"/>
        <v>40</v>
      </c>
      <c r="C3938" s="13" t="s">
        <v>20</v>
      </c>
      <c r="D3938" s="2" t="s">
        <v>12</v>
      </c>
      <c r="E3938" s="14" t="str">
        <f t="shared" si="504"/>
        <v>L/W</v>
      </c>
      <c r="F3938" s="22"/>
      <c r="H3938" s="5" t="e">
        <f ca="1">_xlfn.FORMULATEXT(표1[[#This Row],[Q''ty]])</f>
        <v>#N/A</v>
      </c>
    </row>
    <row r="3939" spans="1:8" ht="15" hidden="1" customHeight="1" thickBot="1" x14ac:dyDescent="0.45">
      <c r="A3939" s="15">
        <v>2026</v>
      </c>
      <c r="B3939" s="15">
        <f t="shared" si="505"/>
        <v>40</v>
      </c>
      <c r="C3939" s="16" t="s">
        <v>20</v>
      </c>
      <c r="D3939" s="17" t="s">
        <v>12</v>
      </c>
      <c r="E3939" s="18" t="str">
        <f t="shared" si="504"/>
        <v>C/W</v>
      </c>
      <c r="F3939" s="23"/>
      <c r="H3939" s="5" t="e">
        <f ca="1">_xlfn.FORMULATEXT(표1[[#This Row],[Q''ty]])</f>
        <v>#N/A</v>
      </c>
    </row>
    <row r="3940" spans="1:8" ht="15" hidden="1" customHeight="1" thickTop="1" x14ac:dyDescent="0.4">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hidden="1" customHeight="1" x14ac:dyDescent="0.4">
      <c r="A3941" s="6">
        <v>2026</v>
      </c>
      <c r="B3941" s="6">
        <f t="shared" si="505"/>
        <v>40</v>
      </c>
      <c r="C3941" s="13" t="s">
        <v>21</v>
      </c>
      <c r="D3941" s="2" t="s">
        <v>6</v>
      </c>
      <c r="E3941" s="14" t="str">
        <f t="shared" si="504"/>
        <v>Paint Booth</v>
      </c>
      <c r="F3941" s="22">
        <f t="shared" si="507"/>
        <v>4</v>
      </c>
      <c r="H3941" s="5" t="str">
        <f ca="1">_xlfn.FORMULATEXT(표1[[#This Row],[Q''ty]])</f>
        <v>=F3842</v>
      </c>
    </row>
    <row r="3942" spans="1:8" ht="15" hidden="1" customHeight="1" x14ac:dyDescent="0.4">
      <c r="A3942" s="6">
        <v>2026</v>
      </c>
      <c r="B3942" s="6">
        <f t="shared" si="505"/>
        <v>40</v>
      </c>
      <c r="C3942" s="13" t="s">
        <v>21</v>
      </c>
      <c r="D3942" s="2" t="s">
        <v>6</v>
      </c>
      <c r="E3942" s="14" t="str">
        <f t="shared" si="504"/>
        <v>Paint Line</v>
      </c>
      <c r="F3942" s="22">
        <f t="shared" si="507"/>
        <v>4</v>
      </c>
      <c r="H3942" s="5" t="str">
        <f ca="1">_xlfn.FORMULATEXT(표1[[#This Row],[Q''ty]])</f>
        <v>=F3843</v>
      </c>
    </row>
    <row r="3943" spans="1:8" ht="15" hidden="1" customHeight="1" x14ac:dyDescent="0.4">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hidden="1" customHeight="1" x14ac:dyDescent="0.4">
      <c r="A3944" s="6">
        <v>2026</v>
      </c>
      <c r="B3944" s="6">
        <f t="shared" si="505"/>
        <v>40</v>
      </c>
      <c r="C3944" s="13" t="s">
        <v>21</v>
      </c>
      <c r="D3944" s="2" t="s">
        <v>6</v>
      </c>
      <c r="E3944" s="14" t="str">
        <f t="shared" si="504"/>
        <v>L/W Machine</v>
      </c>
      <c r="F3944" s="22">
        <f t="shared" si="507"/>
        <v>4</v>
      </c>
      <c r="H3944" s="5" t="str">
        <f ca="1">_xlfn.FORMULATEXT(표1[[#This Row],[Q''ty]])</f>
        <v>=F3845</v>
      </c>
    </row>
    <row r="3945" spans="1:8" ht="15" hidden="1" customHeight="1" x14ac:dyDescent="0.4">
      <c r="A3945" s="6">
        <v>2026</v>
      </c>
      <c r="B3945" s="6">
        <f t="shared" si="505"/>
        <v>40</v>
      </c>
      <c r="C3945" s="13" t="s">
        <v>21</v>
      </c>
      <c r="D3945" s="2" t="s">
        <v>6</v>
      </c>
      <c r="E3945" s="14" t="str">
        <f t="shared" si="504"/>
        <v>C/W Machine</v>
      </c>
      <c r="F3945" s="22">
        <f t="shared" si="507"/>
        <v>6.5</v>
      </c>
      <c r="H3945" s="5" t="str">
        <f ca="1">_xlfn.FORMULATEXT(표1[[#This Row],[Q''ty]])</f>
        <v>=F3846</v>
      </c>
    </row>
    <row r="3946" spans="1:8" ht="15" hidden="1" customHeight="1" x14ac:dyDescent="0.4">
      <c r="A3946" s="6">
        <v>2026</v>
      </c>
      <c r="B3946" s="6">
        <f t="shared" si="505"/>
        <v>40</v>
      </c>
      <c r="C3946" s="13" t="s">
        <v>21</v>
      </c>
      <c r="D3946" s="2" t="s">
        <v>12</v>
      </c>
      <c r="E3946" s="14" t="str">
        <f t="shared" si="504"/>
        <v>BT GT</v>
      </c>
      <c r="F3946" s="22"/>
      <c r="H3946" s="5" t="e">
        <f ca="1">_xlfn.FORMULATEXT(표1[[#This Row],[Q''ty]])</f>
        <v>#N/A</v>
      </c>
    </row>
    <row r="3947" spans="1:8" ht="15" hidden="1" customHeight="1" x14ac:dyDescent="0.4">
      <c r="A3947" s="6">
        <v>2026</v>
      </c>
      <c r="B3947" s="6">
        <f t="shared" si="505"/>
        <v>40</v>
      </c>
      <c r="C3947" s="13" t="s">
        <v>21</v>
      </c>
      <c r="D3947" s="2" t="s">
        <v>12</v>
      </c>
      <c r="E3947" s="14" t="str">
        <f t="shared" si="504"/>
        <v>WT GT</v>
      </c>
      <c r="F3947" s="22"/>
      <c r="H3947" s="5" t="e">
        <f ca="1">_xlfn.FORMULATEXT(표1[[#This Row],[Q''ty]])</f>
        <v>#N/A</v>
      </c>
    </row>
    <row r="3948" spans="1:8" ht="15" hidden="1" customHeight="1" x14ac:dyDescent="0.4">
      <c r="A3948" s="6">
        <v>2026</v>
      </c>
      <c r="B3948" s="6">
        <f t="shared" si="505"/>
        <v>40</v>
      </c>
      <c r="C3948" s="13" t="s">
        <v>21</v>
      </c>
      <c r="D3948" s="2" t="s">
        <v>12</v>
      </c>
      <c r="E3948" s="14" t="str">
        <f t="shared" si="504"/>
        <v>Bending</v>
      </c>
      <c r="F3948" s="22"/>
      <c r="H3948" s="5" t="e">
        <f ca="1">_xlfn.FORMULATEXT(표1[[#This Row],[Q''ty]])</f>
        <v>#N/A</v>
      </c>
    </row>
    <row r="3949" spans="1:8" ht="15" hidden="1" customHeight="1" x14ac:dyDescent="0.4">
      <c r="A3949" s="6">
        <v>2026</v>
      </c>
      <c r="B3949" s="6">
        <f t="shared" si="505"/>
        <v>40</v>
      </c>
      <c r="C3949" s="13" t="s">
        <v>21</v>
      </c>
      <c r="D3949" s="2" t="s">
        <v>12</v>
      </c>
      <c r="E3949" s="14" t="str">
        <f t="shared" si="504"/>
        <v>L/W</v>
      </c>
      <c r="F3949" s="22"/>
      <c r="H3949" s="5" t="e">
        <f ca="1">_xlfn.FORMULATEXT(표1[[#This Row],[Q''ty]])</f>
        <v>#N/A</v>
      </c>
    </row>
    <row r="3950" spans="1:8" ht="15" hidden="1" customHeight="1" thickBot="1" x14ac:dyDescent="0.45">
      <c r="A3950" s="15">
        <v>2026</v>
      </c>
      <c r="B3950" s="15">
        <f t="shared" si="505"/>
        <v>40</v>
      </c>
      <c r="C3950" s="16" t="s">
        <v>21</v>
      </c>
      <c r="D3950" s="17" t="s">
        <v>12</v>
      </c>
      <c r="E3950" s="18" t="str">
        <f t="shared" si="504"/>
        <v>C/W</v>
      </c>
      <c r="F3950" s="23"/>
      <c r="H3950" s="5" t="e">
        <f ca="1">_xlfn.FORMULATEXT(표1[[#This Row],[Q''ty]])</f>
        <v>#N/A</v>
      </c>
    </row>
    <row r="3951" spans="1:8" ht="15" hidden="1" customHeight="1" thickTop="1" x14ac:dyDescent="0.4">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hidden="1" customHeight="1" x14ac:dyDescent="0.4">
      <c r="A3952" s="6">
        <v>2026</v>
      </c>
      <c r="B3952" s="6">
        <f t="shared" si="505"/>
        <v>40</v>
      </c>
      <c r="C3952" s="13" t="s">
        <v>22</v>
      </c>
      <c r="D3952" s="2" t="s">
        <v>6</v>
      </c>
      <c r="E3952" s="14" t="str">
        <f t="shared" si="504"/>
        <v>Paint Booth</v>
      </c>
      <c r="F3952" s="22">
        <f t="shared" si="508"/>
        <v>6</v>
      </c>
      <c r="H3952" s="5" t="str">
        <f ca="1">_xlfn.FORMULATEXT(표1[[#This Row],[Q''ty]])</f>
        <v>=F3853</v>
      </c>
    </row>
    <row r="3953" spans="1:10" ht="15" hidden="1" customHeight="1" x14ac:dyDescent="0.4">
      <c r="A3953" s="6">
        <v>2026</v>
      </c>
      <c r="B3953" s="6">
        <f t="shared" si="505"/>
        <v>40</v>
      </c>
      <c r="C3953" s="13" t="s">
        <v>22</v>
      </c>
      <c r="D3953" s="2" t="s">
        <v>6</v>
      </c>
      <c r="E3953" s="14" t="str">
        <f t="shared" si="504"/>
        <v>Paint Line</v>
      </c>
      <c r="F3953" s="22">
        <f t="shared" si="508"/>
        <v>4</v>
      </c>
      <c r="H3953" s="5" t="str">
        <f ca="1">_xlfn.FORMULATEXT(표1[[#This Row],[Q''ty]])</f>
        <v>=F3854</v>
      </c>
    </row>
    <row r="3954" spans="1:10" ht="15" hidden="1" customHeight="1" x14ac:dyDescent="0.4">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10" ht="15" hidden="1" customHeight="1" x14ac:dyDescent="0.4">
      <c r="A3955" s="6">
        <v>2026</v>
      </c>
      <c r="B3955" s="6">
        <f t="shared" si="505"/>
        <v>40</v>
      </c>
      <c r="C3955" s="13" t="s">
        <v>22</v>
      </c>
      <c r="D3955" s="2" t="s">
        <v>6</v>
      </c>
      <c r="E3955" s="14" t="str">
        <f t="shared" si="504"/>
        <v>L/W Machine</v>
      </c>
      <c r="F3955" s="22">
        <f t="shared" si="508"/>
        <v>7</v>
      </c>
      <c r="H3955" s="5" t="str">
        <f ca="1">_xlfn.FORMULATEXT(표1[[#This Row],[Q''ty]])</f>
        <v>=F3856</v>
      </c>
    </row>
    <row r="3956" spans="1:10" ht="15" hidden="1" customHeight="1" x14ac:dyDescent="0.4">
      <c r="A3956" s="6">
        <v>2026</v>
      </c>
      <c r="B3956" s="6">
        <f t="shared" si="505"/>
        <v>40</v>
      </c>
      <c r="C3956" s="13" t="s">
        <v>22</v>
      </c>
      <c r="D3956" s="2" t="s">
        <v>6</v>
      </c>
      <c r="E3956" s="14" t="str">
        <f t="shared" si="504"/>
        <v>C/W Machine</v>
      </c>
      <c r="F3956" s="22">
        <f t="shared" si="508"/>
        <v>12.5</v>
      </c>
      <c r="H3956" s="5" t="str">
        <f ca="1">_xlfn.FORMULATEXT(표1[[#This Row],[Q''ty]])</f>
        <v>=F3857</v>
      </c>
    </row>
    <row r="3957" spans="1:10" ht="15" hidden="1" customHeight="1" x14ac:dyDescent="0.4">
      <c r="A3957" s="6">
        <v>2026</v>
      </c>
      <c r="B3957" s="6">
        <f t="shared" si="505"/>
        <v>40</v>
      </c>
      <c r="C3957" s="13" t="s">
        <v>22</v>
      </c>
      <c r="D3957" s="2" t="s">
        <v>12</v>
      </c>
      <c r="E3957" s="14" t="str">
        <f t="shared" si="504"/>
        <v>BT GT</v>
      </c>
      <c r="F3957" s="22"/>
      <c r="H3957" s="5" t="e">
        <f ca="1">_xlfn.FORMULATEXT(표1[[#This Row],[Q''ty]])</f>
        <v>#N/A</v>
      </c>
    </row>
    <row r="3958" spans="1:10" ht="15" hidden="1" customHeight="1" x14ac:dyDescent="0.4">
      <c r="A3958" s="6">
        <v>2026</v>
      </c>
      <c r="B3958" s="6">
        <f t="shared" si="505"/>
        <v>40</v>
      </c>
      <c r="C3958" s="13" t="s">
        <v>22</v>
      </c>
      <c r="D3958" s="2" t="s">
        <v>12</v>
      </c>
      <c r="E3958" s="14" t="str">
        <f t="shared" si="504"/>
        <v>WT GT</v>
      </c>
      <c r="F3958" s="22"/>
      <c r="H3958" s="5" t="e">
        <f ca="1">_xlfn.FORMULATEXT(표1[[#This Row],[Q''ty]])</f>
        <v>#N/A</v>
      </c>
    </row>
    <row r="3959" spans="1:10" ht="15" hidden="1" customHeight="1" x14ac:dyDescent="0.4">
      <c r="A3959" s="6">
        <v>2026</v>
      </c>
      <c r="B3959" s="6">
        <f t="shared" si="505"/>
        <v>40</v>
      </c>
      <c r="C3959" s="13" t="s">
        <v>22</v>
      </c>
      <c r="D3959" s="2" t="s">
        <v>12</v>
      </c>
      <c r="E3959" s="14" t="str">
        <f t="shared" si="504"/>
        <v>Bending</v>
      </c>
      <c r="F3959" s="22"/>
      <c r="H3959" s="5" t="e">
        <f ca="1">_xlfn.FORMULATEXT(표1[[#This Row],[Q''ty]])</f>
        <v>#N/A</v>
      </c>
    </row>
    <row r="3960" spans="1:10" ht="15" hidden="1" customHeight="1" x14ac:dyDescent="0.4">
      <c r="A3960" s="6">
        <v>2026</v>
      </c>
      <c r="B3960" s="6">
        <f t="shared" si="505"/>
        <v>40</v>
      </c>
      <c r="C3960" s="13" t="s">
        <v>22</v>
      </c>
      <c r="D3960" s="2" t="s">
        <v>12</v>
      </c>
      <c r="E3960" s="14" t="str">
        <f t="shared" si="504"/>
        <v>L/W</v>
      </c>
      <c r="F3960" s="22"/>
      <c r="H3960" s="5" t="e">
        <f ca="1">_xlfn.FORMULATEXT(표1[[#This Row],[Q''ty]])</f>
        <v>#N/A</v>
      </c>
    </row>
    <row r="3961" spans="1:10" ht="15" hidden="1" customHeight="1" thickBot="1" x14ac:dyDescent="0.45">
      <c r="A3961" s="6">
        <v>2026</v>
      </c>
      <c r="B3961" s="6">
        <f t="shared" si="505"/>
        <v>40</v>
      </c>
      <c r="C3961" s="13" t="s">
        <v>22</v>
      </c>
      <c r="D3961" s="2" t="s">
        <v>12</v>
      </c>
      <c r="E3961" s="14" t="str">
        <f t="shared" si="504"/>
        <v>C/W</v>
      </c>
      <c r="F3961" s="22"/>
      <c r="H3961" s="5" t="e">
        <f ca="1">_xlfn.FORMULATEXT(표1[[#This Row],[Q''ty]])</f>
        <v>#N/A</v>
      </c>
    </row>
    <row r="3962" spans="1:10" ht="15" hidden="1" customHeight="1" thickTop="1" x14ac:dyDescent="0.4">
      <c r="A3962" s="9">
        <v>2026</v>
      </c>
      <c r="B3962" s="9">
        <f>B3863+1</f>
        <v>41</v>
      </c>
      <c r="C3962" s="10" t="s">
        <v>28</v>
      </c>
      <c r="D3962" s="11" t="s">
        <v>6</v>
      </c>
      <c r="E3962" s="12" t="s">
        <v>7</v>
      </c>
      <c r="F3962" s="21">
        <f t="shared" ref="F3962:F3967" si="509">F3863</f>
        <v>15</v>
      </c>
      <c r="H3962" s="5" t="str">
        <f ca="1">_xlfn.FORMULATEXT(표1[[#This Row],[Q''ty]])</f>
        <v>=F3863</v>
      </c>
    </row>
    <row r="3963" spans="1:10" s="2" customFormat="1" ht="15" hidden="1" customHeight="1" x14ac:dyDescent="0.4">
      <c r="A3963" s="6">
        <v>2026</v>
      </c>
      <c r="B3963" s="6">
        <f t="shared" ref="B3963:B4026" si="510">B3864+1</f>
        <v>41</v>
      </c>
      <c r="C3963" s="13" t="s">
        <v>23</v>
      </c>
      <c r="D3963" s="2" t="s">
        <v>6</v>
      </c>
      <c r="E3963" s="14" t="s">
        <v>8</v>
      </c>
      <c r="F3963" s="22">
        <f t="shared" si="509"/>
        <v>10</v>
      </c>
      <c r="H3963" s="5" t="str">
        <f ca="1">_xlfn.FORMULATEXT(표1[[#This Row],[Q''ty]])</f>
        <v>=F3864</v>
      </c>
      <c r="I3963" s="26"/>
      <c r="J3963" s="26"/>
    </row>
    <row r="3964" spans="1:10" s="2" customFormat="1" ht="15" hidden="1" customHeight="1" x14ac:dyDescent="0.4">
      <c r="A3964" s="6">
        <v>2026</v>
      </c>
      <c r="B3964" s="6">
        <f t="shared" si="510"/>
        <v>41</v>
      </c>
      <c r="C3964" s="13" t="s">
        <v>23</v>
      </c>
      <c r="D3964" s="2" t="s">
        <v>6</v>
      </c>
      <c r="E3964" s="14" t="s">
        <v>9</v>
      </c>
      <c r="F3964" s="22">
        <f t="shared" si="509"/>
        <v>5</v>
      </c>
      <c r="H3964" s="5" t="str">
        <f ca="1">_xlfn.FORMULATEXT(표1[[#This Row],[Q''ty]])</f>
        <v>=F3865</v>
      </c>
      <c r="I3964" s="26"/>
      <c r="J3964" s="26"/>
    </row>
    <row r="3965" spans="1:10" ht="15" hidden="1" customHeight="1" x14ac:dyDescent="0.4">
      <c r="A3965" s="6">
        <v>2026</v>
      </c>
      <c r="B3965" s="6">
        <f t="shared" si="510"/>
        <v>41</v>
      </c>
      <c r="C3965" s="13" t="s">
        <v>23</v>
      </c>
      <c r="D3965" s="2" t="s">
        <v>6</v>
      </c>
      <c r="E3965" s="14" t="s">
        <v>27</v>
      </c>
      <c r="F3965" s="22">
        <f t="shared" si="509"/>
        <v>6</v>
      </c>
      <c r="H3965" s="5" t="str">
        <f ca="1">_xlfn.FORMULATEXT(표1[[#This Row],[Q''ty]])</f>
        <v>=F3866</v>
      </c>
    </row>
    <row r="3966" spans="1:10" ht="15" hidden="1" customHeight="1" x14ac:dyDescent="0.4">
      <c r="A3966" s="6">
        <v>2026</v>
      </c>
      <c r="B3966" s="6">
        <f t="shared" si="510"/>
        <v>41</v>
      </c>
      <c r="C3966" s="13" t="s">
        <v>23</v>
      </c>
      <c r="D3966" s="2" t="s">
        <v>6</v>
      </c>
      <c r="E3966" s="14" t="s">
        <v>10</v>
      </c>
      <c r="F3966" s="22">
        <f t="shared" si="509"/>
        <v>10</v>
      </c>
      <c r="H3966" s="5" t="str">
        <f ca="1">_xlfn.FORMULATEXT(표1[[#This Row],[Q''ty]])</f>
        <v>=F3867</v>
      </c>
    </row>
    <row r="3967" spans="1:10" ht="15" hidden="1" customHeight="1" x14ac:dyDescent="0.4">
      <c r="A3967" s="6">
        <v>2026</v>
      </c>
      <c r="B3967" s="6">
        <f t="shared" si="510"/>
        <v>41</v>
      </c>
      <c r="C3967" s="13" t="s">
        <v>23</v>
      </c>
      <c r="D3967" s="2" t="s">
        <v>6</v>
      </c>
      <c r="E3967" s="14" t="s">
        <v>11</v>
      </c>
      <c r="F3967" s="22">
        <f t="shared" si="509"/>
        <v>10</v>
      </c>
      <c r="H3967" s="5" t="str">
        <f ca="1">_xlfn.FORMULATEXT(표1[[#This Row],[Q''ty]])</f>
        <v>=F3868</v>
      </c>
    </row>
    <row r="3968" spans="1:10" ht="15" hidden="1" customHeight="1" x14ac:dyDescent="0.4">
      <c r="A3968" s="6">
        <v>2026</v>
      </c>
      <c r="B3968" s="6">
        <f t="shared" si="510"/>
        <v>41</v>
      </c>
      <c r="C3968" s="13" t="s">
        <v>23</v>
      </c>
      <c r="D3968" s="2" t="s">
        <v>12</v>
      </c>
      <c r="E3968" s="14" t="s">
        <v>13</v>
      </c>
      <c r="F3968" s="22"/>
      <c r="H3968" s="5" t="e">
        <f ca="1">_xlfn.FORMULATEXT(표1[[#This Row],[Q''ty]])</f>
        <v>#N/A</v>
      </c>
    </row>
    <row r="3969" spans="1:10" s="2" customFormat="1" ht="15" hidden="1" customHeight="1" x14ac:dyDescent="0.4">
      <c r="A3969" s="6">
        <v>2026</v>
      </c>
      <c r="B3969" s="6">
        <f t="shared" si="510"/>
        <v>41</v>
      </c>
      <c r="C3969" s="13" t="s">
        <v>23</v>
      </c>
      <c r="D3969" s="2" t="s">
        <v>12</v>
      </c>
      <c r="E3969" s="14" t="s">
        <v>14</v>
      </c>
      <c r="F3969" s="22"/>
      <c r="H3969" s="5" t="e">
        <f ca="1">_xlfn.FORMULATEXT(표1[[#This Row],[Q''ty]])</f>
        <v>#N/A</v>
      </c>
      <c r="I3969" s="26"/>
      <c r="J3969" s="26"/>
    </row>
    <row r="3970" spans="1:10" ht="15" hidden="1" customHeight="1" x14ac:dyDescent="0.4">
      <c r="A3970" s="6">
        <v>2026</v>
      </c>
      <c r="B3970" s="6">
        <f t="shared" si="510"/>
        <v>41</v>
      </c>
      <c r="C3970" s="13" t="s">
        <v>23</v>
      </c>
      <c r="D3970" s="2" t="s">
        <v>12</v>
      </c>
      <c r="E3970" s="14" t="s">
        <v>15</v>
      </c>
      <c r="F3970" s="22"/>
      <c r="H3970" s="5" t="e">
        <f ca="1">_xlfn.FORMULATEXT(표1[[#This Row],[Q''ty]])</f>
        <v>#N/A</v>
      </c>
    </row>
    <row r="3971" spans="1:10" ht="15" hidden="1" customHeight="1" x14ac:dyDescent="0.4">
      <c r="A3971" s="6">
        <v>2026</v>
      </c>
      <c r="B3971" s="6">
        <f t="shared" si="510"/>
        <v>41</v>
      </c>
      <c r="C3971" s="13" t="s">
        <v>23</v>
      </c>
      <c r="D3971" s="2" t="s">
        <v>12</v>
      </c>
      <c r="E3971" s="14" t="s">
        <v>16</v>
      </c>
      <c r="F3971" s="22"/>
      <c r="H3971" s="5" t="e">
        <f ca="1">_xlfn.FORMULATEXT(표1[[#This Row],[Q''ty]])</f>
        <v>#N/A</v>
      </c>
    </row>
    <row r="3972" spans="1:10" ht="15" hidden="1" customHeight="1" thickBot="1" x14ac:dyDescent="0.45">
      <c r="A3972" s="15">
        <v>2026</v>
      </c>
      <c r="B3972" s="15">
        <f t="shared" si="510"/>
        <v>41</v>
      </c>
      <c r="C3972" s="16" t="s">
        <v>23</v>
      </c>
      <c r="D3972" s="17" t="s">
        <v>12</v>
      </c>
      <c r="E3972" s="18" t="s">
        <v>17</v>
      </c>
      <c r="F3972" s="23"/>
      <c r="H3972" s="5" t="e">
        <f ca="1">_xlfn.FORMULATEXT(표1[[#This Row],[Q''ty]])</f>
        <v>#N/A</v>
      </c>
    </row>
    <row r="3973" spans="1:10" ht="15" hidden="1" customHeight="1" thickTop="1" x14ac:dyDescent="0.4">
      <c r="A3973" s="9">
        <v>2026</v>
      </c>
      <c r="B3973" s="9">
        <f t="shared" si="510"/>
        <v>41</v>
      </c>
      <c r="C3973" s="10" t="s">
        <v>29</v>
      </c>
      <c r="D3973" s="11" t="s">
        <v>6</v>
      </c>
      <c r="E3973" s="12" t="s">
        <v>7</v>
      </c>
      <c r="F3973" s="21">
        <f t="shared" ref="F3973:F3978" si="511">F3874</f>
        <v>14</v>
      </c>
      <c r="H3973" s="5" t="str">
        <f ca="1">_xlfn.FORMULATEXT(표1[[#This Row],[Q''ty]])</f>
        <v>=F3874</v>
      </c>
    </row>
    <row r="3974" spans="1:10" s="2" customFormat="1" ht="15" hidden="1" customHeight="1" x14ac:dyDescent="0.4">
      <c r="A3974" s="6">
        <v>2026</v>
      </c>
      <c r="B3974" s="6">
        <f t="shared" si="510"/>
        <v>41</v>
      </c>
      <c r="C3974" s="13" t="s">
        <v>24</v>
      </c>
      <c r="D3974" s="2" t="s">
        <v>6</v>
      </c>
      <c r="E3974" s="14" t="s">
        <v>8</v>
      </c>
      <c r="F3974" s="22">
        <f t="shared" si="511"/>
        <v>8</v>
      </c>
      <c r="H3974" s="5" t="str">
        <f ca="1">_xlfn.FORMULATEXT(표1[[#This Row],[Q''ty]])</f>
        <v>=F3875</v>
      </c>
      <c r="I3974" s="26"/>
      <c r="J3974" s="26"/>
    </row>
    <row r="3975" spans="1:10" s="2" customFormat="1" ht="15" hidden="1" customHeight="1" x14ac:dyDescent="0.4">
      <c r="A3975" s="6">
        <v>2026</v>
      </c>
      <c r="B3975" s="6">
        <f t="shared" si="510"/>
        <v>41</v>
      </c>
      <c r="C3975" s="13" t="s">
        <v>24</v>
      </c>
      <c r="D3975" s="2" t="s">
        <v>6</v>
      </c>
      <c r="E3975" s="14" t="s">
        <v>9</v>
      </c>
      <c r="F3975" s="22">
        <f t="shared" si="511"/>
        <v>4</v>
      </c>
      <c r="H3975" s="5" t="str">
        <f ca="1">_xlfn.FORMULATEXT(표1[[#This Row],[Q''ty]])</f>
        <v>=F3876</v>
      </c>
      <c r="I3975" s="26"/>
      <c r="J3975" s="26"/>
    </row>
    <row r="3976" spans="1:10" ht="15" hidden="1" customHeight="1" x14ac:dyDescent="0.4">
      <c r="A3976" s="6">
        <v>2026</v>
      </c>
      <c r="B3976" s="6">
        <f t="shared" si="510"/>
        <v>41</v>
      </c>
      <c r="C3976" s="13" t="s">
        <v>24</v>
      </c>
      <c r="D3976" s="2" t="s">
        <v>6</v>
      </c>
      <c r="E3976" s="14" t="s">
        <v>27</v>
      </c>
      <c r="F3976" s="22">
        <f t="shared" si="511"/>
        <v>3</v>
      </c>
      <c r="H3976" s="5" t="str">
        <f ca="1">_xlfn.FORMULATEXT(표1[[#This Row],[Q''ty]])</f>
        <v>=F3877</v>
      </c>
    </row>
    <row r="3977" spans="1:10" ht="15" hidden="1" customHeight="1" x14ac:dyDescent="0.4">
      <c r="A3977" s="6">
        <v>2026</v>
      </c>
      <c r="B3977" s="6">
        <f t="shared" si="510"/>
        <v>41</v>
      </c>
      <c r="C3977" s="13" t="s">
        <v>24</v>
      </c>
      <c r="D3977" s="2" t="s">
        <v>6</v>
      </c>
      <c r="E3977" s="14" t="s">
        <v>10</v>
      </c>
      <c r="F3977" s="22">
        <f t="shared" si="511"/>
        <v>6</v>
      </c>
      <c r="H3977" s="5" t="str">
        <f ca="1">_xlfn.FORMULATEXT(표1[[#This Row],[Q''ty]])</f>
        <v>=F3878</v>
      </c>
    </row>
    <row r="3978" spans="1:10" ht="15" hidden="1" customHeight="1" x14ac:dyDescent="0.4">
      <c r="A3978" s="6">
        <v>2026</v>
      </c>
      <c r="B3978" s="6">
        <f t="shared" si="510"/>
        <v>41</v>
      </c>
      <c r="C3978" s="13" t="s">
        <v>24</v>
      </c>
      <c r="D3978" s="2" t="s">
        <v>6</v>
      </c>
      <c r="E3978" s="14" t="s">
        <v>11</v>
      </c>
      <c r="F3978" s="22">
        <f t="shared" si="511"/>
        <v>8.8000000000000007</v>
      </c>
      <c r="H3978" s="5" t="str">
        <f ca="1">_xlfn.FORMULATEXT(표1[[#This Row],[Q''ty]])</f>
        <v>=F3879</v>
      </c>
    </row>
    <row r="3979" spans="1:10" ht="15" hidden="1" customHeight="1" x14ac:dyDescent="0.4">
      <c r="A3979" s="6">
        <v>2026</v>
      </c>
      <c r="B3979" s="6">
        <f t="shared" si="510"/>
        <v>41</v>
      </c>
      <c r="C3979" s="13" t="s">
        <v>24</v>
      </c>
      <c r="D3979" s="2" t="s">
        <v>12</v>
      </c>
      <c r="E3979" s="14" t="s">
        <v>13</v>
      </c>
      <c r="F3979" s="22"/>
      <c r="H3979" s="5" t="e">
        <f ca="1">_xlfn.FORMULATEXT(표1[[#This Row],[Q''ty]])</f>
        <v>#N/A</v>
      </c>
    </row>
    <row r="3980" spans="1:10" s="2" customFormat="1" ht="15" hidden="1" customHeight="1" x14ac:dyDescent="0.4">
      <c r="A3980" s="6">
        <v>2026</v>
      </c>
      <c r="B3980" s="6">
        <f t="shared" si="510"/>
        <v>41</v>
      </c>
      <c r="C3980" s="13" t="s">
        <v>24</v>
      </c>
      <c r="D3980" s="2" t="s">
        <v>12</v>
      </c>
      <c r="E3980" s="14" t="s">
        <v>14</v>
      </c>
      <c r="F3980" s="22"/>
      <c r="H3980" s="5" t="e">
        <f ca="1">_xlfn.FORMULATEXT(표1[[#This Row],[Q''ty]])</f>
        <v>#N/A</v>
      </c>
      <c r="I3980" s="26"/>
      <c r="J3980" s="26"/>
    </row>
    <row r="3981" spans="1:10" ht="15" hidden="1" customHeight="1" x14ac:dyDescent="0.4">
      <c r="A3981" s="6">
        <v>2026</v>
      </c>
      <c r="B3981" s="6">
        <f t="shared" si="510"/>
        <v>41</v>
      </c>
      <c r="C3981" s="13" t="s">
        <v>24</v>
      </c>
      <c r="D3981" s="2" t="s">
        <v>12</v>
      </c>
      <c r="E3981" s="14" t="s">
        <v>15</v>
      </c>
      <c r="F3981" s="22"/>
      <c r="H3981" s="5" t="e">
        <f ca="1">_xlfn.FORMULATEXT(표1[[#This Row],[Q''ty]])</f>
        <v>#N/A</v>
      </c>
    </row>
    <row r="3982" spans="1:10" ht="15" hidden="1" customHeight="1" x14ac:dyDescent="0.4">
      <c r="A3982" s="6">
        <v>2026</v>
      </c>
      <c r="B3982" s="6">
        <f t="shared" si="510"/>
        <v>41</v>
      </c>
      <c r="C3982" s="13" t="s">
        <v>24</v>
      </c>
      <c r="D3982" s="2" t="s">
        <v>12</v>
      </c>
      <c r="E3982" s="14" t="s">
        <v>16</v>
      </c>
      <c r="F3982" s="22"/>
      <c r="H3982" s="5" t="e">
        <f ca="1">_xlfn.FORMULATEXT(표1[[#This Row],[Q''ty]])</f>
        <v>#N/A</v>
      </c>
    </row>
    <row r="3983" spans="1:10" ht="15" hidden="1" customHeight="1" thickBot="1" x14ac:dyDescent="0.45">
      <c r="A3983" s="15">
        <v>2026</v>
      </c>
      <c r="B3983" s="15">
        <f t="shared" si="510"/>
        <v>41</v>
      </c>
      <c r="C3983" s="16" t="s">
        <v>24</v>
      </c>
      <c r="D3983" s="17" t="s">
        <v>12</v>
      </c>
      <c r="E3983" s="18" t="s">
        <v>17</v>
      </c>
      <c r="F3983" s="23"/>
      <c r="H3983" s="5" t="e">
        <f ca="1">_xlfn.FORMULATEXT(표1[[#This Row],[Q''ty]])</f>
        <v>#N/A</v>
      </c>
    </row>
    <row r="3984" spans="1:10" ht="15" hidden="1" customHeight="1" thickTop="1" x14ac:dyDescent="0.4">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hidden="1" customHeight="1" x14ac:dyDescent="0.4">
      <c r="A3985" s="6">
        <v>2026</v>
      </c>
      <c r="B3985" s="6">
        <f t="shared" si="510"/>
        <v>41</v>
      </c>
      <c r="C3985" s="13" t="s">
        <v>18</v>
      </c>
      <c r="D3985" s="2" t="s">
        <v>6</v>
      </c>
      <c r="E3985" s="14" t="str">
        <f t="shared" si="512"/>
        <v>Paint Booth</v>
      </c>
      <c r="F3985" s="22">
        <f t="shared" si="512"/>
        <v>3</v>
      </c>
      <c r="H3985" s="5" t="str">
        <f ca="1">_xlfn.FORMULATEXT(표1[[#This Row],[Q''ty]])</f>
        <v>=F3886</v>
      </c>
    </row>
    <row r="3986" spans="1:8" ht="15" hidden="1" customHeight="1" x14ac:dyDescent="0.4">
      <c r="A3986" s="6">
        <v>2026</v>
      </c>
      <c r="B3986" s="6">
        <f t="shared" si="510"/>
        <v>41</v>
      </c>
      <c r="C3986" s="13" t="s">
        <v>18</v>
      </c>
      <c r="D3986" s="2" t="s">
        <v>6</v>
      </c>
      <c r="E3986" s="14" t="str">
        <f t="shared" si="512"/>
        <v>Paint Line</v>
      </c>
      <c r="F3986" s="22">
        <f t="shared" si="512"/>
        <v>2</v>
      </c>
      <c r="H3986" s="5" t="str">
        <f ca="1">_xlfn.FORMULATEXT(표1[[#This Row],[Q''ty]])</f>
        <v>=F3887</v>
      </c>
    </row>
    <row r="3987" spans="1:8" ht="15" hidden="1" customHeight="1" x14ac:dyDescent="0.4">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hidden="1" customHeight="1" x14ac:dyDescent="0.4">
      <c r="A3988" s="6">
        <v>2026</v>
      </c>
      <c r="B3988" s="6">
        <f t="shared" si="510"/>
        <v>41</v>
      </c>
      <c r="C3988" s="13" t="s">
        <v>18</v>
      </c>
      <c r="D3988" s="2" t="s">
        <v>6</v>
      </c>
      <c r="E3988" s="14" t="str">
        <f t="shared" si="512"/>
        <v>L/W Machine</v>
      </c>
      <c r="F3988" s="22">
        <f t="shared" si="512"/>
        <v>2</v>
      </c>
      <c r="H3988" s="5" t="str">
        <f ca="1">_xlfn.FORMULATEXT(표1[[#This Row],[Q''ty]])</f>
        <v>=F3889</v>
      </c>
    </row>
    <row r="3989" spans="1:8" ht="15" hidden="1" customHeight="1" x14ac:dyDescent="0.4">
      <c r="A3989" s="6">
        <v>2026</v>
      </c>
      <c r="B3989" s="6">
        <f t="shared" si="510"/>
        <v>41</v>
      </c>
      <c r="C3989" s="13" t="s">
        <v>18</v>
      </c>
      <c r="D3989" s="2" t="s">
        <v>6</v>
      </c>
      <c r="E3989" s="14" t="str">
        <f t="shared" si="512"/>
        <v>C/W Machine</v>
      </c>
      <c r="F3989" s="22">
        <f t="shared" si="512"/>
        <v>3</v>
      </c>
      <c r="H3989" s="5" t="str">
        <f ca="1">_xlfn.FORMULATEXT(표1[[#This Row],[Q''ty]])</f>
        <v>=F3890</v>
      </c>
    </row>
    <row r="3990" spans="1:8" ht="15" hidden="1" customHeight="1" x14ac:dyDescent="0.4">
      <c r="A3990" s="6">
        <v>2026</v>
      </c>
      <c r="B3990" s="6">
        <f t="shared" si="510"/>
        <v>41</v>
      </c>
      <c r="C3990" s="13" t="s">
        <v>18</v>
      </c>
      <c r="D3990" s="2" t="s">
        <v>12</v>
      </c>
      <c r="E3990" s="14" t="str">
        <f t="shared" ref="E3990:E4005" si="513">E3891</f>
        <v>BT GT</v>
      </c>
      <c r="F3990" s="22"/>
      <c r="H3990" s="5" t="e">
        <f ca="1">_xlfn.FORMULATEXT(표1[[#This Row],[Q''ty]])</f>
        <v>#N/A</v>
      </c>
    </row>
    <row r="3991" spans="1:8" ht="15" hidden="1" customHeight="1" x14ac:dyDescent="0.4">
      <c r="A3991" s="6">
        <v>2026</v>
      </c>
      <c r="B3991" s="6">
        <f t="shared" si="510"/>
        <v>41</v>
      </c>
      <c r="C3991" s="13" t="s">
        <v>18</v>
      </c>
      <c r="D3991" s="2" t="s">
        <v>12</v>
      </c>
      <c r="E3991" s="14" t="str">
        <f t="shared" si="513"/>
        <v>WT GT</v>
      </c>
      <c r="F3991" s="22"/>
      <c r="H3991" s="5" t="e">
        <f ca="1">_xlfn.FORMULATEXT(표1[[#This Row],[Q''ty]])</f>
        <v>#N/A</v>
      </c>
    </row>
    <row r="3992" spans="1:8" ht="15" hidden="1" customHeight="1" x14ac:dyDescent="0.4">
      <c r="A3992" s="6">
        <v>2026</v>
      </c>
      <c r="B3992" s="6">
        <f t="shared" si="510"/>
        <v>41</v>
      </c>
      <c r="C3992" s="13" t="s">
        <v>18</v>
      </c>
      <c r="D3992" s="2" t="s">
        <v>12</v>
      </c>
      <c r="E3992" s="14" t="str">
        <f t="shared" si="513"/>
        <v>Bending</v>
      </c>
      <c r="F3992" s="22"/>
      <c r="H3992" s="5" t="e">
        <f ca="1">_xlfn.FORMULATEXT(표1[[#This Row],[Q''ty]])</f>
        <v>#N/A</v>
      </c>
    </row>
    <row r="3993" spans="1:8" ht="15" hidden="1" customHeight="1" x14ac:dyDescent="0.4">
      <c r="A3993" s="6">
        <v>2026</v>
      </c>
      <c r="B3993" s="6">
        <f t="shared" si="510"/>
        <v>41</v>
      </c>
      <c r="C3993" s="13" t="s">
        <v>18</v>
      </c>
      <c r="D3993" s="2" t="s">
        <v>12</v>
      </c>
      <c r="E3993" s="14" t="str">
        <f t="shared" si="513"/>
        <v>L/W</v>
      </c>
      <c r="F3993" s="22"/>
      <c r="H3993" s="5" t="e">
        <f ca="1">_xlfn.FORMULATEXT(표1[[#This Row],[Q''ty]])</f>
        <v>#N/A</v>
      </c>
    </row>
    <row r="3994" spans="1:8" ht="15" hidden="1" customHeight="1" thickBot="1" x14ac:dyDescent="0.45">
      <c r="A3994" s="15">
        <v>2026</v>
      </c>
      <c r="B3994" s="15">
        <f t="shared" si="510"/>
        <v>41</v>
      </c>
      <c r="C3994" s="16" t="s">
        <v>18</v>
      </c>
      <c r="D3994" s="17" t="s">
        <v>12</v>
      </c>
      <c r="E3994" s="18" t="str">
        <f t="shared" si="513"/>
        <v>C/W</v>
      </c>
      <c r="F3994" s="23"/>
      <c r="H3994" s="5" t="e">
        <f ca="1">_xlfn.FORMULATEXT(표1[[#This Row],[Q''ty]])</f>
        <v>#N/A</v>
      </c>
    </row>
    <row r="3995" spans="1:8" ht="15" hidden="1" customHeight="1" thickTop="1" x14ac:dyDescent="0.4">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hidden="1" customHeight="1" x14ac:dyDescent="0.4">
      <c r="A3996" s="6">
        <v>2026</v>
      </c>
      <c r="B3996" s="6">
        <f t="shared" si="510"/>
        <v>41</v>
      </c>
      <c r="C3996" s="13" t="s">
        <v>19</v>
      </c>
      <c r="D3996" s="2" t="s">
        <v>6</v>
      </c>
      <c r="E3996" s="14" t="str">
        <f t="shared" si="513"/>
        <v>Paint Booth</v>
      </c>
      <c r="F3996" s="22">
        <f t="shared" si="514"/>
        <v>22</v>
      </c>
      <c r="H3996" s="5" t="str">
        <f ca="1">_xlfn.FORMULATEXT(표1[[#This Row],[Q''ty]])</f>
        <v>=F3897</v>
      </c>
    </row>
    <row r="3997" spans="1:8" ht="15" hidden="1" customHeight="1" x14ac:dyDescent="0.4">
      <c r="A3997" s="6">
        <v>2026</v>
      </c>
      <c r="B3997" s="6">
        <f t="shared" si="510"/>
        <v>41</v>
      </c>
      <c r="C3997" s="13" t="s">
        <v>19</v>
      </c>
      <c r="D3997" s="2" t="s">
        <v>6</v>
      </c>
      <c r="E3997" s="14" t="str">
        <f t="shared" si="513"/>
        <v>Paint Line</v>
      </c>
      <c r="F3997" s="22">
        <f t="shared" si="514"/>
        <v>6</v>
      </c>
      <c r="H3997" s="5" t="str">
        <f ca="1">_xlfn.FORMULATEXT(표1[[#This Row],[Q''ty]])</f>
        <v>=F3898</v>
      </c>
    </row>
    <row r="3998" spans="1:8" ht="15" hidden="1" customHeight="1" x14ac:dyDescent="0.4">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hidden="1" customHeight="1" x14ac:dyDescent="0.4">
      <c r="A3999" s="6">
        <v>2026</v>
      </c>
      <c r="B3999" s="6">
        <f t="shared" si="510"/>
        <v>41</v>
      </c>
      <c r="C3999" s="13" t="s">
        <v>19</v>
      </c>
      <c r="D3999" s="2" t="s">
        <v>6</v>
      </c>
      <c r="E3999" s="14" t="str">
        <f t="shared" si="513"/>
        <v>L/W Machine</v>
      </c>
      <c r="F3999" s="22">
        <f t="shared" si="514"/>
        <v>10</v>
      </c>
      <c r="H3999" s="5" t="str">
        <f ca="1">_xlfn.FORMULATEXT(표1[[#This Row],[Q''ty]])</f>
        <v>=F3900</v>
      </c>
    </row>
    <row r="4000" spans="1:8" ht="15" hidden="1" customHeight="1" x14ac:dyDescent="0.4">
      <c r="A4000" s="6">
        <v>2026</v>
      </c>
      <c r="B4000" s="6">
        <f t="shared" si="510"/>
        <v>41</v>
      </c>
      <c r="C4000" s="13" t="s">
        <v>19</v>
      </c>
      <c r="D4000" s="2" t="s">
        <v>6</v>
      </c>
      <c r="E4000" s="14" t="str">
        <f t="shared" si="513"/>
        <v>C/W Machine</v>
      </c>
      <c r="F4000" s="22">
        <f t="shared" si="514"/>
        <v>12</v>
      </c>
      <c r="H4000" s="5" t="str">
        <f ca="1">_xlfn.FORMULATEXT(표1[[#This Row],[Q''ty]])</f>
        <v>=F3901</v>
      </c>
    </row>
    <row r="4001" spans="1:8" ht="15" hidden="1" customHeight="1" x14ac:dyDescent="0.4">
      <c r="A4001" s="6">
        <v>2026</v>
      </c>
      <c r="B4001" s="6">
        <f t="shared" si="510"/>
        <v>41</v>
      </c>
      <c r="C4001" s="13" t="s">
        <v>19</v>
      </c>
      <c r="D4001" s="2" t="s">
        <v>12</v>
      </c>
      <c r="E4001" s="14" t="str">
        <f t="shared" si="513"/>
        <v>BT GT</v>
      </c>
      <c r="F4001" s="22"/>
      <c r="H4001" s="5" t="e">
        <f ca="1">_xlfn.FORMULATEXT(표1[[#This Row],[Q''ty]])</f>
        <v>#N/A</v>
      </c>
    </row>
    <row r="4002" spans="1:8" ht="15" hidden="1" customHeight="1" x14ac:dyDescent="0.4">
      <c r="A4002" s="6">
        <v>2026</v>
      </c>
      <c r="B4002" s="6">
        <f t="shared" si="510"/>
        <v>41</v>
      </c>
      <c r="C4002" s="13" t="s">
        <v>19</v>
      </c>
      <c r="D4002" s="2" t="s">
        <v>12</v>
      </c>
      <c r="E4002" s="14" t="str">
        <f t="shared" si="513"/>
        <v>WT GT</v>
      </c>
      <c r="F4002" s="22"/>
      <c r="H4002" s="5" t="e">
        <f ca="1">_xlfn.FORMULATEXT(표1[[#This Row],[Q''ty]])</f>
        <v>#N/A</v>
      </c>
    </row>
    <row r="4003" spans="1:8" ht="15" hidden="1" customHeight="1" x14ac:dyDescent="0.4">
      <c r="A4003" s="6">
        <v>2026</v>
      </c>
      <c r="B4003" s="6">
        <f t="shared" si="510"/>
        <v>41</v>
      </c>
      <c r="C4003" s="13" t="s">
        <v>19</v>
      </c>
      <c r="D4003" s="2" t="s">
        <v>12</v>
      </c>
      <c r="E4003" s="14" t="str">
        <f t="shared" si="513"/>
        <v>Bending</v>
      </c>
      <c r="F4003" s="22"/>
      <c r="H4003" s="5" t="e">
        <f ca="1">_xlfn.FORMULATEXT(표1[[#This Row],[Q''ty]])</f>
        <v>#N/A</v>
      </c>
    </row>
    <row r="4004" spans="1:8" ht="15" hidden="1" customHeight="1" x14ac:dyDescent="0.4">
      <c r="A4004" s="6">
        <v>2026</v>
      </c>
      <c r="B4004" s="6">
        <f t="shared" si="510"/>
        <v>41</v>
      </c>
      <c r="C4004" s="13" t="s">
        <v>19</v>
      </c>
      <c r="D4004" s="2" t="s">
        <v>12</v>
      </c>
      <c r="E4004" s="14" t="str">
        <f t="shared" si="513"/>
        <v>L/W</v>
      </c>
      <c r="F4004" s="22"/>
      <c r="H4004" s="5" t="e">
        <f ca="1">_xlfn.FORMULATEXT(표1[[#This Row],[Q''ty]])</f>
        <v>#N/A</v>
      </c>
    </row>
    <row r="4005" spans="1:8" ht="15" hidden="1" customHeight="1" thickBot="1" x14ac:dyDescent="0.45">
      <c r="A4005" s="15">
        <v>2026</v>
      </c>
      <c r="B4005" s="15">
        <f t="shared" si="510"/>
        <v>41</v>
      </c>
      <c r="C4005" s="16" t="s">
        <v>19</v>
      </c>
      <c r="D4005" s="17" t="s">
        <v>12</v>
      </c>
      <c r="E4005" s="18" t="str">
        <f t="shared" si="513"/>
        <v>C/W</v>
      </c>
      <c r="F4005" s="23"/>
      <c r="H4005" s="5" t="e">
        <f ca="1">_xlfn.FORMULATEXT(표1[[#This Row],[Q''ty]])</f>
        <v>#N/A</v>
      </c>
    </row>
    <row r="4006" spans="1:8" ht="15" hidden="1" customHeight="1" thickTop="1" x14ac:dyDescent="0.4">
      <c r="A4006" s="6">
        <v>2026</v>
      </c>
      <c r="B4006" s="6">
        <f t="shared" si="510"/>
        <v>41</v>
      </c>
      <c r="C4006" s="13" t="s">
        <v>25</v>
      </c>
      <c r="D4006" s="2" t="s">
        <v>6</v>
      </c>
      <c r="E4006" s="14" t="s">
        <v>7</v>
      </c>
      <c r="F4006" s="22">
        <f t="shared" ref="F4006:F4011" si="515">F3907</f>
        <v>3</v>
      </c>
      <c r="H4006" s="5" t="str">
        <f ca="1">_xlfn.FORMULATEXT(표1[[#This Row],[Q''ty]])</f>
        <v>=F3907</v>
      </c>
    </row>
    <row r="4007" spans="1:8" ht="15" hidden="1" customHeight="1" x14ac:dyDescent="0.4">
      <c r="A4007" s="6">
        <v>2026</v>
      </c>
      <c r="B4007" s="6">
        <f t="shared" si="510"/>
        <v>41</v>
      </c>
      <c r="C4007" s="13" t="s">
        <v>25</v>
      </c>
      <c r="D4007" s="2" t="s">
        <v>6</v>
      </c>
      <c r="E4007" s="14" t="s">
        <v>8</v>
      </c>
      <c r="F4007" s="22">
        <f t="shared" si="515"/>
        <v>3</v>
      </c>
      <c r="H4007" s="5" t="str">
        <f ca="1">_xlfn.FORMULATEXT(표1[[#This Row],[Q''ty]])</f>
        <v>=F3908</v>
      </c>
    </row>
    <row r="4008" spans="1:8" ht="15" hidden="1" customHeight="1" x14ac:dyDescent="0.4">
      <c r="A4008" s="6">
        <v>2026</v>
      </c>
      <c r="B4008" s="6">
        <f t="shared" si="510"/>
        <v>41</v>
      </c>
      <c r="C4008" s="13" t="s">
        <v>25</v>
      </c>
      <c r="D4008" s="2" t="s">
        <v>6</v>
      </c>
      <c r="E4008" s="14" t="s">
        <v>9</v>
      </c>
      <c r="F4008" s="22">
        <f t="shared" si="515"/>
        <v>2</v>
      </c>
      <c r="H4008" s="5" t="str">
        <f ca="1">_xlfn.FORMULATEXT(표1[[#This Row],[Q''ty]])</f>
        <v>=F3909</v>
      </c>
    </row>
    <row r="4009" spans="1:8" ht="15" hidden="1" customHeight="1" x14ac:dyDescent="0.4">
      <c r="A4009" s="6">
        <v>2026</v>
      </c>
      <c r="B4009" s="6">
        <f t="shared" si="510"/>
        <v>41</v>
      </c>
      <c r="C4009" s="13" t="s">
        <v>25</v>
      </c>
      <c r="D4009" s="2" t="s">
        <v>6</v>
      </c>
      <c r="E4009" s="14" t="s">
        <v>27</v>
      </c>
      <c r="F4009" s="22">
        <f t="shared" si="515"/>
        <v>2</v>
      </c>
      <c r="H4009" s="5" t="str">
        <f ca="1">_xlfn.FORMULATEXT(표1[[#This Row],[Q''ty]])</f>
        <v>=F3910</v>
      </c>
    </row>
    <row r="4010" spans="1:8" ht="15" hidden="1" customHeight="1" x14ac:dyDescent="0.4">
      <c r="A4010" s="6">
        <v>2026</v>
      </c>
      <c r="B4010" s="6">
        <f t="shared" si="510"/>
        <v>41</v>
      </c>
      <c r="C4010" s="13" t="s">
        <v>25</v>
      </c>
      <c r="D4010" s="2" t="s">
        <v>6</v>
      </c>
      <c r="E4010" s="14" t="s">
        <v>10</v>
      </c>
      <c r="F4010" s="22">
        <f t="shared" si="515"/>
        <v>3</v>
      </c>
      <c r="H4010" s="5" t="str">
        <f ca="1">_xlfn.FORMULATEXT(표1[[#This Row],[Q''ty]])</f>
        <v>=F3911</v>
      </c>
    </row>
    <row r="4011" spans="1:8" ht="15" hidden="1" customHeight="1" x14ac:dyDescent="0.4">
      <c r="A4011" s="6">
        <v>2026</v>
      </c>
      <c r="B4011" s="6">
        <f t="shared" si="510"/>
        <v>41</v>
      </c>
      <c r="C4011" s="13" t="s">
        <v>25</v>
      </c>
      <c r="D4011" s="2" t="s">
        <v>6</v>
      </c>
      <c r="E4011" s="14" t="s">
        <v>11</v>
      </c>
      <c r="F4011" s="22">
        <f t="shared" si="515"/>
        <v>4</v>
      </c>
      <c r="H4011" s="5" t="str">
        <f ca="1">_xlfn.FORMULATEXT(표1[[#This Row],[Q''ty]])</f>
        <v>=F3912</v>
      </c>
    </row>
    <row r="4012" spans="1:8" ht="15" hidden="1" customHeight="1" x14ac:dyDescent="0.4">
      <c r="A4012" s="6">
        <v>2026</v>
      </c>
      <c r="B4012" s="6">
        <f t="shared" si="510"/>
        <v>41</v>
      </c>
      <c r="C4012" s="13" t="s">
        <v>25</v>
      </c>
      <c r="D4012" s="2" t="s">
        <v>12</v>
      </c>
      <c r="E4012" s="14" t="s">
        <v>13</v>
      </c>
      <c r="F4012" s="22"/>
      <c r="H4012" s="5" t="e">
        <f ca="1">_xlfn.FORMULATEXT(표1[[#This Row],[Q''ty]])</f>
        <v>#N/A</v>
      </c>
    </row>
    <row r="4013" spans="1:8" ht="15" hidden="1" customHeight="1" x14ac:dyDescent="0.4">
      <c r="A4013" s="6">
        <v>2026</v>
      </c>
      <c r="B4013" s="6">
        <f t="shared" si="510"/>
        <v>41</v>
      </c>
      <c r="C4013" s="13" t="s">
        <v>25</v>
      </c>
      <c r="D4013" s="2" t="s">
        <v>12</v>
      </c>
      <c r="E4013" s="14" t="s">
        <v>14</v>
      </c>
      <c r="F4013" s="22"/>
      <c r="H4013" s="5" t="e">
        <f ca="1">_xlfn.FORMULATEXT(표1[[#This Row],[Q''ty]])</f>
        <v>#N/A</v>
      </c>
    </row>
    <row r="4014" spans="1:8" ht="15" hidden="1" customHeight="1" x14ac:dyDescent="0.4">
      <c r="A4014" s="6">
        <v>2026</v>
      </c>
      <c r="B4014" s="6">
        <f t="shared" si="510"/>
        <v>41</v>
      </c>
      <c r="C4014" s="13" t="s">
        <v>25</v>
      </c>
      <c r="D4014" s="2" t="s">
        <v>12</v>
      </c>
      <c r="E4014" s="14" t="s">
        <v>15</v>
      </c>
      <c r="F4014" s="22"/>
      <c r="H4014" s="5" t="e">
        <f ca="1">_xlfn.FORMULATEXT(표1[[#This Row],[Q''ty]])</f>
        <v>#N/A</v>
      </c>
    </row>
    <row r="4015" spans="1:8" ht="15" hidden="1" customHeight="1" x14ac:dyDescent="0.4">
      <c r="A4015" s="6">
        <v>2026</v>
      </c>
      <c r="B4015" s="6">
        <f t="shared" si="510"/>
        <v>41</v>
      </c>
      <c r="C4015" s="13" t="s">
        <v>25</v>
      </c>
      <c r="D4015" s="2" t="s">
        <v>12</v>
      </c>
      <c r="E4015" s="14" t="s">
        <v>16</v>
      </c>
      <c r="F4015" s="22"/>
      <c r="H4015" s="5" t="e">
        <f ca="1">_xlfn.FORMULATEXT(표1[[#This Row],[Q''ty]])</f>
        <v>#N/A</v>
      </c>
    </row>
    <row r="4016" spans="1:8" ht="15" hidden="1" customHeight="1" thickBot="1" x14ac:dyDescent="0.45">
      <c r="A4016" s="15">
        <v>2026</v>
      </c>
      <c r="B4016" s="15">
        <f t="shared" si="510"/>
        <v>41</v>
      </c>
      <c r="C4016" s="16" t="s">
        <v>25</v>
      </c>
      <c r="D4016" s="17" t="s">
        <v>12</v>
      </c>
      <c r="E4016" s="18" t="s">
        <v>17</v>
      </c>
      <c r="F4016" s="23"/>
      <c r="H4016" s="5" t="e">
        <f ca="1">_xlfn.FORMULATEXT(표1[[#This Row],[Q''ty]])</f>
        <v>#N/A</v>
      </c>
    </row>
    <row r="4017" spans="1:8" ht="15" hidden="1" customHeight="1" thickTop="1" x14ac:dyDescent="0.4">
      <c r="A4017" s="6">
        <v>2026</v>
      </c>
      <c r="B4017" s="6">
        <f t="shared" si="510"/>
        <v>41</v>
      </c>
      <c r="C4017" s="13" t="s">
        <v>26</v>
      </c>
      <c r="D4017" s="2" t="s">
        <v>6</v>
      </c>
      <c r="E4017" s="14" t="s">
        <v>7</v>
      </c>
      <c r="F4017" s="22">
        <f t="shared" ref="F4017:F4022" si="516">F3918</f>
        <v>6</v>
      </c>
      <c r="H4017" s="5" t="str">
        <f ca="1">_xlfn.FORMULATEXT(표1[[#This Row],[Q''ty]])</f>
        <v>=F3918</v>
      </c>
    </row>
    <row r="4018" spans="1:8" ht="15" hidden="1" customHeight="1" x14ac:dyDescent="0.4">
      <c r="A4018" s="6">
        <v>2026</v>
      </c>
      <c r="B4018" s="6">
        <f t="shared" si="510"/>
        <v>41</v>
      </c>
      <c r="C4018" s="13" t="s">
        <v>26</v>
      </c>
      <c r="D4018" s="2" t="s">
        <v>6</v>
      </c>
      <c r="E4018" s="14" t="s">
        <v>8</v>
      </c>
      <c r="F4018" s="22">
        <f t="shared" si="516"/>
        <v>4</v>
      </c>
      <c r="H4018" s="5" t="str">
        <f ca="1">_xlfn.FORMULATEXT(표1[[#This Row],[Q''ty]])</f>
        <v>=F3919</v>
      </c>
    </row>
    <row r="4019" spans="1:8" ht="15" hidden="1" customHeight="1" x14ac:dyDescent="0.4">
      <c r="A4019" s="6">
        <v>2026</v>
      </c>
      <c r="B4019" s="6">
        <f t="shared" si="510"/>
        <v>41</v>
      </c>
      <c r="C4019" s="13" t="s">
        <v>26</v>
      </c>
      <c r="D4019" s="2" t="s">
        <v>6</v>
      </c>
      <c r="E4019" s="14" t="s">
        <v>9</v>
      </c>
      <c r="F4019" s="22">
        <f t="shared" si="516"/>
        <v>2</v>
      </c>
      <c r="H4019" s="5" t="str">
        <f ca="1">_xlfn.FORMULATEXT(표1[[#This Row],[Q''ty]])</f>
        <v>=F3920</v>
      </c>
    </row>
    <row r="4020" spans="1:8" ht="15" hidden="1" customHeight="1" x14ac:dyDescent="0.4">
      <c r="A4020" s="6">
        <v>2026</v>
      </c>
      <c r="B4020" s="6">
        <f t="shared" si="510"/>
        <v>41</v>
      </c>
      <c r="C4020" s="13" t="s">
        <v>26</v>
      </c>
      <c r="D4020" s="2" t="s">
        <v>6</v>
      </c>
      <c r="E4020" s="14" t="s">
        <v>27</v>
      </c>
      <c r="F4020" s="22">
        <f t="shared" si="516"/>
        <v>3</v>
      </c>
      <c r="H4020" s="5" t="str">
        <f ca="1">_xlfn.FORMULATEXT(표1[[#This Row],[Q''ty]])</f>
        <v>=F3921</v>
      </c>
    </row>
    <row r="4021" spans="1:8" ht="15" hidden="1" customHeight="1" x14ac:dyDescent="0.4">
      <c r="A4021" s="6">
        <v>2026</v>
      </c>
      <c r="B4021" s="6">
        <f t="shared" si="510"/>
        <v>41</v>
      </c>
      <c r="C4021" s="13" t="s">
        <v>26</v>
      </c>
      <c r="D4021" s="2" t="s">
        <v>6</v>
      </c>
      <c r="E4021" s="14" t="s">
        <v>10</v>
      </c>
      <c r="F4021" s="22">
        <f t="shared" si="516"/>
        <v>4</v>
      </c>
      <c r="H4021" s="5" t="str">
        <f ca="1">_xlfn.FORMULATEXT(표1[[#This Row],[Q''ty]])</f>
        <v>=F3922</v>
      </c>
    </row>
    <row r="4022" spans="1:8" ht="15" hidden="1" customHeight="1" x14ac:dyDescent="0.4">
      <c r="A4022" s="6">
        <v>2026</v>
      </c>
      <c r="B4022" s="6">
        <f t="shared" si="510"/>
        <v>41</v>
      </c>
      <c r="C4022" s="13" t="s">
        <v>26</v>
      </c>
      <c r="D4022" s="2" t="s">
        <v>6</v>
      </c>
      <c r="E4022" s="14" t="s">
        <v>11</v>
      </c>
      <c r="F4022" s="22">
        <f t="shared" si="516"/>
        <v>6</v>
      </c>
      <c r="H4022" s="5" t="str">
        <f ca="1">_xlfn.FORMULATEXT(표1[[#This Row],[Q''ty]])</f>
        <v>=F3923</v>
      </c>
    </row>
    <row r="4023" spans="1:8" ht="15" hidden="1" customHeight="1" x14ac:dyDescent="0.4">
      <c r="A4023" s="6">
        <v>2026</v>
      </c>
      <c r="B4023" s="6">
        <f t="shared" si="510"/>
        <v>41</v>
      </c>
      <c r="C4023" s="13" t="s">
        <v>26</v>
      </c>
      <c r="D4023" s="2" t="s">
        <v>12</v>
      </c>
      <c r="E4023" s="14" t="str">
        <f t="shared" ref="E4023:E4060" si="517">E3924</f>
        <v>BT GT</v>
      </c>
      <c r="F4023" s="22"/>
      <c r="H4023" s="5" t="e">
        <f ca="1">_xlfn.FORMULATEXT(표1[[#This Row],[Q''ty]])</f>
        <v>#N/A</v>
      </c>
    </row>
    <row r="4024" spans="1:8" ht="15" hidden="1" customHeight="1" x14ac:dyDescent="0.4">
      <c r="A4024" s="6">
        <v>2026</v>
      </c>
      <c r="B4024" s="6">
        <f t="shared" si="510"/>
        <v>41</v>
      </c>
      <c r="C4024" s="13" t="s">
        <v>26</v>
      </c>
      <c r="D4024" s="2" t="s">
        <v>12</v>
      </c>
      <c r="E4024" s="14" t="str">
        <f t="shared" si="517"/>
        <v>WT GT</v>
      </c>
      <c r="F4024" s="22"/>
      <c r="H4024" s="5" t="e">
        <f ca="1">_xlfn.FORMULATEXT(표1[[#This Row],[Q''ty]])</f>
        <v>#N/A</v>
      </c>
    </row>
    <row r="4025" spans="1:8" ht="15" hidden="1" customHeight="1" x14ac:dyDescent="0.4">
      <c r="A4025" s="6">
        <v>2026</v>
      </c>
      <c r="B4025" s="6">
        <f t="shared" si="510"/>
        <v>41</v>
      </c>
      <c r="C4025" s="13" t="s">
        <v>26</v>
      </c>
      <c r="D4025" s="2" t="s">
        <v>12</v>
      </c>
      <c r="E4025" s="14" t="str">
        <f t="shared" si="517"/>
        <v>Bending</v>
      </c>
      <c r="F4025" s="22"/>
      <c r="H4025" s="5" t="e">
        <f ca="1">_xlfn.FORMULATEXT(표1[[#This Row],[Q''ty]])</f>
        <v>#N/A</v>
      </c>
    </row>
    <row r="4026" spans="1:8" ht="15" hidden="1" customHeight="1" x14ac:dyDescent="0.4">
      <c r="A4026" s="6">
        <v>2026</v>
      </c>
      <c r="B4026" s="6">
        <f t="shared" si="510"/>
        <v>41</v>
      </c>
      <c r="C4026" s="13" t="s">
        <v>26</v>
      </c>
      <c r="D4026" s="2" t="s">
        <v>12</v>
      </c>
      <c r="E4026" s="14" t="str">
        <f t="shared" si="517"/>
        <v>L/W</v>
      </c>
      <c r="F4026" s="22"/>
      <c r="H4026" s="5" t="e">
        <f ca="1">_xlfn.FORMULATEXT(표1[[#This Row],[Q''ty]])</f>
        <v>#N/A</v>
      </c>
    </row>
    <row r="4027" spans="1:8" ht="15" hidden="1" customHeight="1" thickBot="1" x14ac:dyDescent="0.45">
      <c r="A4027" s="15">
        <v>2026</v>
      </c>
      <c r="B4027" s="15">
        <f t="shared" ref="B4027:B4060" si="518">B3928+1</f>
        <v>41</v>
      </c>
      <c r="C4027" s="16" t="s">
        <v>26</v>
      </c>
      <c r="D4027" s="17" t="s">
        <v>12</v>
      </c>
      <c r="E4027" s="18" t="str">
        <f t="shared" si="517"/>
        <v>C/W</v>
      </c>
      <c r="F4027" s="23"/>
      <c r="H4027" s="5" t="e">
        <f ca="1">_xlfn.FORMULATEXT(표1[[#This Row],[Q''ty]])</f>
        <v>#N/A</v>
      </c>
    </row>
    <row r="4028" spans="1:8" ht="15" hidden="1" customHeight="1" thickTop="1" x14ac:dyDescent="0.4">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hidden="1" customHeight="1" x14ac:dyDescent="0.4">
      <c r="A4029" s="6">
        <v>2026</v>
      </c>
      <c r="B4029" s="6">
        <f t="shared" si="518"/>
        <v>41</v>
      </c>
      <c r="C4029" s="13" t="s">
        <v>20</v>
      </c>
      <c r="D4029" s="2" t="s">
        <v>6</v>
      </c>
      <c r="E4029" s="14" t="str">
        <f t="shared" si="517"/>
        <v>Paint Booth</v>
      </c>
      <c r="F4029" s="22">
        <f t="shared" si="519"/>
        <v>16</v>
      </c>
      <c r="H4029" s="5" t="str">
        <f ca="1">_xlfn.FORMULATEXT(표1[[#This Row],[Q''ty]])</f>
        <v>=F3930</v>
      </c>
    </row>
    <row r="4030" spans="1:8" ht="15" hidden="1" customHeight="1" x14ac:dyDescent="0.4">
      <c r="A4030" s="6">
        <v>2026</v>
      </c>
      <c r="B4030" s="6">
        <f t="shared" si="518"/>
        <v>41</v>
      </c>
      <c r="C4030" s="13" t="s">
        <v>20</v>
      </c>
      <c r="D4030" s="2" t="s">
        <v>6</v>
      </c>
      <c r="E4030" s="14" t="str">
        <f t="shared" si="517"/>
        <v>Paint Line</v>
      </c>
      <c r="F4030" s="22">
        <f t="shared" si="519"/>
        <v>8</v>
      </c>
      <c r="H4030" s="5" t="str">
        <f ca="1">_xlfn.FORMULATEXT(표1[[#This Row],[Q''ty]])</f>
        <v>=F3931</v>
      </c>
    </row>
    <row r="4031" spans="1:8" ht="15" hidden="1" customHeight="1" x14ac:dyDescent="0.4">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hidden="1" customHeight="1" x14ac:dyDescent="0.4">
      <c r="A4032" s="6">
        <v>2026</v>
      </c>
      <c r="B4032" s="6">
        <f t="shared" si="518"/>
        <v>41</v>
      </c>
      <c r="C4032" s="13" t="s">
        <v>20</v>
      </c>
      <c r="D4032" s="2" t="s">
        <v>6</v>
      </c>
      <c r="E4032" s="14" t="str">
        <f t="shared" si="517"/>
        <v>L/W Machine</v>
      </c>
      <c r="F4032" s="22">
        <f t="shared" si="519"/>
        <v>11</v>
      </c>
      <c r="H4032" s="5" t="str">
        <f ca="1">_xlfn.FORMULATEXT(표1[[#This Row],[Q''ty]])</f>
        <v>=F3933</v>
      </c>
    </row>
    <row r="4033" spans="1:8" ht="15" hidden="1" customHeight="1" x14ac:dyDescent="0.4">
      <c r="A4033" s="6">
        <v>2026</v>
      </c>
      <c r="B4033" s="6">
        <f t="shared" si="518"/>
        <v>41</v>
      </c>
      <c r="C4033" s="13" t="s">
        <v>20</v>
      </c>
      <c r="D4033" s="2" t="s">
        <v>6</v>
      </c>
      <c r="E4033" s="14" t="str">
        <f t="shared" si="517"/>
        <v>C/W Machine</v>
      </c>
      <c r="F4033" s="22">
        <f t="shared" si="519"/>
        <v>15</v>
      </c>
      <c r="H4033" s="5" t="str">
        <f ca="1">_xlfn.FORMULATEXT(표1[[#This Row],[Q''ty]])</f>
        <v>=F3934</v>
      </c>
    </row>
    <row r="4034" spans="1:8" ht="15" hidden="1" customHeight="1" x14ac:dyDescent="0.4">
      <c r="A4034" s="6">
        <v>2026</v>
      </c>
      <c r="B4034" s="6">
        <f t="shared" si="518"/>
        <v>41</v>
      </c>
      <c r="C4034" s="13" t="s">
        <v>20</v>
      </c>
      <c r="D4034" s="2" t="s">
        <v>12</v>
      </c>
      <c r="E4034" s="14" t="str">
        <f t="shared" si="517"/>
        <v>BT GT</v>
      </c>
      <c r="F4034" s="22"/>
      <c r="H4034" s="5" t="e">
        <f ca="1">_xlfn.FORMULATEXT(표1[[#This Row],[Q''ty]])</f>
        <v>#N/A</v>
      </c>
    </row>
    <row r="4035" spans="1:8" ht="15" hidden="1" customHeight="1" x14ac:dyDescent="0.4">
      <c r="A4035" s="6">
        <v>2026</v>
      </c>
      <c r="B4035" s="6">
        <f t="shared" si="518"/>
        <v>41</v>
      </c>
      <c r="C4035" s="13" t="s">
        <v>20</v>
      </c>
      <c r="D4035" s="2" t="s">
        <v>12</v>
      </c>
      <c r="E4035" s="14" t="str">
        <f t="shared" si="517"/>
        <v>WT GT</v>
      </c>
      <c r="F4035" s="22"/>
      <c r="H4035" s="5" t="e">
        <f ca="1">_xlfn.FORMULATEXT(표1[[#This Row],[Q''ty]])</f>
        <v>#N/A</v>
      </c>
    </row>
    <row r="4036" spans="1:8" ht="15" hidden="1" customHeight="1" x14ac:dyDescent="0.4">
      <c r="A4036" s="6">
        <v>2026</v>
      </c>
      <c r="B4036" s="6">
        <f t="shared" si="518"/>
        <v>41</v>
      </c>
      <c r="C4036" s="13" t="s">
        <v>20</v>
      </c>
      <c r="D4036" s="2" t="s">
        <v>12</v>
      </c>
      <c r="E4036" s="14" t="str">
        <f t="shared" si="517"/>
        <v>Bending</v>
      </c>
      <c r="F4036" s="22"/>
      <c r="H4036" s="5" t="e">
        <f ca="1">_xlfn.FORMULATEXT(표1[[#This Row],[Q''ty]])</f>
        <v>#N/A</v>
      </c>
    </row>
    <row r="4037" spans="1:8" ht="15" hidden="1" customHeight="1" x14ac:dyDescent="0.4">
      <c r="A4037" s="6">
        <v>2026</v>
      </c>
      <c r="B4037" s="6">
        <f t="shared" si="518"/>
        <v>41</v>
      </c>
      <c r="C4037" s="13" t="s">
        <v>20</v>
      </c>
      <c r="D4037" s="2" t="s">
        <v>12</v>
      </c>
      <c r="E4037" s="14" t="str">
        <f t="shared" si="517"/>
        <v>L/W</v>
      </c>
      <c r="F4037" s="22"/>
      <c r="H4037" s="5" t="e">
        <f ca="1">_xlfn.FORMULATEXT(표1[[#This Row],[Q''ty]])</f>
        <v>#N/A</v>
      </c>
    </row>
    <row r="4038" spans="1:8" ht="15" hidden="1" customHeight="1" thickBot="1" x14ac:dyDescent="0.45">
      <c r="A4038" s="15">
        <v>2026</v>
      </c>
      <c r="B4038" s="15">
        <f t="shared" si="518"/>
        <v>41</v>
      </c>
      <c r="C4038" s="16" t="s">
        <v>20</v>
      </c>
      <c r="D4038" s="17" t="s">
        <v>12</v>
      </c>
      <c r="E4038" s="18" t="str">
        <f t="shared" si="517"/>
        <v>C/W</v>
      </c>
      <c r="F4038" s="23"/>
      <c r="H4038" s="5" t="e">
        <f ca="1">_xlfn.FORMULATEXT(표1[[#This Row],[Q''ty]])</f>
        <v>#N/A</v>
      </c>
    </row>
    <row r="4039" spans="1:8" ht="15" hidden="1" customHeight="1" thickTop="1" x14ac:dyDescent="0.4">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hidden="1" customHeight="1" x14ac:dyDescent="0.4">
      <c r="A4040" s="6">
        <v>2026</v>
      </c>
      <c r="B4040" s="6">
        <f t="shared" si="518"/>
        <v>41</v>
      </c>
      <c r="C4040" s="13" t="s">
        <v>21</v>
      </c>
      <c r="D4040" s="2" t="s">
        <v>6</v>
      </c>
      <c r="E4040" s="14" t="str">
        <f t="shared" si="517"/>
        <v>Paint Booth</v>
      </c>
      <c r="F4040" s="22">
        <f t="shared" si="520"/>
        <v>4</v>
      </c>
      <c r="H4040" s="5" t="str">
        <f ca="1">_xlfn.FORMULATEXT(표1[[#This Row],[Q''ty]])</f>
        <v>=F3941</v>
      </c>
    </row>
    <row r="4041" spans="1:8" ht="15" hidden="1" customHeight="1" x14ac:dyDescent="0.4">
      <c r="A4041" s="6">
        <v>2026</v>
      </c>
      <c r="B4041" s="6">
        <f t="shared" si="518"/>
        <v>41</v>
      </c>
      <c r="C4041" s="13" t="s">
        <v>21</v>
      </c>
      <c r="D4041" s="2" t="s">
        <v>6</v>
      </c>
      <c r="E4041" s="14" t="str">
        <f t="shared" si="517"/>
        <v>Paint Line</v>
      </c>
      <c r="F4041" s="22">
        <f t="shared" si="520"/>
        <v>4</v>
      </c>
      <c r="H4041" s="5" t="str">
        <f ca="1">_xlfn.FORMULATEXT(표1[[#This Row],[Q''ty]])</f>
        <v>=F3942</v>
      </c>
    </row>
    <row r="4042" spans="1:8" ht="15" hidden="1" customHeight="1" x14ac:dyDescent="0.4">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hidden="1" customHeight="1" x14ac:dyDescent="0.4">
      <c r="A4043" s="6">
        <v>2026</v>
      </c>
      <c r="B4043" s="6">
        <f t="shared" si="518"/>
        <v>41</v>
      </c>
      <c r="C4043" s="13" t="s">
        <v>21</v>
      </c>
      <c r="D4043" s="2" t="s">
        <v>6</v>
      </c>
      <c r="E4043" s="14" t="str">
        <f t="shared" si="517"/>
        <v>L/W Machine</v>
      </c>
      <c r="F4043" s="22">
        <f t="shared" si="520"/>
        <v>4</v>
      </c>
      <c r="H4043" s="5" t="str">
        <f ca="1">_xlfn.FORMULATEXT(표1[[#This Row],[Q''ty]])</f>
        <v>=F3944</v>
      </c>
    </row>
    <row r="4044" spans="1:8" ht="15" hidden="1" customHeight="1" x14ac:dyDescent="0.4">
      <c r="A4044" s="6">
        <v>2026</v>
      </c>
      <c r="B4044" s="6">
        <f t="shared" si="518"/>
        <v>41</v>
      </c>
      <c r="C4044" s="13" t="s">
        <v>21</v>
      </c>
      <c r="D4044" s="2" t="s">
        <v>6</v>
      </c>
      <c r="E4044" s="14" t="str">
        <f t="shared" si="517"/>
        <v>C/W Machine</v>
      </c>
      <c r="F4044" s="22">
        <f t="shared" si="520"/>
        <v>6.5</v>
      </c>
      <c r="H4044" s="5" t="str">
        <f ca="1">_xlfn.FORMULATEXT(표1[[#This Row],[Q''ty]])</f>
        <v>=F3945</v>
      </c>
    </row>
    <row r="4045" spans="1:8" ht="15" hidden="1" customHeight="1" x14ac:dyDescent="0.4">
      <c r="A4045" s="6">
        <v>2026</v>
      </c>
      <c r="B4045" s="6">
        <f t="shared" si="518"/>
        <v>41</v>
      </c>
      <c r="C4045" s="13" t="s">
        <v>21</v>
      </c>
      <c r="D4045" s="2" t="s">
        <v>12</v>
      </c>
      <c r="E4045" s="14" t="str">
        <f t="shared" si="517"/>
        <v>BT GT</v>
      </c>
      <c r="F4045" s="22"/>
      <c r="H4045" s="5" t="e">
        <f ca="1">_xlfn.FORMULATEXT(표1[[#This Row],[Q''ty]])</f>
        <v>#N/A</v>
      </c>
    </row>
    <row r="4046" spans="1:8" ht="15" hidden="1" customHeight="1" x14ac:dyDescent="0.4">
      <c r="A4046" s="6">
        <v>2026</v>
      </c>
      <c r="B4046" s="6">
        <f t="shared" si="518"/>
        <v>41</v>
      </c>
      <c r="C4046" s="13" t="s">
        <v>21</v>
      </c>
      <c r="D4046" s="2" t="s">
        <v>12</v>
      </c>
      <c r="E4046" s="14" t="str">
        <f t="shared" si="517"/>
        <v>WT GT</v>
      </c>
      <c r="F4046" s="22"/>
      <c r="H4046" s="5" t="e">
        <f ca="1">_xlfn.FORMULATEXT(표1[[#This Row],[Q''ty]])</f>
        <v>#N/A</v>
      </c>
    </row>
    <row r="4047" spans="1:8" ht="15" hidden="1" customHeight="1" x14ac:dyDescent="0.4">
      <c r="A4047" s="6">
        <v>2026</v>
      </c>
      <c r="B4047" s="6">
        <f t="shared" si="518"/>
        <v>41</v>
      </c>
      <c r="C4047" s="13" t="s">
        <v>21</v>
      </c>
      <c r="D4047" s="2" t="s">
        <v>12</v>
      </c>
      <c r="E4047" s="14" t="str">
        <f t="shared" si="517"/>
        <v>Bending</v>
      </c>
      <c r="F4047" s="22"/>
      <c r="H4047" s="5" t="e">
        <f ca="1">_xlfn.FORMULATEXT(표1[[#This Row],[Q''ty]])</f>
        <v>#N/A</v>
      </c>
    </row>
    <row r="4048" spans="1:8" ht="15" hidden="1" customHeight="1" x14ac:dyDescent="0.4">
      <c r="A4048" s="6">
        <v>2026</v>
      </c>
      <c r="B4048" s="6">
        <f t="shared" si="518"/>
        <v>41</v>
      </c>
      <c r="C4048" s="13" t="s">
        <v>21</v>
      </c>
      <c r="D4048" s="2" t="s">
        <v>12</v>
      </c>
      <c r="E4048" s="14" t="str">
        <f t="shared" si="517"/>
        <v>L/W</v>
      </c>
      <c r="F4048" s="22"/>
      <c r="H4048" s="5" t="e">
        <f ca="1">_xlfn.FORMULATEXT(표1[[#This Row],[Q''ty]])</f>
        <v>#N/A</v>
      </c>
    </row>
    <row r="4049" spans="1:10" ht="15" hidden="1" customHeight="1" thickBot="1" x14ac:dyDescent="0.45">
      <c r="A4049" s="15">
        <v>2026</v>
      </c>
      <c r="B4049" s="15">
        <f t="shared" si="518"/>
        <v>41</v>
      </c>
      <c r="C4049" s="16" t="s">
        <v>21</v>
      </c>
      <c r="D4049" s="17" t="s">
        <v>12</v>
      </c>
      <c r="E4049" s="18" t="str">
        <f t="shared" si="517"/>
        <v>C/W</v>
      </c>
      <c r="F4049" s="23"/>
      <c r="H4049" s="5" t="e">
        <f ca="1">_xlfn.FORMULATEXT(표1[[#This Row],[Q''ty]])</f>
        <v>#N/A</v>
      </c>
    </row>
    <row r="4050" spans="1:10" ht="15" hidden="1" customHeight="1" thickTop="1" x14ac:dyDescent="0.4">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10" ht="15" hidden="1" customHeight="1" x14ac:dyDescent="0.4">
      <c r="A4051" s="6">
        <v>2026</v>
      </c>
      <c r="B4051" s="6">
        <f t="shared" si="518"/>
        <v>41</v>
      </c>
      <c r="C4051" s="13" t="s">
        <v>22</v>
      </c>
      <c r="D4051" s="2" t="s">
        <v>6</v>
      </c>
      <c r="E4051" s="14" t="str">
        <f t="shared" si="517"/>
        <v>Paint Booth</v>
      </c>
      <c r="F4051" s="22">
        <f t="shared" si="521"/>
        <v>6</v>
      </c>
      <c r="H4051" s="5" t="str">
        <f ca="1">_xlfn.FORMULATEXT(표1[[#This Row],[Q''ty]])</f>
        <v>=F3952</v>
      </c>
    </row>
    <row r="4052" spans="1:10" ht="15" hidden="1" customHeight="1" x14ac:dyDescent="0.4">
      <c r="A4052" s="6">
        <v>2026</v>
      </c>
      <c r="B4052" s="6">
        <f t="shared" si="518"/>
        <v>41</v>
      </c>
      <c r="C4052" s="13" t="s">
        <v>22</v>
      </c>
      <c r="D4052" s="2" t="s">
        <v>6</v>
      </c>
      <c r="E4052" s="14" t="str">
        <f t="shared" si="517"/>
        <v>Paint Line</v>
      </c>
      <c r="F4052" s="22">
        <f t="shared" si="521"/>
        <v>4</v>
      </c>
      <c r="H4052" s="5" t="str">
        <f ca="1">_xlfn.FORMULATEXT(표1[[#This Row],[Q''ty]])</f>
        <v>=F3953</v>
      </c>
    </row>
    <row r="4053" spans="1:10" ht="15" hidden="1" customHeight="1" x14ac:dyDescent="0.4">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10" ht="15" hidden="1" customHeight="1" x14ac:dyDescent="0.4">
      <c r="A4054" s="6">
        <v>2026</v>
      </c>
      <c r="B4054" s="6">
        <f t="shared" si="518"/>
        <v>41</v>
      </c>
      <c r="C4054" s="13" t="s">
        <v>22</v>
      </c>
      <c r="D4054" s="2" t="s">
        <v>6</v>
      </c>
      <c r="E4054" s="14" t="str">
        <f t="shared" si="517"/>
        <v>L/W Machine</v>
      </c>
      <c r="F4054" s="22">
        <f t="shared" si="521"/>
        <v>7</v>
      </c>
      <c r="H4054" s="5" t="str">
        <f ca="1">_xlfn.FORMULATEXT(표1[[#This Row],[Q''ty]])</f>
        <v>=F3955</v>
      </c>
    </row>
    <row r="4055" spans="1:10" ht="15" hidden="1" customHeight="1" x14ac:dyDescent="0.4">
      <c r="A4055" s="6">
        <v>2026</v>
      </c>
      <c r="B4055" s="6">
        <f t="shared" si="518"/>
        <v>41</v>
      </c>
      <c r="C4055" s="13" t="s">
        <v>22</v>
      </c>
      <c r="D4055" s="2" t="s">
        <v>6</v>
      </c>
      <c r="E4055" s="14" t="str">
        <f t="shared" si="517"/>
        <v>C/W Machine</v>
      </c>
      <c r="F4055" s="22">
        <f t="shared" si="521"/>
        <v>12.5</v>
      </c>
      <c r="H4055" s="5" t="str">
        <f ca="1">_xlfn.FORMULATEXT(표1[[#This Row],[Q''ty]])</f>
        <v>=F3956</v>
      </c>
    </row>
    <row r="4056" spans="1:10" ht="15" hidden="1" customHeight="1" x14ac:dyDescent="0.4">
      <c r="A4056" s="6">
        <v>2026</v>
      </c>
      <c r="B4056" s="6">
        <f t="shared" si="518"/>
        <v>41</v>
      </c>
      <c r="C4056" s="13" t="s">
        <v>22</v>
      </c>
      <c r="D4056" s="2" t="s">
        <v>12</v>
      </c>
      <c r="E4056" s="14" t="str">
        <f t="shared" si="517"/>
        <v>BT GT</v>
      </c>
      <c r="F4056" s="22"/>
      <c r="H4056" s="5" t="e">
        <f ca="1">_xlfn.FORMULATEXT(표1[[#This Row],[Q''ty]])</f>
        <v>#N/A</v>
      </c>
    </row>
    <row r="4057" spans="1:10" ht="15" hidden="1" customHeight="1" x14ac:dyDescent="0.4">
      <c r="A4057" s="6">
        <v>2026</v>
      </c>
      <c r="B4057" s="6">
        <f t="shared" si="518"/>
        <v>41</v>
      </c>
      <c r="C4057" s="13" t="s">
        <v>22</v>
      </c>
      <c r="D4057" s="2" t="s">
        <v>12</v>
      </c>
      <c r="E4057" s="14" t="str">
        <f t="shared" si="517"/>
        <v>WT GT</v>
      </c>
      <c r="F4057" s="22"/>
      <c r="H4057" s="5" t="e">
        <f ca="1">_xlfn.FORMULATEXT(표1[[#This Row],[Q''ty]])</f>
        <v>#N/A</v>
      </c>
    </row>
    <row r="4058" spans="1:10" ht="15" hidden="1" customHeight="1" x14ac:dyDescent="0.4">
      <c r="A4058" s="6">
        <v>2026</v>
      </c>
      <c r="B4058" s="6">
        <f t="shared" si="518"/>
        <v>41</v>
      </c>
      <c r="C4058" s="13" t="s">
        <v>22</v>
      </c>
      <c r="D4058" s="2" t="s">
        <v>12</v>
      </c>
      <c r="E4058" s="14" t="str">
        <f t="shared" si="517"/>
        <v>Bending</v>
      </c>
      <c r="F4058" s="22"/>
      <c r="H4058" s="5" t="e">
        <f ca="1">_xlfn.FORMULATEXT(표1[[#This Row],[Q''ty]])</f>
        <v>#N/A</v>
      </c>
    </row>
    <row r="4059" spans="1:10" ht="15" hidden="1" customHeight="1" x14ac:dyDescent="0.4">
      <c r="A4059" s="6">
        <v>2026</v>
      </c>
      <c r="B4059" s="6">
        <f t="shared" si="518"/>
        <v>41</v>
      </c>
      <c r="C4059" s="13" t="s">
        <v>22</v>
      </c>
      <c r="D4059" s="2" t="s">
        <v>12</v>
      </c>
      <c r="E4059" s="14" t="str">
        <f t="shared" si="517"/>
        <v>L/W</v>
      </c>
      <c r="F4059" s="22"/>
      <c r="H4059" s="5" t="e">
        <f ca="1">_xlfn.FORMULATEXT(표1[[#This Row],[Q''ty]])</f>
        <v>#N/A</v>
      </c>
    </row>
    <row r="4060" spans="1:10" ht="15" hidden="1" customHeight="1" thickBot="1" x14ac:dyDescent="0.45">
      <c r="A4060" s="6">
        <v>2026</v>
      </c>
      <c r="B4060" s="6">
        <f t="shared" si="518"/>
        <v>41</v>
      </c>
      <c r="C4060" s="13" t="s">
        <v>22</v>
      </c>
      <c r="D4060" s="2" t="s">
        <v>12</v>
      </c>
      <c r="E4060" s="14" t="str">
        <f t="shared" si="517"/>
        <v>C/W</v>
      </c>
      <c r="F4060" s="22"/>
      <c r="H4060" s="5" t="e">
        <f ca="1">_xlfn.FORMULATEXT(표1[[#This Row],[Q''ty]])</f>
        <v>#N/A</v>
      </c>
    </row>
    <row r="4061" spans="1:10" ht="15" hidden="1" customHeight="1" thickTop="1" x14ac:dyDescent="0.4">
      <c r="A4061" s="9">
        <v>2026</v>
      </c>
      <c r="B4061" s="9">
        <f>B3962+1</f>
        <v>42</v>
      </c>
      <c r="C4061" s="10" t="s">
        <v>28</v>
      </c>
      <c r="D4061" s="11" t="s">
        <v>6</v>
      </c>
      <c r="E4061" s="12" t="s">
        <v>7</v>
      </c>
      <c r="F4061" s="21">
        <f t="shared" ref="F4061:F4066" si="522">F3962</f>
        <v>15</v>
      </c>
      <c r="H4061" s="5" t="str">
        <f ca="1">_xlfn.FORMULATEXT(표1[[#This Row],[Q''ty]])</f>
        <v>=F3962</v>
      </c>
    </row>
    <row r="4062" spans="1:10" s="2" customFormat="1" ht="15" hidden="1" customHeight="1" x14ac:dyDescent="0.4">
      <c r="A4062" s="6">
        <v>2026</v>
      </c>
      <c r="B4062" s="6">
        <f t="shared" ref="B4062:B4125" si="523">B3963+1</f>
        <v>42</v>
      </c>
      <c r="C4062" s="13" t="s">
        <v>23</v>
      </c>
      <c r="D4062" s="2" t="s">
        <v>6</v>
      </c>
      <c r="E4062" s="14" t="s">
        <v>8</v>
      </c>
      <c r="F4062" s="22">
        <f t="shared" si="522"/>
        <v>10</v>
      </c>
      <c r="H4062" s="5" t="str">
        <f ca="1">_xlfn.FORMULATEXT(표1[[#This Row],[Q''ty]])</f>
        <v>=F3963</v>
      </c>
      <c r="I4062" s="26"/>
      <c r="J4062" s="26"/>
    </row>
    <row r="4063" spans="1:10" s="2" customFormat="1" ht="15" hidden="1" customHeight="1" x14ac:dyDescent="0.4">
      <c r="A4063" s="6">
        <v>2026</v>
      </c>
      <c r="B4063" s="6">
        <f t="shared" si="523"/>
        <v>42</v>
      </c>
      <c r="C4063" s="13" t="s">
        <v>23</v>
      </c>
      <c r="D4063" s="2" t="s">
        <v>6</v>
      </c>
      <c r="E4063" s="14" t="s">
        <v>9</v>
      </c>
      <c r="F4063" s="22">
        <f t="shared" si="522"/>
        <v>5</v>
      </c>
      <c r="H4063" s="5" t="str">
        <f ca="1">_xlfn.FORMULATEXT(표1[[#This Row],[Q''ty]])</f>
        <v>=F3964</v>
      </c>
      <c r="I4063" s="26"/>
      <c r="J4063" s="26"/>
    </row>
    <row r="4064" spans="1:10" ht="15" hidden="1" customHeight="1" x14ac:dyDescent="0.4">
      <c r="A4064" s="6">
        <v>2026</v>
      </c>
      <c r="B4064" s="6">
        <f t="shared" si="523"/>
        <v>42</v>
      </c>
      <c r="C4064" s="13" t="s">
        <v>23</v>
      </c>
      <c r="D4064" s="2" t="s">
        <v>6</v>
      </c>
      <c r="E4064" s="14" t="s">
        <v>27</v>
      </c>
      <c r="F4064" s="22">
        <f t="shared" si="522"/>
        <v>6</v>
      </c>
      <c r="H4064" s="5" t="str">
        <f ca="1">_xlfn.FORMULATEXT(표1[[#This Row],[Q''ty]])</f>
        <v>=F3965</v>
      </c>
    </row>
    <row r="4065" spans="1:10" ht="15" hidden="1" customHeight="1" x14ac:dyDescent="0.4">
      <c r="A4065" s="6">
        <v>2026</v>
      </c>
      <c r="B4065" s="6">
        <f t="shared" si="523"/>
        <v>42</v>
      </c>
      <c r="C4065" s="13" t="s">
        <v>23</v>
      </c>
      <c r="D4065" s="2" t="s">
        <v>6</v>
      </c>
      <c r="E4065" s="14" t="s">
        <v>10</v>
      </c>
      <c r="F4065" s="22">
        <f t="shared" si="522"/>
        <v>10</v>
      </c>
      <c r="H4065" s="5" t="str">
        <f ca="1">_xlfn.FORMULATEXT(표1[[#This Row],[Q''ty]])</f>
        <v>=F3966</v>
      </c>
    </row>
    <row r="4066" spans="1:10" ht="15" hidden="1" customHeight="1" x14ac:dyDescent="0.4">
      <c r="A4066" s="6">
        <v>2026</v>
      </c>
      <c r="B4066" s="6">
        <f t="shared" si="523"/>
        <v>42</v>
      </c>
      <c r="C4066" s="13" t="s">
        <v>23</v>
      </c>
      <c r="D4066" s="2" t="s">
        <v>6</v>
      </c>
      <c r="E4066" s="14" t="s">
        <v>11</v>
      </c>
      <c r="F4066" s="22">
        <f t="shared" si="522"/>
        <v>10</v>
      </c>
      <c r="H4066" s="5" t="str">
        <f ca="1">_xlfn.FORMULATEXT(표1[[#This Row],[Q''ty]])</f>
        <v>=F3967</v>
      </c>
    </row>
    <row r="4067" spans="1:10" ht="15" hidden="1" customHeight="1" x14ac:dyDescent="0.4">
      <c r="A4067" s="6">
        <v>2026</v>
      </c>
      <c r="B4067" s="6">
        <f t="shared" si="523"/>
        <v>42</v>
      </c>
      <c r="C4067" s="13" t="s">
        <v>23</v>
      </c>
      <c r="D4067" s="2" t="s">
        <v>12</v>
      </c>
      <c r="E4067" s="14" t="s">
        <v>13</v>
      </c>
      <c r="F4067" s="22"/>
      <c r="H4067" s="5" t="e">
        <f ca="1">_xlfn.FORMULATEXT(표1[[#This Row],[Q''ty]])</f>
        <v>#N/A</v>
      </c>
    </row>
    <row r="4068" spans="1:10" s="2" customFormat="1" ht="15" hidden="1" customHeight="1" x14ac:dyDescent="0.4">
      <c r="A4068" s="6">
        <v>2026</v>
      </c>
      <c r="B4068" s="6">
        <f t="shared" si="523"/>
        <v>42</v>
      </c>
      <c r="C4068" s="13" t="s">
        <v>23</v>
      </c>
      <c r="D4068" s="2" t="s">
        <v>12</v>
      </c>
      <c r="E4068" s="14" t="s">
        <v>14</v>
      </c>
      <c r="F4068" s="22"/>
      <c r="H4068" s="5" t="e">
        <f ca="1">_xlfn.FORMULATEXT(표1[[#This Row],[Q''ty]])</f>
        <v>#N/A</v>
      </c>
      <c r="I4068" s="26"/>
      <c r="J4068" s="26"/>
    </row>
    <row r="4069" spans="1:10" ht="15" hidden="1" customHeight="1" x14ac:dyDescent="0.4">
      <c r="A4069" s="6">
        <v>2026</v>
      </c>
      <c r="B4069" s="6">
        <f t="shared" si="523"/>
        <v>42</v>
      </c>
      <c r="C4069" s="13" t="s">
        <v>23</v>
      </c>
      <c r="D4069" s="2" t="s">
        <v>12</v>
      </c>
      <c r="E4069" s="14" t="s">
        <v>15</v>
      </c>
      <c r="F4069" s="22"/>
      <c r="H4069" s="5" t="e">
        <f ca="1">_xlfn.FORMULATEXT(표1[[#This Row],[Q''ty]])</f>
        <v>#N/A</v>
      </c>
    </row>
    <row r="4070" spans="1:10" ht="15" hidden="1" customHeight="1" x14ac:dyDescent="0.4">
      <c r="A4070" s="6">
        <v>2026</v>
      </c>
      <c r="B4070" s="6">
        <f t="shared" si="523"/>
        <v>42</v>
      </c>
      <c r="C4070" s="13" t="s">
        <v>23</v>
      </c>
      <c r="D4070" s="2" t="s">
        <v>12</v>
      </c>
      <c r="E4070" s="14" t="s">
        <v>16</v>
      </c>
      <c r="F4070" s="22"/>
      <c r="H4070" s="5" t="e">
        <f ca="1">_xlfn.FORMULATEXT(표1[[#This Row],[Q''ty]])</f>
        <v>#N/A</v>
      </c>
    </row>
    <row r="4071" spans="1:10" ht="15" hidden="1" customHeight="1" thickBot="1" x14ac:dyDescent="0.45">
      <c r="A4071" s="15">
        <v>2026</v>
      </c>
      <c r="B4071" s="15">
        <f t="shared" si="523"/>
        <v>42</v>
      </c>
      <c r="C4071" s="16" t="s">
        <v>23</v>
      </c>
      <c r="D4071" s="17" t="s">
        <v>12</v>
      </c>
      <c r="E4071" s="18" t="s">
        <v>17</v>
      </c>
      <c r="F4071" s="23"/>
      <c r="H4071" s="5" t="e">
        <f ca="1">_xlfn.FORMULATEXT(표1[[#This Row],[Q''ty]])</f>
        <v>#N/A</v>
      </c>
    </row>
    <row r="4072" spans="1:10" ht="15" hidden="1" customHeight="1" thickTop="1" x14ac:dyDescent="0.4">
      <c r="A4072" s="9">
        <v>2026</v>
      </c>
      <c r="B4072" s="9">
        <f t="shared" si="523"/>
        <v>42</v>
      </c>
      <c r="C4072" s="10" t="s">
        <v>29</v>
      </c>
      <c r="D4072" s="11" t="s">
        <v>6</v>
      </c>
      <c r="E4072" s="12" t="s">
        <v>7</v>
      </c>
      <c r="F4072" s="21">
        <f t="shared" ref="F4072:F4077" si="524">F3973</f>
        <v>14</v>
      </c>
      <c r="H4072" s="5" t="str">
        <f ca="1">_xlfn.FORMULATEXT(표1[[#This Row],[Q''ty]])</f>
        <v>=F3973</v>
      </c>
    </row>
    <row r="4073" spans="1:10" s="2" customFormat="1" ht="15" hidden="1" customHeight="1" x14ac:dyDescent="0.4">
      <c r="A4073" s="6">
        <v>2026</v>
      </c>
      <c r="B4073" s="6">
        <f t="shared" si="523"/>
        <v>42</v>
      </c>
      <c r="C4073" s="13" t="s">
        <v>24</v>
      </c>
      <c r="D4073" s="2" t="s">
        <v>6</v>
      </c>
      <c r="E4073" s="14" t="s">
        <v>8</v>
      </c>
      <c r="F4073" s="22">
        <f t="shared" si="524"/>
        <v>8</v>
      </c>
      <c r="H4073" s="5" t="str">
        <f ca="1">_xlfn.FORMULATEXT(표1[[#This Row],[Q''ty]])</f>
        <v>=F3974</v>
      </c>
      <c r="I4073" s="26"/>
      <c r="J4073" s="26"/>
    </row>
    <row r="4074" spans="1:10" s="2" customFormat="1" ht="15" hidden="1" customHeight="1" x14ac:dyDescent="0.4">
      <c r="A4074" s="6">
        <v>2026</v>
      </c>
      <c r="B4074" s="6">
        <f t="shared" si="523"/>
        <v>42</v>
      </c>
      <c r="C4074" s="13" t="s">
        <v>24</v>
      </c>
      <c r="D4074" s="2" t="s">
        <v>6</v>
      </c>
      <c r="E4074" s="14" t="s">
        <v>9</v>
      </c>
      <c r="F4074" s="22">
        <f t="shared" si="524"/>
        <v>4</v>
      </c>
      <c r="H4074" s="5" t="str">
        <f ca="1">_xlfn.FORMULATEXT(표1[[#This Row],[Q''ty]])</f>
        <v>=F3975</v>
      </c>
      <c r="I4074" s="26"/>
      <c r="J4074" s="26"/>
    </row>
    <row r="4075" spans="1:10" ht="15" hidden="1" customHeight="1" x14ac:dyDescent="0.4">
      <c r="A4075" s="6">
        <v>2026</v>
      </c>
      <c r="B4075" s="6">
        <f t="shared" si="523"/>
        <v>42</v>
      </c>
      <c r="C4075" s="13" t="s">
        <v>24</v>
      </c>
      <c r="D4075" s="2" t="s">
        <v>6</v>
      </c>
      <c r="E4075" s="14" t="s">
        <v>27</v>
      </c>
      <c r="F4075" s="22">
        <f t="shared" si="524"/>
        <v>3</v>
      </c>
      <c r="H4075" s="5" t="str">
        <f ca="1">_xlfn.FORMULATEXT(표1[[#This Row],[Q''ty]])</f>
        <v>=F3976</v>
      </c>
    </row>
    <row r="4076" spans="1:10" ht="15" hidden="1" customHeight="1" x14ac:dyDescent="0.4">
      <c r="A4076" s="6">
        <v>2026</v>
      </c>
      <c r="B4076" s="6">
        <f t="shared" si="523"/>
        <v>42</v>
      </c>
      <c r="C4076" s="13" t="s">
        <v>24</v>
      </c>
      <c r="D4076" s="2" t="s">
        <v>6</v>
      </c>
      <c r="E4076" s="14" t="s">
        <v>10</v>
      </c>
      <c r="F4076" s="22">
        <f t="shared" si="524"/>
        <v>6</v>
      </c>
      <c r="H4076" s="5" t="str">
        <f ca="1">_xlfn.FORMULATEXT(표1[[#This Row],[Q''ty]])</f>
        <v>=F3977</v>
      </c>
    </row>
    <row r="4077" spans="1:10" ht="15" hidden="1" customHeight="1" x14ac:dyDescent="0.4">
      <c r="A4077" s="6">
        <v>2026</v>
      </c>
      <c r="B4077" s="6">
        <f t="shared" si="523"/>
        <v>42</v>
      </c>
      <c r="C4077" s="13" t="s">
        <v>24</v>
      </c>
      <c r="D4077" s="2" t="s">
        <v>6</v>
      </c>
      <c r="E4077" s="14" t="s">
        <v>11</v>
      </c>
      <c r="F4077" s="22">
        <f t="shared" si="524"/>
        <v>8.8000000000000007</v>
      </c>
      <c r="H4077" s="5" t="str">
        <f ca="1">_xlfn.FORMULATEXT(표1[[#This Row],[Q''ty]])</f>
        <v>=F3978</v>
      </c>
    </row>
    <row r="4078" spans="1:10" ht="15" hidden="1" customHeight="1" x14ac:dyDescent="0.4">
      <c r="A4078" s="6">
        <v>2026</v>
      </c>
      <c r="B4078" s="6">
        <f t="shared" si="523"/>
        <v>42</v>
      </c>
      <c r="C4078" s="13" t="s">
        <v>24</v>
      </c>
      <c r="D4078" s="2" t="s">
        <v>12</v>
      </c>
      <c r="E4078" s="14" t="s">
        <v>13</v>
      </c>
      <c r="F4078" s="22"/>
      <c r="H4078" s="5" t="e">
        <f ca="1">_xlfn.FORMULATEXT(표1[[#This Row],[Q''ty]])</f>
        <v>#N/A</v>
      </c>
    </row>
    <row r="4079" spans="1:10" s="2" customFormat="1" ht="15" hidden="1" customHeight="1" x14ac:dyDescent="0.4">
      <c r="A4079" s="6">
        <v>2026</v>
      </c>
      <c r="B4079" s="6">
        <f t="shared" si="523"/>
        <v>42</v>
      </c>
      <c r="C4079" s="13" t="s">
        <v>24</v>
      </c>
      <c r="D4079" s="2" t="s">
        <v>12</v>
      </c>
      <c r="E4079" s="14" t="s">
        <v>14</v>
      </c>
      <c r="F4079" s="22"/>
      <c r="H4079" s="5" t="e">
        <f ca="1">_xlfn.FORMULATEXT(표1[[#This Row],[Q''ty]])</f>
        <v>#N/A</v>
      </c>
      <c r="I4079" s="26"/>
      <c r="J4079" s="26"/>
    </row>
    <row r="4080" spans="1:10" ht="15" hidden="1" customHeight="1" x14ac:dyDescent="0.4">
      <c r="A4080" s="6">
        <v>2026</v>
      </c>
      <c r="B4080" s="6">
        <f t="shared" si="523"/>
        <v>42</v>
      </c>
      <c r="C4080" s="13" t="s">
        <v>24</v>
      </c>
      <c r="D4080" s="2" t="s">
        <v>12</v>
      </c>
      <c r="E4080" s="14" t="s">
        <v>15</v>
      </c>
      <c r="F4080" s="22"/>
      <c r="H4080" s="5" t="e">
        <f ca="1">_xlfn.FORMULATEXT(표1[[#This Row],[Q''ty]])</f>
        <v>#N/A</v>
      </c>
    </row>
    <row r="4081" spans="1:8" ht="15" hidden="1" customHeight="1" x14ac:dyDescent="0.4">
      <c r="A4081" s="6">
        <v>2026</v>
      </c>
      <c r="B4081" s="6">
        <f t="shared" si="523"/>
        <v>42</v>
      </c>
      <c r="C4081" s="13" t="s">
        <v>24</v>
      </c>
      <c r="D4081" s="2" t="s">
        <v>12</v>
      </c>
      <c r="E4081" s="14" t="s">
        <v>16</v>
      </c>
      <c r="F4081" s="22"/>
      <c r="H4081" s="5" t="e">
        <f ca="1">_xlfn.FORMULATEXT(표1[[#This Row],[Q''ty]])</f>
        <v>#N/A</v>
      </c>
    </row>
    <row r="4082" spans="1:8" ht="15" hidden="1" customHeight="1" thickBot="1" x14ac:dyDescent="0.45">
      <c r="A4082" s="15">
        <v>2026</v>
      </c>
      <c r="B4082" s="15">
        <f t="shared" si="523"/>
        <v>42</v>
      </c>
      <c r="C4082" s="16" t="s">
        <v>24</v>
      </c>
      <c r="D4082" s="17" t="s">
        <v>12</v>
      </c>
      <c r="E4082" s="18" t="s">
        <v>17</v>
      </c>
      <c r="F4082" s="23"/>
      <c r="H4082" s="5" t="e">
        <f ca="1">_xlfn.FORMULATEXT(표1[[#This Row],[Q''ty]])</f>
        <v>#N/A</v>
      </c>
    </row>
    <row r="4083" spans="1:8" ht="15" hidden="1" customHeight="1" thickTop="1" x14ac:dyDescent="0.4">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hidden="1" customHeight="1" x14ac:dyDescent="0.4">
      <c r="A4084" s="6">
        <v>2026</v>
      </c>
      <c r="B4084" s="6">
        <f t="shared" si="523"/>
        <v>42</v>
      </c>
      <c r="C4084" s="13" t="s">
        <v>18</v>
      </c>
      <c r="D4084" s="2" t="s">
        <v>6</v>
      </c>
      <c r="E4084" s="14" t="str">
        <f t="shared" si="525"/>
        <v>Paint Booth</v>
      </c>
      <c r="F4084" s="22">
        <f t="shared" si="525"/>
        <v>3</v>
      </c>
      <c r="H4084" s="5" t="str">
        <f ca="1">_xlfn.FORMULATEXT(표1[[#This Row],[Q''ty]])</f>
        <v>=F3985</v>
      </c>
    </row>
    <row r="4085" spans="1:8" ht="15" hidden="1" customHeight="1" x14ac:dyDescent="0.4">
      <c r="A4085" s="6">
        <v>2026</v>
      </c>
      <c r="B4085" s="6">
        <f t="shared" si="523"/>
        <v>42</v>
      </c>
      <c r="C4085" s="13" t="s">
        <v>18</v>
      </c>
      <c r="D4085" s="2" t="s">
        <v>6</v>
      </c>
      <c r="E4085" s="14" t="str">
        <f t="shared" si="525"/>
        <v>Paint Line</v>
      </c>
      <c r="F4085" s="22">
        <f t="shared" si="525"/>
        <v>2</v>
      </c>
      <c r="H4085" s="5" t="str">
        <f ca="1">_xlfn.FORMULATEXT(표1[[#This Row],[Q''ty]])</f>
        <v>=F3986</v>
      </c>
    </row>
    <row r="4086" spans="1:8" ht="15" hidden="1" customHeight="1" x14ac:dyDescent="0.4">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hidden="1" customHeight="1" x14ac:dyDescent="0.4">
      <c r="A4087" s="6">
        <v>2026</v>
      </c>
      <c r="B4087" s="6">
        <f t="shared" si="523"/>
        <v>42</v>
      </c>
      <c r="C4087" s="13" t="s">
        <v>18</v>
      </c>
      <c r="D4087" s="2" t="s">
        <v>6</v>
      </c>
      <c r="E4087" s="14" t="str">
        <f t="shared" si="525"/>
        <v>L/W Machine</v>
      </c>
      <c r="F4087" s="22">
        <f t="shared" si="525"/>
        <v>2</v>
      </c>
      <c r="H4087" s="5" t="str">
        <f ca="1">_xlfn.FORMULATEXT(표1[[#This Row],[Q''ty]])</f>
        <v>=F3988</v>
      </c>
    </row>
    <row r="4088" spans="1:8" ht="15" hidden="1" customHeight="1" x14ac:dyDescent="0.4">
      <c r="A4088" s="6">
        <v>2026</v>
      </c>
      <c r="B4088" s="6">
        <f t="shared" si="523"/>
        <v>42</v>
      </c>
      <c r="C4088" s="13" t="s">
        <v>18</v>
      </c>
      <c r="D4088" s="2" t="s">
        <v>6</v>
      </c>
      <c r="E4088" s="14" t="str">
        <f t="shared" si="525"/>
        <v>C/W Machine</v>
      </c>
      <c r="F4088" s="22">
        <f t="shared" si="525"/>
        <v>3</v>
      </c>
      <c r="H4088" s="5" t="str">
        <f ca="1">_xlfn.FORMULATEXT(표1[[#This Row],[Q''ty]])</f>
        <v>=F3989</v>
      </c>
    </row>
    <row r="4089" spans="1:8" ht="15" hidden="1" customHeight="1" x14ac:dyDescent="0.4">
      <c r="A4089" s="6">
        <v>2026</v>
      </c>
      <c r="B4089" s="6">
        <f t="shared" si="523"/>
        <v>42</v>
      </c>
      <c r="C4089" s="13" t="s">
        <v>18</v>
      </c>
      <c r="D4089" s="2" t="s">
        <v>12</v>
      </c>
      <c r="E4089" s="14" t="str">
        <f t="shared" ref="E4089:E4104" si="526">E3990</f>
        <v>BT GT</v>
      </c>
      <c r="F4089" s="22"/>
      <c r="H4089" s="5" t="e">
        <f ca="1">_xlfn.FORMULATEXT(표1[[#This Row],[Q''ty]])</f>
        <v>#N/A</v>
      </c>
    </row>
    <row r="4090" spans="1:8" ht="15" hidden="1" customHeight="1" x14ac:dyDescent="0.4">
      <c r="A4090" s="6">
        <v>2026</v>
      </c>
      <c r="B4090" s="6">
        <f t="shared" si="523"/>
        <v>42</v>
      </c>
      <c r="C4090" s="13" t="s">
        <v>18</v>
      </c>
      <c r="D4090" s="2" t="s">
        <v>12</v>
      </c>
      <c r="E4090" s="14" t="str">
        <f t="shared" si="526"/>
        <v>WT GT</v>
      </c>
      <c r="F4090" s="22"/>
      <c r="H4090" s="5" t="e">
        <f ca="1">_xlfn.FORMULATEXT(표1[[#This Row],[Q''ty]])</f>
        <v>#N/A</v>
      </c>
    </row>
    <row r="4091" spans="1:8" ht="15" hidden="1" customHeight="1" x14ac:dyDescent="0.4">
      <c r="A4091" s="6">
        <v>2026</v>
      </c>
      <c r="B4091" s="6">
        <f t="shared" si="523"/>
        <v>42</v>
      </c>
      <c r="C4091" s="13" t="s">
        <v>18</v>
      </c>
      <c r="D4091" s="2" t="s">
        <v>12</v>
      </c>
      <c r="E4091" s="14" t="str">
        <f t="shared" si="526"/>
        <v>Bending</v>
      </c>
      <c r="F4091" s="22"/>
      <c r="H4091" s="5" t="e">
        <f ca="1">_xlfn.FORMULATEXT(표1[[#This Row],[Q''ty]])</f>
        <v>#N/A</v>
      </c>
    </row>
    <row r="4092" spans="1:8" ht="15" hidden="1" customHeight="1" x14ac:dyDescent="0.4">
      <c r="A4092" s="6">
        <v>2026</v>
      </c>
      <c r="B4092" s="6">
        <f t="shared" si="523"/>
        <v>42</v>
      </c>
      <c r="C4092" s="13" t="s">
        <v>18</v>
      </c>
      <c r="D4092" s="2" t="s">
        <v>12</v>
      </c>
      <c r="E4092" s="14" t="str">
        <f t="shared" si="526"/>
        <v>L/W</v>
      </c>
      <c r="F4092" s="22"/>
      <c r="H4092" s="5" t="e">
        <f ca="1">_xlfn.FORMULATEXT(표1[[#This Row],[Q''ty]])</f>
        <v>#N/A</v>
      </c>
    </row>
    <row r="4093" spans="1:8" ht="15" hidden="1" customHeight="1" thickBot="1" x14ac:dyDescent="0.45">
      <c r="A4093" s="15">
        <v>2026</v>
      </c>
      <c r="B4093" s="15">
        <f t="shared" si="523"/>
        <v>42</v>
      </c>
      <c r="C4093" s="16" t="s">
        <v>18</v>
      </c>
      <c r="D4093" s="17" t="s">
        <v>12</v>
      </c>
      <c r="E4093" s="18" t="str">
        <f t="shared" si="526"/>
        <v>C/W</v>
      </c>
      <c r="F4093" s="23"/>
      <c r="H4093" s="5" t="e">
        <f ca="1">_xlfn.FORMULATEXT(표1[[#This Row],[Q''ty]])</f>
        <v>#N/A</v>
      </c>
    </row>
    <row r="4094" spans="1:8" ht="15" hidden="1" customHeight="1" thickTop="1" x14ac:dyDescent="0.4">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hidden="1" customHeight="1" x14ac:dyDescent="0.4">
      <c r="A4095" s="6">
        <v>2026</v>
      </c>
      <c r="B4095" s="6">
        <f t="shared" si="523"/>
        <v>42</v>
      </c>
      <c r="C4095" s="13" t="s">
        <v>19</v>
      </c>
      <c r="D4095" s="2" t="s">
        <v>6</v>
      </c>
      <c r="E4095" s="14" t="str">
        <f t="shared" si="526"/>
        <v>Paint Booth</v>
      </c>
      <c r="F4095" s="22">
        <f t="shared" si="527"/>
        <v>22</v>
      </c>
      <c r="H4095" s="5" t="str">
        <f ca="1">_xlfn.FORMULATEXT(표1[[#This Row],[Q''ty]])</f>
        <v>=F3996</v>
      </c>
    </row>
    <row r="4096" spans="1:8" ht="15" hidden="1" customHeight="1" x14ac:dyDescent="0.4">
      <c r="A4096" s="6">
        <v>2026</v>
      </c>
      <c r="B4096" s="6">
        <f t="shared" si="523"/>
        <v>42</v>
      </c>
      <c r="C4096" s="13" t="s">
        <v>19</v>
      </c>
      <c r="D4096" s="2" t="s">
        <v>6</v>
      </c>
      <c r="E4096" s="14" t="str">
        <f t="shared" si="526"/>
        <v>Paint Line</v>
      </c>
      <c r="F4096" s="22">
        <f t="shared" si="527"/>
        <v>6</v>
      </c>
      <c r="H4096" s="5" t="str">
        <f ca="1">_xlfn.FORMULATEXT(표1[[#This Row],[Q''ty]])</f>
        <v>=F3997</v>
      </c>
    </row>
    <row r="4097" spans="1:8" ht="15" hidden="1" customHeight="1" x14ac:dyDescent="0.4">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hidden="1" customHeight="1" x14ac:dyDescent="0.4">
      <c r="A4098" s="6">
        <v>2026</v>
      </c>
      <c r="B4098" s="6">
        <f t="shared" si="523"/>
        <v>42</v>
      </c>
      <c r="C4098" s="13" t="s">
        <v>19</v>
      </c>
      <c r="D4098" s="2" t="s">
        <v>6</v>
      </c>
      <c r="E4098" s="14" t="str">
        <f t="shared" si="526"/>
        <v>L/W Machine</v>
      </c>
      <c r="F4098" s="22">
        <f t="shared" si="527"/>
        <v>10</v>
      </c>
      <c r="H4098" s="5" t="str">
        <f ca="1">_xlfn.FORMULATEXT(표1[[#This Row],[Q''ty]])</f>
        <v>=F3999</v>
      </c>
    </row>
    <row r="4099" spans="1:8" ht="15" hidden="1" customHeight="1" x14ac:dyDescent="0.4">
      <c r="A4099" s="6">
        <v>2026</v>
      </c>
      <c r="B4099" s="6">
        <f t="shared" si="523"/>
        <v>42</v>
      </c>
      <c r="C4099" s="13" t="s">
        <v>19</v>
      </c>
      <c r="D4099" s="2" t="s">
        <v>6</v>
      </c>
      <c r="E4099" s="14" t="str">
        <f t="shared" si="526"/>
        <v>C/W Machine</v>
      </c>
      <c r="F4099" s="22">
        <f t="shared" si="527"/>
        <v>12</v>
      </c>
      <c r="H4099" s="5" t="str">
        <f ca="1">_xlfn.FORMULATEXT(표1[[#This Row],[Q''ty]])</f>
        <v>=F4000</v>
      </c>
    </row>
    <row r="4100" spans="1:8" ht="15" hidden="1" customHeight="1" x14ac:dyDescent="0.4">
      <c r="A4100" s="6">
        <v>2026</v>
      </c>
      <c r="B4100" s="6">
        <f t="shared" si="523"/>
        <v>42</v>
      </c>
      <c r="C4100" s="13" t="s">
        <v>19</v>
      </c>
      <c r="D4100" s="2" t="s">
        <v>12</v>
      </c>
      <c r="E4100" s="14" t="str">
        <f t="shared" si="526"/>
        <v>BT GT</v>
      </c>
      <c r="F4100" s="22"/>
      <c r="H4100" s="5" t="e">
        <f ca="1">_xlfn.FORMULATEXT(표1[[#This Row],[Q''ty]])</f>
        <v>#N/A</v>
      </c>
    </row>
    <row r="4101" spans="1:8" ht="15" hidden="1" customHeight="1" x14ac:dyDescent="0.4">
      <c r="A4101" s="6">
        <v>2026</v>
      </c>
      <c r="B4101" s="6">
        <f t="shared" si="523"/>
        <v>42</v>
      </c>
      <c r="C4101" s="13" t="s">
        <v>19</v>
      </c>
      <c r="D4101" s="2" t="s">
        <v>12</v>
      </c>
      <c r="E4101" s="14" t="str">
        <f t="shared" si="526"/>
        <v>WT GT</v>
      </c>
      <c r="F4101" s="22"/>
      <c r="H4101" s="5" t="e">
        <f ca="1">_xlfn.FORMULATEXT(표1[[#This Row],[Q''ty]])</f>
        <v>#N/A</v>
      </c>
    </row>
    <row r="4102" spans="1:8" ht="15" hidden="1" customHeight="1" x14ac:dyDescent="0.4">
      <c r="A4102" s="6">
        <v>2026</v>
      </c>
      <c r="B4102" s="6">
        <f t="shared" si="523"/>
        <v>42</v>
      </c>
      <c r="C4102" s="13" t="s">
        <v>19</v>
      </c>
      <c r="D4102" s="2" t="s">
        <v>12</v>
      </c>
      <c r="E4102" s="14" t="str">
        <f t="shared" si="526"/>
        <v>Bending</v>
      </c>
      <c r="F4102" s="22"/>
      <c r="H4102" s="5" t="e">
        <f ca="1">_xlfn.FORMULATEXT(표1[[#This Row],[Q''ty]])</f>
        <v>#N/A</v>
      </c>
    </row>
    <row r="4103" spans="1:8" ht="15" hidden="1" customHeight="1" x14ac:dyDescent="0.4">
      <c r="A4103" s="6">
        <v>2026</v>
      </c>
      <c r="B4103" s="6">
        <f t="shared" si="523"/>
        <v>42</v>
      </c>
      <c r="C4103" s="13" t="s">
        <v>19</v>
      </c>
      <c r="D4103" s="2" t="s">
        <v>12</v>
      </c>
      <c r="E4103" s="14" t="str">
        <f t="shared" si="526"/>
        <v>L/W</v>
      </c>
      <c r="F4103" s="22"/>
      <c r="H4103" s="5" t="e">
        <f ca="1">_xlfn.FORMULATEXT(표1[[#This Row],[Q''ty]])</f>
        <v>#N/A</v>
      </c>
    </row>
    <row r="4104" spans="1:8" ht="15" hidden="1" customHeight="1" thickBot="1" x14ac:dyDescent="0.45">
      <c r="A4104" s="15">
        <v>2026</v>
      </c>
      <c r="B4104" s="15">
        <f t="shared" si="523"/>
        <v>42</v>
      </c>
      <c r="C4104" s="16" t="s">
        <v>19</v>
      </c>
      <c r="D4104" s="17" t="s">
        <v>12</v>
      </c>
      <c r="E4104" s="18" t="str">
        <f t="shared" si="526"/>
        <v>C/W</v>
      </c>
      <c r="F4104" s="23"/>
      <c r="H4104" s="5" t="e">
        <f ca="1">_xlfn.FORMULATEXT(표1[[#This Row],[Q''ty]])</f>
        <v>#N/A</v>
      </c>
    </row>
    <row r="4105" spans="1:8" ht="15" hidden="1" customHeight="1" thickTop="1" x14ac:dyDescent="0.4">
      <c r="A4105" s="6">
        <v>2026</v>
      </c>
      <c r="B4105" s="6">
        <f t="shared" si="523"/>
        <v>42</v>
      </c>
      <c r="C4105" s="13" t="s">
        <v>25</v>
      </c>
      <c r="D4105" s="2" t="s">
        <v>6</v>
      </c>
      <c r="E4105" s="14" t="s">
        <v>7</v>
      </c>
      <c r="F4105" s="22">
        <f t="shared" ref="F4105:F4110" si="528">F4006</f>
        <v>3</v>
      </c>
      <c r="H4105" s="5" t="str">
        <f ca="1">_xlfn.FORMULATEXT(표1[[#This Row],[Q''ty]])</f>
        <v>=F4006</v>
      </c>
    </row>
    <row r="4106" spans="1:8" ht="15" hidden="1" customHeight="1" x14ac:dyDescent="0.4">
      <c r="A4106" s="6">
        <v>2026</v>
      </c>
      <c r="B4106" s="6">
        <f t="shared" si="523"/>
        <v>42</v>
      </c>
      <c r="C4106" s="13" t="s">
        <v>25</v>
      </c>
      <c r="D4106" s="2" t="s">
        <v>6</v>
      </c>
      <c r="E4106" s="14" t="s">
        <v>8</v>
      </c>
      <c r="F4106" s="22">
        <f t="shared" si="528"/>
        <v>3</v>
      </c>
      <c r="H4106" s="5" t="str">
        <f ca="1">_xlfn.FORMULATEXT(표1[[#This Row],[Q''ty]])</f>
        <v>=F4007</v>
      </c>
    </row>
    <row r="4107" spans="1:8" ht="15" hidden="1" customHeight="1" x14ac:dyDescent="0.4">
      <c r="A4107" s="6">
        <v>2026</v>
      </c>
      <c r="B4107" s="6">
        <f t="shared" si="523"/>
        <v>42</v>
      </c>
      <c r="C4107" s="13" t="s">
        <v>25</v>
      </c>
      <c r="D4107" s="2" t="s">
        <v>6</v>
      </c>
      <c r="E4107" s="14" t="s">
        <v>9</v>
      </c>
      <c r="F4107" s="22">
        <f t="shared" si="528"/>
        <v>2</v>
      </c>
      <c r="H4107" s="5" t="str">
        <f ca="1">_xlfn.FORMULATEXT(표1[[#This Row],[Q''ty]])</f>
        <v>=F4008</v>
      </c>
    </row>
    <row r="4108" spans="1:8" ht="15" hidden="1" customHeight="1" x14ac:dyDescent="0.4">
      <c r="A4108" s="6">
        <v>2026</v>
      </c>
      <c r="B4108" s="6">
        <f t="shared" si="523"/>
        <v>42</v>
      </c>
      <c r="C4108" s="13" t="s">
        <v>25</v>
      </c>
      <c r="D4108" s="2" t="s">
        <v>6</v>
      </c>
      <c r="E4108" s="14" t="s">
        <v>27</v>
      </c>
      <c r="F4108" s="22">
        <f t="shared" si="528"/>
        <v>2</v>
      </c>
      <c r="H4108" s="5" t="str">
        <f ca="1">_xlfn.FORMULATEXT(표1[[#This Row],[Q''ty]])</f>
        <v>=F4009</v>
      </c>
    </row>
    <row r="4109" spans="1:8" ht="15" hidden="1" customHeight="1" x14ac:dyDescent="0.4">
      <c r="A4109" s="6">
        <v>2026</v>
      </c>
      <c r="B4109" s="6">
        <f t="shared" si="523"/>
        <v>42</v>
      </c>
      <c r="C4109" s="13" t="s">
        <v>25</v>
      </c>
      <c r="D4109" s="2" t="s">
        <v>6</v>
      </c>
      <c r="E4109" s="14" t="s">
        <v>10</v>
      </c>
      <c r="F4109" s="22">
        <f t="shared" si="528"/>
        <v>3</v>
      </c>
      <c r="H4109" s="5" t="str">
        <f ca="1">_xlfn.FORMULATEXT(표1[[#This Row],[Q''ty]])</f>
        <v>=F4010</v>
      </c>
    </row>
    <row r="4110" spans="1:8" ht="15" hidden="1" customHeight="1" x14ac:dyDescent="0.4">
      <c r="A4110" s="6">
        <v>2026</v>
      </c>
      <c r="B4110" s="6">
        <f t="shared" si="523"/>
        <v>42</v>
      </c>
      <c r="C4110" s="13" t="s">
        <v>25</v>
      </c>
      <c r="D4110" s="2" t="s">
        <v>6</v>
      </c>
      <c r="E4110" s="14" t="s">
        <v>11</v>
      </c>
      <c r="F4110" s="22">
        <f t="shared" si="528"/>
        <v>4</v>
      </c>
      <c r="H4110" s="5" t="str">
        <f ca="1">_xlfn.FORMULATEXT(표1[[#This Row],[Q''ty]])</f>
        <v>=F4011</v>
      </c>
    </row>
    <row r="4111" spans="1:8" ht="15" hidden="1" customHeight="1" x14ac:dyDescent="0.4">
      <c r="A4111" s="6">
        <v>2026</v>
      </c>
      <c r="B4111" s="6">
        <f t="shared" si="523"/>
        <v>42</v>
      </c>
      <c r="C4111" s="13" t="s">
        <v>25</v>
      </c>
      <c r="D4111" s="2" t="s">
        <v>12</v>
      </c>
      <c r="E4111" s="14" t="s">
        <v>13</v>
      </c>
      <c r="F4111" s="22"/>
      <c r="H4111" s="5" t="e">
        <f ca="1">_xlfn.FORMULATEXT(표1[[#This Row],[Q''ty]])</f>
        <v>#N/A</v>
      </c>
    </row>
    <row r="4112" spans="1:8" ht="15" hidden="1" customHeight="1" x14ac:dyDescent="0.4">
      <c r="A4112" s="6">
        <v>2026</v>
      </c>
      <c r="B4112" s="6">
        <f t="shared" si="523"/>
        <v>42</v>
      </c>
      <c r="C4112" s="13" t="s">
        <v>25</v>
      </c>
      <c r="D4112" s="2" t="s">
        <v>12</v>
      </c>
      <c r="E4112" s="14" t="s">
        <v>14</v>
      </c>
      <c r="F4112" s="22"/>
      <c r="H4112" s="5" t="e">
        <f ca="1">_xlfn.FORMULATEXT(표1[[#This Row],[Q''ty]])</f>
        <v>#N/A</v>
      </c>
    </row>
    <row r="4113" spans="1:8" ht="15" hidden="1" customHeight="1" x14ac:dyDescent="0.4">
      <c r="A4113" s="6">
        <v>2026</v>
      </c>
      <c r="B4113" s="6">
        <f t="shared" si="523"/>
        <v>42</v>
      </c>
      <c r="C4113" s="13" t="s">
        <v>25</v>
      </c>
      <c r="D4113" s="2" t="s">
        <v>12</v>
      </c>
      <c r="E4113" s="14" t="s">
        <v>15</v>
      </c>
      <c r="F4113" s="22"/>
      <c r="H4113" s="5" t="e">
        <f ca="1">_xlfn.FORMULATEXT(표1[[#This Row],[Q''ty]])</f>
        <v>#N/A</v>
      </c>
    </row>
    <row r="4114" spans="1:8" ht="15" hidden="1" customHeight="1" x14ac:dyDescent="0.4">
      <c r="A4114" s="6">
        <v>2026</v>
      </c>
      <c r="B4114" s="6">
        <f t="shared" si="523"/>
        <v>42</v>
      </c>
      <c r="C4114" s="13" t="s">
        <v>25</v>
      </c>
      <c r="D4114" s="2" t="s">
        <v>12</v>
      </c>
      <c r="E4114" s="14" t="s">
        <v>16</v>
      </c>
      <c r="F4114" s="22"/>
      <c r="H4114" s="5" t="e">
        <f ca="1">_xlfn.FORMULATEXT(표1[[#This Row],[Q''ty]])</f>
        <v>#N/A</v>
      </c>
    </row>
    <row r="4115" spans="1:8" ht="15" hidden="1" customHeight="1" thickBot="1" x14ac:dyDescent="0.45">
      <c r="A4115" s="15">
        <v>2026</v>
      </c>
      <c r="B4115" s="15">
        <f t="shared" si="523"/>
        <v>42</v>
      </c>
      <c r="C4115" s="16" t="s">
        <v>25</v>
      </c>
      <c r="D4115" s="17" t="s">
        <v>12</v>
      </c>
      <c r="E4115" s="18" t="s">
        <v>17</v>
      </c>
      <c r="F4115" s="23"/>
      <c r="H4115" s="5" t="e">
        <f ca="1">_xlfn.FORMULATEXT(표1[[#This Row],[Q''ty]])</f>
        <v>#N/A</v>
      </c>
    </row>
    <row r="4116" spans="1:8" ht="15" hidden="1" customHeight="1" thickTop="1" x14ac:dyDescent="0.4">
      <c r="A4116" s="6">
        <v>2026</v>
      </c>
      <c r="B4116" s="6">
        <f t="shared" si="523"/>
        <v>42</v>
      </c>
      <c r="C4116" s="13" t="s">
        <v>26</v>
      </c>
      <c r="D4116" s="2" t="s">
        <v>6</v>
      </c>
      <c r="E4116" s="14" t="s">
        <v>7</v>
      </c>
      <c r="F4116" s="22">
        <f t="shared" ref="F4116:F4121" si="529">F4017</f>
        <v>6</v>
      </c>
      <c r="H4116" s="5" t="str">
        <f ca="1">_xlfn.FORMULATEXT(표1[[#This Row],[Q''ty]])</f>
        <v>=F4017</v>
      </c>
    </row>
    <row r="4117" spans="1:8" ht="15" hidden="1" customHeight="1" x14ac:dyDescent="0.4">
      <c r="A4117" s="6">
        <v>2026</v>
      </c>
      <c r="B4117" s="6">
        <f t="shared" si="523"/>
        <v>42</v>
      </c>
      <c r="C4117" s="13" t="s">
        <v>26</v>
      </c>
      <c r="D4117" s="2" t="s">
        <v>6</v>
      </c>
      <c r="E4117" s="14" t="s">
        <v>8</v>
      </c>
      <c r="F4117" s="22">
        <f t="shared" si="529"/>
        <v>4</v>
      </c>
      <c r="H4117" s="5" t="str">
        <f ca="1">_xlfn.FORMULATEXT(표1[[#This Row],[Q''ty]])</f>
        <v>=F4018</v>
      </c>
    </row>
    <row r="4118" spans="1:8" ht="15" hidden="1" customHeight="1" x14ac:dyDescent="0.4">
      <c r="A4118" s="6">
        <v>2026</v>
      </c>
      <c r="B4118" s="6">
        <f t="shared" si="523"/>
        <v>42</v>
      </c>
      <c r="C4118" s="13" t="s">
        <v>26</v>
      </c>
      <c r="D4118" s="2" t="s">
        <v>6</v>
      </c>
      <c r="E4118" s="14" t="s">
        <v>9</v>
      </c>
      <c r="F4118" s="22">
        <f t="shared" si="529"/>
        <v>2</v>
      </c>
      <c r="H4118" s="5" t="str">
        <f ca="1">_xlfn.FORMULATEXT(표1[[#This Row],[Q''ty]])</f>
        <v>=F4019</v>
      </c>
    </row>
    <row r="4119" spans="1:8" ht="15" hidden="1" customHeight="1" x14ac:dyDescent="0.4">
      <c r="A4119" s="6">
        <v>2026</v>
      </c>
      <c r="B4119" s="6">
        <f t="shared" si="523"/>
        <v>42</v>
      </c>
      <c r="C4119" s="13" t="s">
        <v>26</v>
      </c>
      <c r="D4119" s="2" t="s">
        <v>6</v>
      </c>
      <c r="E4119" s="14" t="s">
        <v>27</v>
      </c>
      <c r="F4119" s="22">
        <f t="shared" si="529"/>
        <v>3</v>
      </c>
      <c r="H4119" s="5" t="str">
        <f ca="1">_xlfn.FORMULATEXT(표1[[#This Row],[Q''ty]])</f>
        <v>=F4020</v>
      </c>
    </row>
    <row r="4120" spans="1:8" ht="15" hidden="1" customHeight="1" x14ac:dyDescent="0.4">
      <c r="A4120" s="6">
        <v>2026</v>
      </c>
      <c r="B4120" s="6">
        <f t="shared" si="523"/>
        <v>42</v>
      </c>
      <c r="C4120" s="13" t="s">
        <v>26</v>
      </c>
      <c r="D4120" s="2" t="s">
        <v>6</v>
      </c>
      <c r="E4120" s="14" t="s">
        <v>10</v>
      </c>
      <c r="F4120" s="22">
        <f t="shared" si="529"/>
        <v>4</v>
      </c>
      <c r="H4120" s="5" t="str">
        <f ca="1">_xlfn.FORMULATEXT(표1[[#This Row],[Q''ty]])</f>
        <v>=F4021</v>
      </c>
    </row>
    <row r="4121" spans="1:8" ht="15" hidden="1" customHeight="1" x14ac:dyDescent="0.4">
      <c r="A4121" s="6">
        <v>2026</v>
      </c>
      <c r="B4121" s="6">
        <f t="shared" si="523"/>
        <v>42</v>
      </c>
      <c r="C4121" s="13" t="s">
        <v>26</v>
      </c>
      <c r="D4121" s="2" t="s">
        <v>6</v>
      </c>
      <c r="E4121" s="14" t="s">
        <v>11</v>
      </c>
      <c r="F4121" s="22">
        <f t="shared" si="529"/>
        <v>6</v>
      </c>
      <c r="H4121" s="5" t="str">
        <f ca="1">_xlfn.FORMULATEXT(표1[[#This Row],[Q''ty]])</f>
        <v>=F4022</v>
      </c>
    </row>
    <row r="4122" spans="1:8" ht="15" hidden="1" customHeight="1" x14ac:dyDescent="0.4">
      <c r="A4122" s="6">
        <v>2026</v>
      </c>
      <c r="B4122" s="6">
        <f t="shared" si="523"/>
        <v>42</v>
      </c>
      <c r="C4122" s="13" t="s">
        <v>26</v>
      </c>
      <c r="D4122" s="2" t="s">
        <v>12</v>
      </c>
      <c r="E4122" s="14" t="str">
        <f t="shared" ref="E4122:E4159" si="530">E4023</f>
        <v>BT GT</v>
      </c>
      <c r="F4122" s="22"/>
      <c r="H4122" s="5" t="e">
        <f ca="1">_xlfn.FORMULATEXT(표1[[#This Row],[Q''ty]])</f>
        <v>#N/A</v>
      </c>
    </row>
    <row r="4123" spans="1:8" ht="15" hidden="1" customHeight="1" x14ac:dyDescent="0.4">
      <c r="A4123" s="6">
        <v>2026</v>
      </c>
      <c r="B4123" s="6">
        <f t="shared" si="523"/>
        <v>42</v>
      </c>
      <c r="C4123" s="13" t="s">
        <v>26</v>
      </c>
      <c r="D4123" s="2" t="s">
        <v>12</v>
      </c>
      <c r="E4123" s="14" t="str">
        <f t="shared" si="530"/>
        <v>WT GT</v>
      </c>
      <c r="F4123" s="22"/>
      <c r="H4123" s="5" t="e">
        <f ca="1">_xlfn.FORMULATEXT(표1[[#This Row],[Q''ty]])</f>
        <v>#N/A</v>
      </c>
    </row>
    <row r="4124" spans="1:8" ht="15" hidden="1" customHeight="1" x14ac:dyDescent="0.4">
      <c r="A4124" s="6">
        <v>2026</v>
      </c>
      <c r="B4124" s="6">
        <f t="shared" si="523"/>
        <v>42</v>
      </c>
      <c r="C4124" s="13" t="s">
        <v>26</v>
      </c>
      <c r="D4124" s="2" t="s">
        <v>12</v>
      </c>
      <c r="E4124" s="14" t="str">
        <f t="shared" si="530"/>
        <v>Bending</v>
      </c>
      <c r="F4124" s="22"/>
      <c r="H4124" s="5" t="e">
        <f ca="1">_xlfn.FORMULATEXT(표1[[#This Row],[Q''ty]])</f>
        <v>#N/A</v>
      </c>
    </row>
    <row r="4125" spans="1:8" ht="15" hidden="1" customHeight="1" x14ac:dyDescent="0.4">
      <c r="A4125" s="6">
        <v>2026</v>
      </c>
      <c r="B4125" s="6">
        <f t="shared" si="523"/>
        <v>42</v>
      </c>
      <c r="C4125" s="13" t="s">
        <v>26</v>
      </c>
      <c r="D4125" s="2" t="s">
        <v>12</v>
      </c>
      <c r="E4125" s="14" t="str">
        <f t="shared" si="530"/>
        <v>L/W</v>
      </c>
      <c r="F4125" s="22"/>
      <c r="H4125" s="5" t="e">
        <f ca="1">_xlfn.FORMULATEXT(표1[[#This Row],[Q''ty]])</f>
        <v>#N/A</v>
      </c>
    </row>
    <row r="4126" spans="1:8" ht="15" hidden="1" customHeight="1" thickBot="1" x14ac:dyDescent="0.45">
      <c r="A4126" s="15">
        <v>2026</v>
      </c>
      <c r="B4126" s="15">
        <f t="shared" ref="B4126:B4159" si="531">B4027+1</f>
        <v>42</v>
      </c>
      <c r="C4126" s="16" t="s">
        <v>26</v>
      </c>
      <c r="D4126" s="17" t="s">
        <v>12</v>
      </c>
      <c r="E4126" s="18" t="str">
        <f t="shared" si="530"/>
        <v>C/W</v>
      </c>
      <c r="F4126" s="23"/>
      <c r="H4126" s="5" t="e">
        <f ca="1">_xlfn.FORMULATEXT(표1[[#This Row],[Q''ty]])</f>
        <v>#N/A</v>
      </c>
    </row>
    <row r="4127" spans="1:8" ht="15" hidden="1" customHeight="1" thickTop="1" x14ac:dyDescent="0.4">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hidden="1" customHeight="1" x14ac:dyDescent="0.4">
      <c r="A4128" s="6">
        <v>2026</v>
      </c>
      <c r="B4128" s="6">
        <f t="shared" si="531"/>
        <v>42</v>
      </c>
      <c r="C4128" s="13" t="s">
        <v>20</v>
      </c>
      <c r="D4128" s="2" t="s">
        <v>6</v>
      </c>
      <c r="E4128" s="14" t="str">
        <f t="shared" si="530"/>
        <v>Paint Booth</v>
      </c>
      <c r="F4128" s="22">
        <f t="shared" si="532"/>
        <v>16</v>
      </c>
      <c r="H4128" s="5" t="str">
        <f ca="1">_xlfn.FORMULATEXT(표1[[#This Row],[Q''ty]])</f>
        <v>=F4029</v>
      </c>
    </row>
    <row r="4129" spans="1:8" ht="15" hidden="1" customHeight="1" x14ac:dyDescent="0.4">
      <c r="A4129" s="6">
        <v>2026</v>
      </c>
      <c r="B4129" s="6">
        <f t="shared" si="531"/>
        <v>42</v>
      </c>
      <c r="C4129" s="13" t="s">
        <v>20</v>
      </c>
      <c r="D4129" s="2" t="s">
        <v>6</v>
      </c>
      <c r="E4129" s="14" t="str">
        <f t="shared" si="530"/>
        <v>Paint Line</v>
      </c>
      <c r="F4129" s="22">
        <f t="shared" si="532"/>
        <v>8</v>
      </c>
      <c r="H4129" s="5" t="str">
        <f ca="1">_xlfn.FORMULATEXT(표1[[#This Row],[Q''ty]])</f>
        <v>=F4030</v>
      </c>
    </row>
    <row r="4130" spans="1:8" ht="15" hidden="1" customHeight="1" x14ac:dyDescent="0.4">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hidden="1" customHeight="1" x14ac:dyDescent="0.4">
      <c r="A4131" s="6">
        <v>2026</v>
      </c>
      <c r="B4131" s="6">
        <f t="shared" si="531"/>
        <v>42</v>
      </c>
      <c r="C4131" s="13" t="s">
        <v>20</v>
      </c>
      <c r="D4131" s="2" t="s">
        <v>6</v>
      </c>
      <c r="E4131" s="14" t="str">
        <f t="shared" si="530"/>
        <v>L/W Machine</v>
      </c>
      <c r="F4131" s="22">
        <f t="shared" si="532"/>
        <v>11</v>
      </c>
      <c r="H4131" s="5" t="str">
        <f ca="1">_xlfn.FORMULATEXT(표1[[#This Row],[Q''ty]])</f>
        <v>=F4032</v>
      </c>
    </row>
    <row r="4132" spans="1:8" ht="15" hidden="1" customHeight="1" x14ac:dyDescent="0.4">
      <c r="A4132" s="6">
        <v>2026</v>
      </c>
      <c r="B4132" s="6">
        <f t="shared" si="531"/>
        <v>42</v>
      </c>
      <c r="C4132" s="13" t="s">
        <v>20</v>
      </c>
      <c r="D4132" s="2" t="s">
        <v>6</v>
      </c>
      <c r="E4132" s="14" t="str">
        <f t="shared" si="530"/>
        <v>C/W Machine</v>
      </c>
      <c r="F4132" s="22">
        <f t="shared" si="532"/>
        <v>15</v>
      </c>
      <c r="H4132" s="5" t="str">
        <f ca="1">_xlfn.FORMULATEXT(표1[[#This Row],[Q''ty]])</f>
        <v>=F4033</v>
      </c>
    </row>
    <row r="4133" spans="1:8" ht="15" hidden="1" customHeight="1" x14ac:dyDescent="0.4">
      <c r="A4133" s="6">
        <v>2026</v>
      </c>
      <c r="B4133" s="6">
        <f t="shared" si="531"/>
        <v>42</v>
      </c>
      <c r="C4133" s="13" t="s">
        <v>20</v>
      </c>
      <c r="D4133" s="2" t="s">
        <v>12</v>
      </c>
      <c r="E4133" s="14" t="str">
        <f t="shared" si="530"/>
        <v>BT GT</v>
      </c>
      <c r="F4133" s="22"/>
      <c r="H4133" s="5" t="e">
        <f ca="1">_xlfn.FORMULATEXT(표1[[#This Row],[Q''ty]])</f>
        <v>#N/A</v>
      </c>
    </row>
    <row r="4134" spans="1:8" ht="15" hidden="1" customHeight="1" x14ac:dyDescent="0.4">
      <c r="A4134" s="6">
        <v>2026</v>
      </c>
      <c r="B4134" s="6">
        <f t="shared" si="531"/>
        <v>42</v>
      </c>
      <c r="C4134" s="13" t="s">
        <v>20</v>
      </c>
      <c r="D4134" s="2" t="s">
        <v>12</v>
      </c>
      <c r="E4134" s="14" t="str">
        <f t="shared" si="530"/>
        <v>WT GT</v>
      </c>
      <c r="F4134" s="22"/>
      <c r="H4134" s="5" t="e">
        <f ca="1">_xlfn.FORMULATEXT(표1[[#This Row],[Q''ty]])</f>
        <v>#N/A</v>
      </c>
    </row>
    <row r="4135" spans="1:8" ht="15" hidden="1" customHeight="1" x14ac:dyDescent="0.4">
      <c r="A4135" s="6">
        <v>2026</v>
      </c>
      <c r="B4135" s="6">
        <f t="shared" si="531"/>
        <v>42</v>
      </c>
      <c r="C4135" s="13" t="s">
        <v>20</v>
      </c>
      <c r="D4135" s="2" t="s">
        <v>12</v>
      </c>
      <c r="E4135" s="14" t="str">
        <f t="shared" si="530"/>
        <v>Bending</v>
      </c>
      <c r="F4135" s="22"/>
      <c r="H4135" s="5" t="e">
        <f ca="1">_xlfn.FORMULATEXT(표1[[#This Row],[Q''ty]])</f>
        <v>#N/A</v>
      </c>
    </row>
    <row r="4136" spans="1:8" ht="15" hidden="1" customHeight="1" x14ac:dyDescent="0.4">
      <c r="A4136" s="6">
        <v>2026</v>
      </c>
      <c r="B4136" s="6">
        <f t="shared" si="531"/>
        <v>42</v>
      </c>
      <c r="C4136" s="13" t="s">
        <v>20</v>
      </c>
      <c r="D4136" s="2" t="s">
        <v>12</v>
      </c>
      <c r="E4136" s="14" t="str">
        <f t="shared" si="530"/>
        <v>L/W</v>
      </c>
      <c r="F4136" s="22"/>
      <c r="H4136" s="5" t="e">
        <f ca="1">_xlfn.FORMULATEXT(표1[[#This Row],[Q''ty]])</f>
        <v>#N/A</v>
      </c>
    </row>
    <row r="4137" spans="1:8" ht="15" hidden="1" customHeight="1" thickBot="1" x14ac:dyDescent="0.45">
      <c r="A4137" s="15">
        <v>2026</v>
      </c>
      <c r="B4137" s="15">
        <f t="shared" si="531"/>
        <v>42</v>
      </c>
      <c r="C4137" s="16" t="s">
        <v>20</v>
      </c>
      <c r="D4137" s="17" t="s">
        <v>12</v>
      </c>
      <c r="E4137" s="18" t="str">
        <f t="shared" si="530"/>
        <v>C/W</v>
      </c>
      <c r="F4137" s="23"/>
      <c r="H4137" s="5" t="e">
        <f ca="1">_xlfn.FORMULATEXT(표1[[#This Row],[Q''ty]])</f>
        <v>#N/A</v>
      </c>
    </row>
    <row r="4138" spans="1:8" ht="15" hidden="1" customHeight="1" thickTop="1" x14ac:dyDescent="0.4">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hidden="1" customHeight="1" x14ac:dyDescent="0.4">
      <c r="A4139" s="6">
        <v>2026</v>
      </c>
      <c r="B4139" s="6">
        <f t="shared" si="531"/>
        <v>42</v>
      </c>
      <c r="C4139" s="13" t="s">
        <v>21</v>
      </c>
      <c r="D4139" s="2" t="s">
        <v>6</v>
      </c>
      <c r="E4139" s="14" t="str">
        <f t="shared" si="530"/>
        <v>Paint Booth</v>
      </c>
      <c r="F4139" s="22">
        <f t="shared" si="533"/>
        <v>4</v>
      </c>
      <c r="H4139" s="5" t="str">
        <f ca="1">_xlfn.FORMULATEXT(표1[[#This Row],[Q''ty]])</f>
        <v>=F4040</v>
      </c>
    </row>
    <row r="4140" spans="1:8" ht="15" hidden="1" customHeight="1" x14ac:dyDescent="0.4">
      <c r="A4140" s="6">
        <v>2026</v>
      </c>
      <c r="B4140" s="6">
        <f t="shared" si="531"/>
        <v>42</v>
      </c>
      <c r="C4140" s="13" t="s">
        <v>21</v>
      </c>
      <c r="D4140" s="2" t="s">
        <v>6</v>
      </c>
      <c r="E4140" s="14" t="str">
        <f t="shared" si="530"/>
        <v>Paint Line</v>
      </c>
      <c r="F4140" s="22">
        <f t="shared" si="533"/>
        <v>4</v>
      </c>
      <c r="H4140" s="5" t="str">
        <f ca="1">_xlfn.FORMULATEXT(표1[[#This Row],[Q''ty]])</f>
        <v>=F4041</v>
      </c>
    </row>
    <row r="4141" spans="1:8" ht="15" hidden="1" customHeight="1" x14ac:dyDescent="0.4">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hidden="1" customHeight="1" x14ac:dyDescent="0.4">
      <c r="A4142" s="6">
        <v>2026</v>
      </c>
      <c r="B4142" s="6">
        <f t="shared" si="531"/>
        <v>42</v>
      </c>
      <c r="C4142" s="13" t="s">
        <v>21</v>
      </c>
      <c r="D4142" s="2" t="s">
        <v>6</v>
      </c>
      <c r="E4142" s="14" t="str">
        <f t="shared" si="530"/>
        <v>L/W Machine</v>
      </c>
      <c r="F4142" s="22">
        <f t="shared" si="533"/>
        <v>4</v>
      </c>
      <c r="H4142" s="5" t="str">
        <f ca="1">_xlfn.FORMULATEXT(표1[[#This Row],[Q''ty]])</f>
        <v>=F4043</v>
      </c>
    </row>
    <row r="4143" spans="1:8" ht="15" hidden="1" customHeight="1" x14ac:dyDescent="0.4">
      <c r="A4143" s="6">
        <v>2026</v>
      </c>
      <c r="B4143" s="6">
        <f t="shared" si="531"/>
        <v>42</v>
      </c>
      <c r="C4143" s="13" t="s">
        <v>21</v>
      </c>
      <c r="D4143" s="2" t="s">
        <v>6</v>
      </c>
      <c r="E4143" s="14" t="str">
        <f t="shared" si="530"/>
        <v>C/W Machine</v>
      </c>
      <c r="F4143" s="22">
        <f t="shared" si="533"/>
        <v>6.5</v>
      </c>
      <c r="H4143" s="5" t="str">
        <f ca="1">_xlfn.FORMULATEXT(표1[[#This Row],[Q''ty]])</f>
        <v>=F4044</v>
      </c>
    </row>
    <row r="4144" spans="1:8" ht="15" hidden="1" customHeight="1" x14ac:dyDescent="0.4">
      <c r="A4144" s="6">
        <v>2026</v>
      </c>
      <c r="B4144" s="6">
        <f t="shared" si="531"/>
        <v>42</v>
      </c>
      <c r="C4144" s="13" t="s">
        <v>21</v>
      </c>
      <c r="D4144" s="2" t="s">
        <v>12</v>
      </c>
      <c r="E4144" s="14" t="str">
        <f t="shared" si="530"/>
        <v>BT GT</v>
      </c>
      <c r="F4144" s="22"/>
      <c r="H4144" s="5" t="e">
        <f ca="1">_xlfn.FORMULATEXT(표1[[#This Row],[Q''ty]])</f>
        <v>#N/A</v>
      </c>
    </row>
    <row r="4145" spans="1:8" ht="15" hidden="1" customHeight="1" x14ac:dyDescent="0.4">
      <c r="A4145" s="6">
        <v>2026</v>
      </c>
      <c r="B4145" s="6">
        <f t="shared" si="531"/>
        <v>42</v>
      </c>
      <c r="C4145" s="13" t="s">
        <v>21</v>
      </c>
      <c r="D4145" s="2" t="s">
        <v>12</v>
      </c>
      <c r="E4145" s="14" t="str">
        <f t="shared" si="530"/>
        <v>WT GT</v>
      </c>
      <c r="F4145" s="22"/>
      <c r="H4145" s="5" t="e">
        <f ca="1">_xlfn.FORMULATEXT(표1[[#This Row],[Q''ty]])</f>
        <v>#N/A</v>
      </c>
    </row>
    <row r="4146" spans="1:8" ht="15" hidden="1" customHeight="1" x14ac:dyDescent="0.4">
      <c r="A4146" s="6">
        <v>2026</v>
      </c>
      <c r="B4146" s="6">
        <f t="shared" si="531"/>
        <v>42</v>
      </c>
      <c r="C4146" s="13" t="s">
        <v>21</v>
      </c>
      <c r="D4146" s="2" t="s">
        <v>12</v>
      </c>
      <c r="E4146" s="14" t="str">
        <f t="shared" si="530"/>
        <v>Bending</v>
      </c>
      <c r="F4146" s="22"/>
      <c r="H4146" s="5" t="e">
        <f ca="1">_xlfn.FORMULATEXT(표1[[#This Row],[Q''ty]])</f>
        <v>#N/A</v>
      </c>
    </row>
    <row r="4147" spans="1:8" ht="15" hidden="1" customHeight="1" x14ac:dyDescent="0.4">
      <c r="A4147" s="6">
        <v>2026</v>
      </c>
      <c r="B4147" s="6">
        <f t="shared" si="531"/>
        <v>42</v>
      </c>
      <c r="C4147" s="13" t="s">
        <v>21</v>
      </c>
      <c r="D4147" s="2" t="s">
        <v>12</v>
      </c>
      <c r="E4147" s="14" t="str">
        <f t="shared" si="530"/>
        <v>L/W</v>
      </c>
      <c r="F4147" s="22"/>
      <c r="H4147" s="5" t="e">
        <f ca="1">_xlfn.FORMULATEXT(표1[[#This Row],[Q''ty]])</f>
        <v>#N/A</v>
      </c>
    </row>
    <row r="4148" spans="1:8" ht="15" hidden="1" customHeight="1" thickBot="1" x14ac:dyDescent="0.45">
      <c r="A4148" s="15">
        <v>2026</v>
      </c>
      <c r="B4148" s="15">
        <f t="shared" si="531"/>
        <v>42</v>
      </c>
      <c r="C4148" s="16" t="s">
        <v>21</v>
      </c>
      <c r="D4148" s="17" t="s">
        <v>12</v>
      </c>
      <c r="E4148" s="18" t="str">
        <f t="shared" si="530"/>
        <v>C/W</v>
      </c>
      <c r="F4148" s="23"/>
      <c r="H4148" s="5" t="e">
        <f ca="1">_xlfn.FORMULATEXT(표1[[#This Row],[Q''ty]])</f>
        <v>#N/A</v>
      </c>
    </row>
    <row r="4149" spans="1:8" ht="15" hidden="1" customHeight="1" thickTop="1" x14ac:dyDescent="0.4">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hidden="1" customHeight="1" x14ac:dyDescent="0.4">
      <c r="A4150" s="6">
        <v>2026</v>
      </c>
      <c r="B4150" s="6">
        <f t="shared" si="531"/>
        <v>42</v>
      </c>
      <c r="C4150" s="13" t="s">
        <v>22</v>
      </c>
      <c r="D4150" s="2" t="s">
        <v>6</v>
      </c>
      <c r="E4150" s="14" t="str">
        <f t="shared" si="530"/>
        <v>Paint Booth</v>
      </c>
      <c r="F4150" s="22">
        <f t="shared" si="534"/>
        <v>6</v>
      </c>
      <c r="H4150" s="5" t="str">
        <f ca="1">_xlfn.FORMULATEXT(표1[[#This Row],[Q''ty]])</f>
        <v>=F4051</v>
      </c>
    </row>
    <row r="4151" spans="1:8" ht="15" hidden="1" customHeight="1" x14ac:dyDescent="0.4">
      <c r="A4151" s="6">
        <v>2026</v>
      </c>
      <c r="B4151" s="6">
        <f t="shared" si="531"/>
        <v>42</v>
      </c>
      <c r="C4151" s="13" t="s">
        <v>22</v>
      </c>
      <c r="D4151" s="2" t="s">
        <v>6</v>
      </c>
      <c r="E4151" s="14" t="str">
        <f t="shared" si="530"/>
        <v>Paint Line</v>
      </c>
      <c r="F4151" s="22">
        <f t="shared" si="534"/>
        <v>4</v>
      </c>
      <c r="H4151" s="5" t="str">
        <f ca="1">_xlfn.FORMULATEXT(표1[[#This Row],[Q''ty]])</f>
        <v>=F4052</v>
      </c>
    </row>
    <row r="4152" spans="1:8" ht="15" hidden="1" customHeight="1" x14ac:dyDescent="0.4">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hidden="1" customHeight="1" x14ac:dyDescent="0.4">
      <c r="A4153" s="6">
        <v>2026</v>
      </c>
      <c r="B4153" s="6">
        <f t="shared" si="531"/>
        <v>42</v>
      </c>
      <c r="C4153" s="13" t="s">
        <v>22</v>
      </c>
      <c r="D4153" s="2" t="s">
        <v>6</v>
      </c>
      <c r="E4153" s="14" t="str">
        <f t="shared" si="530"/>
        <v>L/W Machine</v>
      </c>
      <c r="F4153" s="22">
        <f t="shared" si="534"/>
        <v>7</v>
      </c>
      <c r="H4153" s="5" t="str">
        <f ca="1">_xlfn.FORMULATEXT(표1[[#This Row],[Q''ty]])</f>
        <v>=F4054</v>
      </c>
    </row>
    <row r="4154" spans="1:8" ht="15" hidden="1" customHeight="1" x14ac:dyDescent="0.4">
      <c r="A4154" s="6">
        <v>2026</v>
      </c>
      <c r="B4154" s="6">
        <f t="shared" si="531"/>
        <v>42</v>
      </c>
      <c r="C4154" s="13" t="s">
        <v>22</v>
      </c>
      <c r="D4154" s="2" t="s">
        <v>6</v>
      </c>
      <c r="E4154" s="14" t="str">
        <f t="shared" si="530"/>
        <v>C/W Machine</v>
      </c>
      <c r="F4154" s="22">
        <f t="shared" si="534"/>
        <v>12.5</v>
      </c>
      <c r="H4154" s="5" t="str">
        <f ca="1">_xlfn.FORMULATEXT(표1[[#This Row],[Q''ty]])</f>
        <v>=F4055</v>
      </c>
    </row>
    <row r="4155" spans="1:8" ht="15" hidden="1" customHeight="1" x14ac:dyDescent="0.4">
      <c r="A4155" s="6">
        <v>2026</v>
      </c>
      <c r="B4155" s="6">
        <f t="shared" si="531"/>
        <v>42</v>
      </c>
      <c r="C4155" s="13" t="s">
        <v>22</v>
      </c>
      <c r="D4155" s="2" t="s">
        <v>12</v>
      </c>
      <c r="E4155" s="14" t="str">
        <f t="shared" si="530"/>
        <v>BT GT</v>
      </c>
      <c r="F4155" s="22"/>
      <c r="H4155" s="5" t="e">
        <f ca="1">_xlfn.FORMULATEXT(표1[[#This Row],[Q''ty]])</f>
        <v>#N/A</v>
      </c>
    </row>
    <row r="4156" spans="1:8" ht="15" hidden="1" customHeight="1" x14ac:dyDescent="0.4">
      <c r="A4156" s="6">
        <v>2026</v>
      </c>
      <c r="B4156" s="6">
        <f t="shared" si="531"/>
        <v>42</v>
      </c>
      <c r="C4156" s="13" t="s">
        <v>22</v>
      </c>
      <c r="D4156" s="2" t="s">
        <v>12</v>
      </c>
      <c r="E4156" s="14" t="str">
        <f t="shared" si="530"/>
        <v>WT GT</v>
      </c>
      <c r="F4156" s="22"/>
      <c r="H4156" s="5" t="e">
        <f ca="1">_xlfn.FORMULATEXT(표1[[#This Row],[Q''ty]])</f>
        <v>#N/A</v>
      </c>
    </row>
    <row r="4157" spans="1:8" ht="15" hidden="1" customHeight="1" x14ac:dyDescent="0.4">
      <c r="A4157" s="6">
        <v>2026</v>
      </c>
      <c r="B4157" s="6">
        <f t="shared" si="531"/>
        <v>42</v>
      </c>
      <c r="C4157" s="13" t="s">
        <v>22</v>
      </c>
      <c r="D4157" s="2" t="s">
        <v>12</v>
      </c>
      <c r="E4157" s="14" t="str">
        <f t="shared" si="530"/>
        <v>Bending</v>
      </c>
      <c r="F4157" s="22"/>
      <c r="H4157" s="5" t="e">
        <f ca="1">_xlfn.FORMULATEXT(표1[[#This Row],[Q''ty]])</f>
        <v>#N/A</v>
      </c>
    </row>
    <row r="4158" spans="1:8" ht="15" hidden="1" customHeight="1" x14ac:dyDescent="0.4">
      <c r="A4158" s="6">
        <v>2026</v>
      </c>
      <c r="B4158" s="6">
        <f t="shared" si="531"/>
        <v>42</v>
      </c>
      <c r="C4158" s="13" t="s">
        <v>22</v>
      </c>
      <c r="D4158" s="2" t="s">
        <v>12</v>
      </c>
      <c r="E4158" s="14" t="str">
        <f t="shared" si="530"/>
        <v>L/W</v>
      </c>
      <c r="F4158" s="22"/>
      <c r="H4158" s="5" t="e">
        <f ca="1">_xlfn.FORMULATEXT(표1[[#This Row],[Q''ty]])</f>
        <v>#N/A</v>
      </c>
    </row>
    <row r="4159" spans="1:8" ht="15" hidden="1" customHeight="1" thickBot="1" x14ac:dyDescent="0.45">
      <c r="A4159" s="6">
        <v>2026</v>
      </c>
      <c r="B4159" s="6">
        <f t="shared" si="531"/>
        <v>42</v>
      </c>
      <c r="C4159" s="13" t="s">
        <v>22</v>
      </c>
      <c r="D4159" s="2" t="s">
        <v>12</v>
      </c>
      <c r="E4159" s="14" t="str">
        <f t="shared" si="530"/>
        <v>C/W</v>
      </c>
      <c r="F4159" s="22"/>
      <c r="H4159" s="5" t="e">
        <f ca="1">_xlfn.FORMULATEXT(표1[[#This Row],[Q''ty]])</f>
        <v>#N/A</v>
      </c>
    </row>
    <row r="4160" spans="1:8" ht="15" hidden="1" customHeight="1" thickTop="1" x14ac:dyDescent="0.4">
      <c r="A4160" s="9">
        <v>2026</v>
      </c>
      <c r="B4160" s="9">
        <f>B4061+1</f>
        <v>43</v>
      </c>
      <c r="C4160" s="10" t="s">
        <v>28</v>
      </c>
      <c r="D4160" s="11" t="s">
        <v>6</v>
      </c>
      <c r="E4160" s="12" t="s">
        <v>7</v>
      </c>
      <c r="F4160" s="21">
        <f t="shared" ref="F4160:F4165" si="535">F4061</f>
        <v>15</v>
      </c>
      <c r="H4160" s="5" t="str">
        <f ca="1">_xlfn.FORMULATEXT(표1[[#This Row],[Q''ty]])</f>
        <v>=F4061</v>
      </c>
    </row>
    <row r="4161" spans="1:10" s="2" customFormat="1" ht="15" hidden="1" customHeight="1" x14ac:dyDescent="0.4">
      <c r="A4161" s="6">
        <v>2026</v>
      </c>
      <c r="B4161" s="6">
        <f t="shared" ref="B4161:B4224" si="536">B4062+1</f>
        <v>43</v>
      </c>
      <c r="C4161" s="13" t="s">
        <v>23</v>
      </c>
      <c r="D4161" s="2" t="s">
        <v>6</v>
      </c>
      <c r="E4161" s="14" t="s">
        <v>8</v>
      </c>
      <c r="F4161" s="22">
        <f t="shared" si="535"/>
        <v>10</v>
      </c>
      <c r="H4161" s="5" t="str">
        <f ca="1">_xlfn.FORMULATEXT(표1[[#This Row],[Q''ty]])</f>
        <v>=F4062</v>
      </c>
      <c r="I4161" s="26"/>
      <c r="J4161" s="26"/>
    </row>
    <row r="4162" spans="1:10" s="2" customFormat="1" ht="15" hidden="1" customHeight="1" x14ac:dyDescent="0.4">
      <c r="A4162" s="6">
        <v>2026</v>
      </c>
      <c r="B4162" s="6">
        <f t="shared" si="536"/>
        <v>43</v>
      </c>
      <c r="C4162" s="13" t="s">
        <v>23</v>
      </c>
      <c r="D4162" s="2" t="s">
        <v>6</v>
      </c>
      <c r="E4162" s="14" t="s">
        <v>9</v>
      </c>
      <c r="F4162" s="22">
        <f t="shared" si="535"/>
        <v>5</v>
      </c>
      <c r="H4162" s="5" t="str">
        <f ca="1">_xlfn.FORMULATEXT(표1[[#This Row],[Q''ty]])</f>
        <v>=F4063</v>
      </c>
      <c r="I4162" s="26"/>
      <c r="J4162" s="26"/>
    </row>
    <row r="4163" spans="1:10" ht="15" hidden="1" customHeight="1" x14ac:dyDescent="0.4">
      <c r="A4163" s="6">
        <v>2026</v>
      </c>
      <c r="B4163" s="6">
        <f t="shared" si="536"/>
        <v>43</v>
      </c>
      <c r="C4163" s="13" t="s">
        <v>23</v>
      </c>
      <c r="D4163" s="2" t="s">
        <v>6</v>
      </c>
      <c r="E4163" s="14" t="s">
        <v>27</v>
      </c>
      <c r="F4163" s="22">
        <f t="shared" si="535"/>
        <v>6</v>
      </c>
      <c r="H4163" s="5" t="str">
        <f ca="1">_xlfn.FORMULATEXT(표1[[#This Row],[Q''ty]])</f>
        <v>=F4064</v>
      </c>
    </row>
    <row r="4164" spans="1:10" ht="15" hidden="1" customHeight="1" x14ac:dyDescent="0.4">
      <c r="A4164" s="6">
        <v>2026</v>
      </c>
      <c r="B4164" s="6">
        <f t="shared" si="536"/>
        <v>43</v>
      </c>
      <c r="C4164" s="13" t="s">
        <v>23</v>
      </c>
      <c r="D4164" s="2" t="s">
        <v>6</v>
      </c>
      <c r="E4164" s="14" t="s">
        <v>10</v>
      </c>
      <c r="F4164" s="22">
        <f t="shared" si="535"/>
        <v>10</v>
      </c>
      <c r="H4164" s="5" t="str">
        <f ca="1">_xlfn.FORMULATEXT(표1[[#This Row],[Q''ty]])</f>
        <v>=F4065</v>
      </c>
    </row>
    <row r="4165" spans="1:10" ht="15" hidden="1" customHeight="1" x14ac:dyDescent="0.4">
      <c r="A4165" s="6">
        <v>2026</v>
      </c>
      <c r="B4165" s="6">
        <f t="shared" si="536"/>
        <v>43</v>
      </c>
      <c r="C4165" s="13" t="s">
        <v>23</v>
      </c>
      <c r="D4165" s="2" t="s">
        <v>6</v>
      </c>
      <c r="E4165" s="14" t="s">
        <v>11</v>
      </c>
      <c r="F4165" s="22">
        <f t="shared" si="535"/>
        <v>10</v>
      </c>
      <c r="H4165" s="5" t="str">
        <f ca="1">_xlfn.FORMULATEXT(표1[[#This Row],[Q''ty]])</f>
        <v>=F4066</v>
      </c>
    </row>
    <row r="4166" spans="1:10" ht="15" hidden="1" customHeight="1" x14ac:dyDescent="0.4">
      <c r="A4166" s="6">
        <v>2026</v>
      </c>
      <c r="B4166" s="6">
        <f t="shared" si="536"/>
        <v>43</v>
      </c>
      <c r="C4166" s="13" t="s">
        <v>23</v>
      </c>
      <c r="D4166" s="2" t="s">
        <v>12</v>
      </c>
      <c r="E4166" s="14" t="s">
        <v>13</v>
      </c>
      <c r="F4166" s="22"/>
      <c r="H4166" s="5" t="e">
        <f ca="1">_xlfn.FORMULATEXT(표1[[#This Row],[Q''ty]])</f>
        <v>#N/A</v>
      </c>
    </row>
    <row r="4167" spans="1:10" s="2" customFormat="1" ht="15" hidden="1" customHeight="1" x14ac:dyDescent="0.4">
      <c r="A4167" s="6">
        <v>2026</v>
      </c>
      <c r="B4167" s="6">
        <f t="shared" si="536"/>
        <v>43</v>
      </c>
      <c r="C4167" s="13" t="s">
        <v>23</v>
      </c>
      <c r="D4167" s="2" t="s">
        <v>12</v>
      </c>
      <c r="E4167" s="14" t="s">
        <v>14</v>
      </c>
      <c r="F4167" s="22"/>
      <c r="H4167" s="5" t="e">
        <f ca="1">_xlfn.FORMULATEXT(표1[[#This Row],[Q''ty]])</f>
        <v>#N/A</v>
      </c>
      <c r="I4167" s="26"/>
      <c r="J4167" s="26"/>
    </row>
    <row r="4168" spans="1:10" ht="15" hidden="1" customHeight="1" x14ac:dyDescent="0.4">
      <c r="A4168" s="6">
        <v>2026</v>
      </c>
      <c r="B4168" s="6">
        <f t="shared" si="536"/>
        <v>43</v>
      </c>
      <c r="C4168" s="13" t="s">
        <v>23</v>
      </c>
      <c r="D4168" s="2" t="s">
        <v>12</v>
      </c>
      <c r="E4168" s="14" t="s">
        <v>15</v>
      </c>
      <c r="F4168" s="22"/>
      <c r="H4168" s="5" t="e">
        <f ca="1">_xlfn.FORMULATEXT(표1[[#This Row],[Q''ty]])</f>
        <v>#N/A</v>
      </c>
    </row>
    <row r="4169" spans="1:10" ht="15" hidden="1" customHeight="1" x14ac:dyDescent="0.4">
      <c r="A4169" s="6">
        <v>2026</v>
      </c>
      <c r="B4169" s="6">
        <f t="shared" si="536"/>
        <v>43</v>
      </c>
      <c r="C4169" s="13" t="s">
        <v>23</v>
      </c>
      <c r="D4169" s="2" t="s">
        <v>12</v>
      </c>
      <c r="E4169" s="14" t="s">
        <v>16</v>
      </c>
      <c r="F4169" s="22"/>
      <c r="H4169" s="5" t="e">
        <f ca="1">_xlfn.FORMULATEXT(표1[[#This Row],[Q''ty]])</f>
        <v>#N/A</v>
      </c>
    </row>
    <row r="4170" spans="1:10" ht="15" hidden="1" customHeight="1" thickBot="1" x14ac:dyDescent="0.45">
      <c r="A4170" s="15">
        <v>2026</v>
      </c>
      <c r="B4170" s="15">
        <f t="shared" si="536"/>
        <v>43</v>
      </c>
      <c r="C4170" s="16" t="s">
        <v>23</v>
      </c>
      <c r="D4170" s="17" t="s">
        <v>12</v>
      </c>
      <c r="E4170" s="18" t="s">
        <v>17</v>
      </c>
      <c r="F4170" s="23"/>
      <c r="H4170" s="5" t="e">
        <f ca="1">_xlfn.FORMULATEXT(표1[[#This Row],[Q''ty]])</f>
        <v>#N/A</v>
      </c>
    </row>
    <row r="4171" spans="1:10" ht="15" hidden="1" customHeight="1" thickTop="1" x14ac:dyDescent="0.4">
      <c r="A4171" s="9">
        <v>2026</v>
      </c>
      <c r="B4171" s="9">
        <f t="shared" si="536"/>
        <v>43</v>
      </c>
      <c r="C4171" s="10" t="s">
        <v>29</v>
      </c>
      <c r="D4171" s="11" t="s">
        <v>6</v>
      </c>
      <c r="E4171" s="12" t="s">
        <v>7</v>
      </c>
      <c r="F4171" s="21">
        <f t="shared" ref="F4171:F4176" si="537">F4072</f>
        <v>14</v>
      </c>
      <c r="H4171" s="5" t="str">
        <f ca="1">_xlfn.FORMULATEXT(표1[[#This Row],[Q''ty]])</f>
        <v>=F4072</v>
      </c>
    </row>
    <row r="4172" spans="1:10" s="2" customFormat="1" ht="15" hidden="1" customHeight="1" x14ac:dyDescent="0.4">
      <c r="A4172" s="6">
        <v>2026</v>
      </c>
      <c r="B4172" s="6">
        <f t="shared" si="536"/>
        <v>43</v>
      </c>
      <c r="C4172" s="13" t="s">
        <v>24</v>
      </c>
      <c r="D4172" s="2" t="s">
        <v>6</v>
      </c>
      <c r="E4172" s="14" t="s">
        <v>8</v>
      </c>
      <c r="F4172" s="22">
        <f t="shared" si="537"/>
        <v>8</v>
      </c>
      <c r="H4172" s="5" t="str">
        <f ca="1">_xlfn.FORMULATEXT(표1[[#This Row],[Q''ty]])</f>
        <v>=F4073</v>
      </c>
      <c r="I4172" s="26"/>
      <c r="J4172" s="26"/>
    </row>
    <row r="4173" spans="1:10" s="2" customFormat="1" ht="15" hidden="1" customHeight="1" x14ac:dyDescent="0.4">
      <c r="A4173" s="6">
        <v>2026</v>
      </c>
      <c r="B4173" s="6">
        <f t="shared" si="536"/>
        <v>43</v>
      </c>
      <c r="C4173" s="13" t="s">
        <v>24</v>
      </c>
      <c r="D4173" s="2" t="s">
        <v>6</v>
      </c>
      <c r="E4173" s="14" t="s">
        <v>9</v>
      </c>
      <c r="F4173" s="22">
        <f t="shared" si="537"/>
        <v>4</v>
      </c>
      <c r="H4173" s="5" t="str">
        <f ca="1">_xlfn.FORMULATEXT(표1[[#This Row],[Q''ty]])</f>
        <v>=F4074</v>
      </c>
      <c r="I4173" s="26"/>
      <c r="J4173" s="26"/>
    </row>
    <row r="4174" spans="1:10" ht="15" hidden="1" customHeight="1" x14ac:dyDescent="0.4">
      <c r="A4174" s="6">
        <v>2026</v>
      </c>
      <c r="B4174" s="6">
        <f t="shared" si="536"/>
        <v>43</v>
      </c>
      <c r="C4174" s="13" t="s">
        <v>24</v>
      </c>
      <c r="D4174" s="2" t="s">
        <v>6</v>
      </c>
      <c r="E4174" s="14" t="s">
        <v>27</v>
      </c>
      <c r="F4174" s="22">
        <f t="shared" si="537"/>
        <v>3</v>
      </c>
      <c r="H4174" s="5" t="str">
        <f ca="1">_xlfn.FORMULATEXT(표1[[#This Row],[Q''ty]])</f>
        <v>=F4075</v>
      </c>
    </row>
    <row r="4175" spans="1:10" ht="15" hidden="1" customHeight="1" x14ac:dyDescent="0.4">
      <c r="A4175" s="6">
        <v>2026</v>
      </c>
      <c r="B4175" s="6">
        <f t="shared" si="536"/>
        <v>43</v>
      </c>
      <c r="C4175" s="13" t="s">
        <v>24</v>
      </c>
      <c r="D4175" s="2" t="s">
        <v>6</v>
      </c>
      <c r="E4175" s="14" t="s">
        <v>10</v>
      </c>
      <c r="F4175" s="22">
        <f t="shared" si="537"/>
        <v>6</v>
      </c>
      <c r="H4175" s="5" t="str">
        <f ca="1">_xlfn.FORMULATEXT(표1[[#This Row],[Q''ty]])</f>
        <v>=F4076</v>
      </c>
    </row>
    <row r="4176" spans="1:10" ht="15" hidden="1" customHeight="1" x14ac:dyDescent="0.4">
      <c r="A4176" s="6">
        <v>2026</v>
      </c>
      <c r="B4176" s="6">
        <f t="shared" si="536"/>
        <v>43</v>
      </c>
      <c r="C4176" s="13" t="s">
        <v>24</v>
      </c>
      <c r="D4176" s="2" t="s">
        <v>6</v>
      </c>
      <c r="E4176" s="14" t="s">
        <v>11</v>
      </c>
      <c r="F4176" s="22">
        <f t="shared" si="537"/>
        <v>8.8000000000000007</v>
      </c>
      <c r="H4176" s="5" t="str">
        <f ca="1">_xlfn.FORMULATEXT(표1[[#This Row],[Q''ty]])</f>
        <v>=F4077</v>
      </c>
    </row>
    <row r="4177" spans="1:10" ht="15" hidden="1" customHeight="1" x14ac:dyDescent="0.4">
      <c r="A4177" s="6">
        <v>2026</v>
      </c>
      <c r="B4177" s="6">
        <f t="shared" si="536"/>
        <v>43</v>
      </c>
      <c r="C4177" s="13" t="s">
        <v>24</v>
      </c>
      <c r="D4177" s="2" t="s">
        <v>12</v>
      </c>
      <c r="E4177" s="14" t="s">
        <v>13</v>
      </c>
      <c r="F4177" s="22"/>
      <c r="H4177" s="5" t="e">
        <f ca="1">_xlfn.FORMULATEXT(표1[[#This Row],[Q''ty]])</f>
        <v>#N/A</v>
      </c>
    </row>
    <row r="4178" spans="1:10" s="2" customFormat="1" ht="15" hidden="1" customHeight="1" x14ac:dyDescent="0.4">
      <c r="A4178" s="6">
        <v>2026</v>
      </c>
      <c r="B4178" s="6">
        <f t="shared" si="536"/>
        <v>43</v>
      </c>
      <c r="C4178" s="13" t="s">
        <v>24</v>
      </c>
      <c r="D4178" s="2" t="s">
        <v>12</v>
      </c>
      <c r="E4178" s="14" t="s">
        <v>14</v>
      </c>
      <c r="F4178" s="22"/>
      <c r="H4178" s="5" t="e">
        <f ca="1">_xlfn.FORMULATEXT(표1[[#This Row],[Q''ty]])</f>
        <v>#N/A</v>
      </c>
      <c r="I4178" s="26"/>
      <c r="J4178" s="26"/>
    </row>
    <row r="4179" spans="1:10" ht="15" hidden="1" customHeight="1" x14ac:dyDescent="0.4">
      <c r="A4179" s="6">
        <v>2026</v>
      </c>
      <c r="B4179" s="6">
        <f t="shared" si="536"/>
        <v>43</v>
      </c>
      <c r="C4179" s="13" t="s">
        <v>24</v>
      </c>
      <c r="D4179" s="2" t="s">
        <v>12</v>
      </c>
      <c r="E4179" s="14" t="s">
        <v>15</v>
      </c>
      <c r="F4179" s="22"/>
      <c r="H4179" s="5" t="e">
        <f ca="1">_xlfn.FORMULATEXT(표1[[#This Row],[Q''ty]])</f>
        <v>#N/A</v>
      </c>
    </row>
    <row r="4180" spans="1:10" ht="15" hidden="1" customHeight="1" x14ac:dyDescent="0.4">
      <c r="A4180" s="6">
        <v>2026</v>
      </c>
      <c r="B4180" s="6">
        <f t="shared" si="536"/>
        <v>43</v>
      </c>
      <c r="C4180" s="13" t="s">
        <v>24</v>
      </c>
      <c r="D4180" s="2" t="s">
        <v>12</v>
      </c>
      <c r="E4180" s="14" t="s">
        <v>16</v>
      </c>
      <c r="F4180" s="22"/>
      <c r="H4180" s="5" t="e">
        <f ca="1">_xlfn.FORMULATEXT(표1[[#This Row],[Q''ty]])</f>
        <v>#N/A</v>
      </c>
    </row>
    <row r="4181" spans="1:10" ht="15" hidden="1" customHeight="1" thickBot="1" x14ac:dyDescent="0.45">
      <c r="A4181" s="15">
        <v>2026</v>
      </c>
      <c r="B4181" s="15">
        <f t="shared" si="536"/>
        <v>43</v>
      </c>
      <c r="C4181" s="16" t="s">
        <v>24</v>
      </c>
      <c r="D4181" s="17" t="s">
        <v>12</v>
      </c>
      <c r="E4181" s="18" t="s">
        <v>17</v>
      </c>
      <c r="F4181" s="23"/>
      <c r="H4181" s="5" t="e">
        <f ca="1">_xlfn.FORMULATEXT(표1[[#This Row],[Q''ty]])</f>
        <v>#N/A</v>
      </c>
    </row>
    <row r="4182" spans="1:10" ht="15" hidden="1" customHeight="1" thickTop="1" x14ac:dyDescent="0.4">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10" ht="15" hidden="1" customHeight="1" x14ac:dyDescent="0.4">
      <c r="A4183" s="6">
        <v>2026</v>
      </c>
      <c r="B4183" s="6">
        <f t="shared" si="536"/>
        <v>43</v>
      </c>
      <c r="C4183" s="13" t="s">
        <v>18</v>
      </c>
      <c r="D4183" s="2" t="s">
        <v>6</v>
      </c>
      <c r="E4183" s="14" t="str">
        <f t="shared" si="538"/>
        <v>Paint Booth</v>
      </c>
      <c r="F4183" s="22">
        <f t="shared" si="538"/>
        <v>3</v>
      </c>
      <c r="H4183" s="5" t="str">
        <f ca="1">_xlfn.FORMULATEXT(표1[[#This Row],[Q''ty]])</f>
        <v>=F4084</v>
      </c>
    </row>
    <row r="4184" spans="1:10" ht="15" hidden="1" customHeight="1" x14ac:dyDescent="0.4">
      <c r="A4184" s="6">
        <v>2026</v>
      </c>
      <c r="B4184" s="6">
        <f t="shared" si="536"/>
        <v>43</v>
      </c>
      <c r="C4184" s="13" t="s">
        <v>18</v>
      </c>
      <c r="D4184" s="2" t="s">
        <v>6</v>
      </c>
      <c r="E4184" s="14" t="str">
        <f t="shared" si="538"/>
        <v>Paint Line</v>
      </c>
      <c r="F4184" s="22">
        <f t="shared" si="538"/>
        <v>2</v>
      </c>
      <c r="H4184" s="5" t="str">
        <f ca="1">_xlfn.FORMULATEXT(표1[[#This Row],[Q''ty]])</f>
        <v>=F4085</v>
      </c>
    </row>
    <row r="4185" spans="1:10" ht="15" hidden="1" customHeight="1" x14ac:dyDescent="0.4">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10" ht="15" hidden="1" customHeight="1" x14ac:dyDescent="0.4">
      <c r="A4186" s="6">
        <v>2026</v>
      </c>
      <c r="B4186" s="6">
        <f t="shared" si="536"/>
        <v>43</v>
      </c>
      <c r="C4186" s="13" t="s">
        <v>18</v>
      </c>
      <c r="D4186" s="2" t="s">
        <v>6</v>
      </c>
      <c r="E4186" s="14" t="str">
        <f t="shared" si="538"/>
        <v>L/W Machine</v>
      </c>
      <c r="F4186" s="22">
        <f t="shared" si="538"/>
        <v>2</v>
      </c>
      <c r="H4186" s="5" t="str">
        <f ca="1">_xlfn.FORMULATEXT(표1[[#This Row],[Q''ty]])</f>
        <v>=F4087</v>
      </c>
    </row>
    <row r="4187" spans="1:10" ht="15" hidden="1" customHeight="1" x14ac:dyDescent="0.4">
      <c r="A4187" s="6">
        <v>2026</v>
      </c>
      <c r="B4187" s="6">
        <f t="shared" si="536"/>
        <v>43</v>
      </c>
      <c r="C4187" s="13" t="s">
        <v>18</v>
      </c>
      <c r="D4187" s="2" t="s">
        <v>6</v>
      </c>
      <c r="E4187" s="14" t="str">
        <f t="shared" si="538"/>
        <v>C/W Machine</v>
      </c>
      <c r="F4187" s="22">
        <f t="shared" si="538"/>
        <v>3</v>
      </c>
      <c r="H4187" s="5" t="str">
        <f ca="1">_xlfn.FORMULATEXT(표1[[#This Row],[Q''ty]])</f>
        <v>=F4088</v>
      </c>
    </row>
    <row r="4188" spans="1:10" ht="15" hidden="1" customHeight="1" x14ac:dyDescent="0.4">
      <c r="A4188" s="6">
        <v>2026</v>
      </c>
      <c r="B4188" s="6">
        <f t="shared" si="536"/>
        <v>43</v>
      </c>
      <c r="C4188" s="13" t="s">
        <v>18</v>
      </c>
      <c r="D4188" s="2" t="s">
        <v>12</v>
      </c>
      <c r="E4188" s="14" t="str">
        <f t="shared" ref="E4188:E4203" si="539">E4089</f>
        <v>BT GT</v>
      </c>
      <c r="F4188" s="22"/>
      <c r="H4188" s="5" t="e">
        <f ca="1">_xlfn.FORMULATEXT(표1[[#This Row],[Q''ty]])</f>
        <v>#N/A</v>
      </c>
    </row>
    <row r="4189" spans="1:10" ht="15" hidden="1" customHeight="1" x14ac:dyDescent="0.4">
      <c r="A4189" s="6">
        <v>2026</v>
      </c>
      <c r="B4189" s="6">
        <f t="shared" si="536"/>
        <v>43</v>
      </c>
      <c r="C4189" s="13" t="s">
        <v>18</v>
      </c>
      <c r="D4189" s="2" t="s">
        <v>12</v>
      </c>
      <c r="E4189" s="14" t="str">
        <f t="shared" si="539"/>
        <v>WT GT</v>
      </c>
      <c r="F4189" s="22"/>
      <c r="H4189" s="5" t="e">
        <f ca="1">_xlfn.FORMULATEXT(표1[[#This Row],[Q''ty]])</f>
        <v>#N/A</v>
      </c>
    </row>
    <row r="4190" spans="1:10" ht="15" hidden="1" customHeight="1" x14ac:dyDescent="0.4">
      <c r="A4190" s="6">
        <v>2026</v>
      </c>
      <c r="B4190" s="6">
        <f t="shared" si="536"/>
        <v>43</v>
      </c>
      <c r="C4190" s="13" t="s">
        <v>18</v>
      </c>
      <c r="D4190" s="2" t="s">
        <v>12</v>
      </c>
      <c r="E4190" s="14" t="str">
        <f t="shared" si="539"/>
        <v>Bending</v>
      </c>
      <c r="F4190" s="22"/>
      <c r="H4190" s="5" t="e">
        <f ca="1">_xlfn.FORMULATEXT(표1[[#This Row],[Q''ty]])</f>
        <v>#N/A</v>
      </c>
    </row>
    <row r="4191" spans="1:10" ht="15" hidden="1" customHeight="1" x14ac:dyDescent="0.4">
      <c r="A4191" s="6">
        <v>2026</v>
      </c>
      <c r="B4191" s="6">
        <f t="shared" si="536"/>
        <v>43</v>
      </c>
      <c r="C4191" s="13" t="s">
        <v>18</v>
      </c>
      <c r="D4191" s="2" t="s">
        <v>12</v>
      </c>
      <c r="E4191" s="14" t="str">
        <f t="shared" si="539"/>
        <v>L/W</v>
      </c>
      <c r="F4191" s="22"/>
      <c r="H4191" s="5" t="e">
        <f ca="1">_xlfn.FORMULATEXT(표1[[#This Row],[Q''ty]])</f>
        <v>#N/A</v>
      </c>
    </row>
    <row r="4192" spans="1:10" ht="15" hidden="1" customHeight="1" thickBot="1" x14ac:dyDescent="0.45">
      <c r="A4192" s="15">
        <v>2026</v>
      </c>
      <c r="B4192" s="15">
        <f t="shared" si="536"/>
        <v>43</v>
      </c>
      <c r="C4192" s="16" t="s">
        <v>18</v>
      </c>
      <c r="D4192" s="17" t="s">
        <v>12</v>
      </c>
      <c r="E4192" s="18" t="str">
        <f t="shared" si="539"/>
        <v>C/W</v>
      </c>
      <c r="F4192" s="23"/>
      <c r="H4192" s="5" t="e">
        <f ca="1">_xlfn.FORMULATEXT(표1[[#This Row],[Q''ty]])</f>
        <v>#N/A</v>
      </c>
    </row>
    <row r="4193" spans="1:8" ht="15" hidden="1" customHeight="1" thickTop="1" x14ac:dyDescent="0.4">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hidden="1" customHeight="1" x14ac:dyDescent="0.4">
      <c r="A4194" s="6">
        <v>2026</v>
      </c>
      <c r="B4194" s="6">
        <f t="shared" si="536"/>
        <v>43</v>
      </c>
      <c r="C4194" s="13" t="s">
        <v>19</v>
      </c>
      <c r="D4194" s="2" t="s">
        <v>6</v>
      </c>
      <c r="E4194" s="14" t="str">
        <f t="shared" si="539"/>
        <v>Paint Booth</v>
      </c>
      <c r="F4194" s="22">
        <f t="shared" si="540"/>
        <v>22</v>
      </c>
      <c r="H4194" s="5" t="str">
        <f ca="1">_xlfn.FORMULATEXT(표1[[#This Row],[Q''ty]])</f>
        <v>=F4095</v>
      </c>
    </row>
    <row r="4195" spans="1:8" ht="15" hidden="1" customHeight="1" x14ac:dyDescent="0.4">
      <c r="A4195" s="6">
        <v>2026</v>
      </c>
      <c r="B4195" s="6">
        <f t="shared" si="536"/>
        <v>43</v>
      </c>
      <c r="C4195" s="13" t="s">
        <v>19</v>
      </c>
      <c r="D4195" s="2" t="s">
        <v>6</v>
      </c>
      <c r="E4195" s="14" t="str">
        <f t="shared" si="539"/>
        <v>Paint Line</v>
      </c>
      <c r="F4195" s="22">
        <f t="shared" si="540"/>
        <v>6</v>
      </c>
      <c r="H4195" s="5" t="str">
        <f ca="1">_xlfn.FORMULATEXT(표1[[#This Row],[Q''ty]])</f>
        <v>=F4096</v>
      </c>
    </row>
    <row r="4196" spans="1:8" ht="15" hidden="1" customHeight="1" x14ac:dyDescent="0.4">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hidden="1" customHeight="1" x14ac:dyDescent="0.4">
      <c r="A4197" s="6">
        <v>2026</v>
      </c>
      <c r="B4197" s="6">
        <f t="shared" si="536"/>
        <v>43</v>
      </c>
      <c r="C4197" s="13" t="s">
        <v>19</v>
      </c>
      <c r="D4197" s="2" t="s">
        <v>6</v>
      </c>
      <c r="E4197" s="14" t="str">
        <f t="shared" si="539"/>
        <v>L/W Machine</v>
      </c>
      <c r="F4197" s="22">
        <f t="shared" si="540"/>
        <v>10</v>
      </c>
      <c r="H4197" s="5" t="str">
        <f ca="1">_xlfn.FORMULATEXT(표1[[#This Row],[Q''ty]])</f>
        <v>=F4098</v>
      </c>
    </row>
    <row r="4198" spans="1:8" ht="15" hidden="1" customHeight="1" x14ac:dyDescent="0.4">
      <c r="A4198" s="6">
        <v>2026</v>
      </c>
      <c r="B4198" s="6">
        <f t="shared" si="536"/>
        <v>43</v>
      </c>
      <c r="C4198" s="13" t="s">
        <v>19</v>
      </c>
      <c r="D4198" s="2" t="s">
        <v>6</v>
      </c>
      <c r="E4198" s="14" t="str">
        <f t="shared" si="539"/>
        <v>C/W Machine</v>
      </c>
      <c r="F4198" s="22">
        <f t="shared" si="540"/>
        <v>12</v>
      </c>
      <c r="H4198" s="5" t="str">
        <f ca="1">_xlfn.FORMULATEXT(표1[[#This Row],[Q''ty]])</f>
        <v>=F4099</v>
      </c>
    </row>
    <row r="4199" spans="1:8" ht="15" hidden="1" customHeight="1" x14ac:dyDescent="0.4">
      <c r="A4199" s="6">
        <v>2026</v>
      </c>
      <c r="B4199" s="6">
        <f t="shared" si="536"/>
        <v>43</v>
      </c>
      <c r="C4199" s="13" t="s">
        <v>19</v>
      </c>
      <c r="D4199" s="2" t="s">
        <v>12</v>
      </c>
      <c r="E4199" s="14" t="str">
        <f t="shared" si="539"/>
        <v>BT GT</v>
      </c>
      <c r="F4199" s="22"/>
      <c r="H4199" s="5" t="e">
        <f ca="1">_xlfn.FORMULATEXT(표1[[#This Row],[Q''ty]])</f>
        <v>#N/A</v>
      </c>
    </row>
    <row r="4200" spans="1:8" ht="15" hidden="1" customHeight="1" x14ac:dyDescent="0.4">
      <c r="A4200" s="6">
        <v>2026</v>
      </c>
      <c r="B4200" s="6">
        <f t="shared" si="536"/>
        <v>43</v>
      </c>
      <c r="C4200" s="13" t="s">
        <v>19</v>
      </c>
      <c r="D4200" s="2" t="s">
        <v>12</v>
      </c>
      <c r="E4200" s="14" t="str">
        <f t="shared" si="539"/>
        <v>WT GT</v>
      </c>
      <c r="F4200" s="22"/>
      <c r="H4200" s="5" t="e">
        <f ca="1">_xlfn.FORMULATEXT(표1[[#This Row],[Q''ty]])</f>
        <v>#N/A</v>
      </c>
    </row>
    <row r="4201" spans="1:8" ht="15" hidden="1" customHeight="1" x14ac:dyDescent="0.4">
      <c r="A4201" s="6">
        <v>2026</v>
      </c>
      <c r="B4201" s="6">
        <f t="shared" si="536"/>
        <v>43</v>
      </c>
      <c r="C4201" s="13" t="s">
        <v>19</v>
      </c>
      <c r="D4201" s="2" t="s">
        <v>12</v>
      </c>
      <c r="E4201" s="14" t="str">
        <f t="shared" si="539"/>
        <v>Bending</v>
      </c>
      <c r="F4201" s="22"/>
      <c r="H4201" s="5" t="e">
        <f ca="1">_xlfn.FORMULATEXT(표1[[#This Row],[Q''ty]])</f>
        <v>#N/A</v>
      </c>
    </row>
    <row r="4202" spans="1:8" ht="15" hidden="1" customHeight="1" x14ac:dyDescent="0.4">
      <c r="A4202" s="6">
        <v>2026</v>
      </c>
      <c r="B4202" s="6">
        <f t="shared" si="536"/>
        <v>43</v>
      </c>
      <c r="C4202" s="13" t="s">
        <v>19</v>
      </c>
      <c r="D4202" s="2" t="s">
        <v>12</v>
      </c>
      <c r="E4202" s="14" t="str">
        <f t="shared" si="539"/>
        <v>L/W</v>
      </c>
      <c r="F4202" s="22"/>
      <c r="H4202" s="5" t="e">
        <f ca="1">_xlfn.FORMULATEXT(표1[[#This Row],[Q''ty]])</f>
        <v>#N/A</v>
      </c>
    </row>
    <row r="4203" spans="1:8" ht="15" hidden="1" customHeight="1" thickBot="1" x14ac:dyDescent="0.45">
      <c r="A4203" s="15">
        <v>2026</v>
      </c>
      <c r="B4203" s="15">
        <f t="shared" si="536"/>
        <v>43</v>
      </c>
      <c r="C4203" s="16" t="s">
        <v>19</v>
      </c>
      <c r="D4203" s="17" t="s">
        <v>12</v>
      </c>
      <c r="E4203" s="18" t="str">
        <f t="shared" si="539"/>
        <v>C/W</v>
      </c>
      <c r="F4203" s="23"/>
      <c r="H4203" s="5" t="e">
        <f ca="1">_xlfn.FORMULATEXT(표1[[#This Row],[Q''ty]])</f>
        <v>#N/A</v>
      </c>
    </row>
    <row r="4204" spans="1:8" ht="15" hidden="1" customHeight="1" thickTop="1" x14ac:dyDescent="0.4">
      <c r="A4204" s="6">
        <v>2026</v>
      </c>
      <c r="B4204" s="6">
        <f t="shared" si="536"/>
        <v>43</v>
      </c>
      <c r="C4204" s="13" t="s">
        <v>25</v>
      </c>
      <c r="D4204" s="2" t="s">
        <v>6</v>
      </c>
      <c r="E4204" s="14" t="s">
        <v>7</v>
      </c>
      <c r="F4204" s="22">
        <f t="shared" ref="F4204:F4209" si="541">F4105</f>
        <v>3</v>
      </c>
      <c r="H4204" s="5" t="str">
        <f ca="1">_xlfn.FORMULATEXT(표1[[#This Row],[Q''ty]])</f>
        <v>=F4105</v>
      </c>
    </row>
    <row r="4205" spans="1:8" ht="15" hidden="1" customHeight="1" x14ac:dyDescent="0.4">
      <c r="A4205" s="6">
        <v>2026</v>
      </c>
      <c r="B4205" s="6">
        <f t="shared" si="536"/>
        <v>43</v>
      </c>
      <c r="C4205" s="13" t="s">
        <v>25</v>
      </c>
      <c r="D4205" s="2" t="s">
        <v>6</v>
      </c>
      <c r="E4205" s="14" t="s">
        <v>8</v>
      </c>
      <c r="F4205" s="22">
        <f t="shared" si="541"/>
        <v>3</v>
      </c>
      <c r="H4205" s="5" t="str">
        <f ca="1">_xlfn.FORMULATEXT(표1[[#This Row],[Q''ty]])</f>
        <v>=F4106</v>
      </c>
    </row>
    <row r="4206" spans="1:8" ht="15" hidden="1" customHeight="1" x14ac:dyDescent="0.4">
      <c r="A4206" s="6">
        <v>2026</v>
      </c>
      <c r="B4206" s="6">
        <f t="shared" si="536"/>
        <v>43</v>
      </c>
      <c r="C4206" s="13" t="s">
        <v>25</v>
      </c>
      <c r="D4206" s="2" t="s">
        <v>6</v>
      </c>
      <c r="E4206" s="14" t="s">
        <v>9</v>
      </c>
      <c r="F4206" s="22">
        <f t="shared" si="541"/>
        <v>2</v>
      </c>
      <c r="H4206" s="5" t="str">
        <f ca="1">_xlfn.FORMULATEXT(표1[[#This Row],[Q''ty]])</f>
        <v>=F4107</v>
      </c>
    </row>
    <row r="4207" spans="1:8" ht="15" hidden="1" customHeight="1" x14ac:dyDescent="0.4">
      <c r="A4207" s="6">
        <v>2026</v>
      </c>
      <c r="B4207" s="6">
        <f t="shared" si="536"/>
        <v>43</v>
      </c>
      <c r="C4207" s="13" t="s">
        <v>25</v>
      </c>
      <c r="D4207" s="2" t="s">
        <v>6</v>
      </c>
      <c r="E4207" s="14" t="s">
        <v>27</v>
      </c>
      <c r="F4207" s="22">
        <f t="shared" si="541"/>
        <v>2</v>
      </c>
      <c r="H4207" s="5" t="str">
        <f ca="1">_xlfn.FORMULATEXT(표1[[#This Row],[Q''ty]])</f>
        <v>=F4108</v>
      </c>
    </row>
    <row r="4208" spans="1:8" ht="15" hidden="1" customHeight="1" x14ac:dyDescent="0.4">
      <c r="A4208" s="6">
        <v>2026</v>
      </c>
      <c r="B4208" s="6">
        <f t="shared" si="536"/>
        <v>43</v>
      </c>
      <c r="C4208" s="13" t="s">
        <v>25</v>
      </c>
      <c r="D4208" s="2" t="s">
        <v>6</v>
      </c>
      <c r="E4208" s="14" t="s">
        <v>10</v>
      </c>
      <c r="F4208" s="22">
        <f t="shared" si="541"/>
        <v>3</v>
      </c>
      <c r="H4208" s="5" t="str">
        <f ca="1">_xlfn.FORMULATEXT(표1[[#This Row],[Q''ty]])</f>
        <v>=F4109</v>
      </c>
    </row>
    <row r="4209" spans="1:8" ht="15" hidden="1" customHeight="1" x14ac:dyDescent="0.4">
      <c r="A4209" s="6">
        <v>2026</v>
      </c>
      <c r="B4209" s="6">
        <f t="shared" si="536"/>
        <v>43</v>
      </c>
      <c r="C4209" s="13" t="s">
        <v>25</v>
      </c>
      <c r="D4209" s="2" t="s">
        <v>6</v>
      </c>
      <c r="E4209" s="14" t="s">
        <v>11</v>
      </c>
      <c r="F4209" s="22">
        <f t="shared" si="541"/>
        <v>4</v>
      </c>
      <c r="H4209" s="5" t="str">
        <f ca="1">_xlfn.FORMULATEXT(표1[[#This Row],[Q''ty]])</f>
        <v>=F4110</v>
      </c>
    </row>
    <row r="4210" spans="1:8" ht="15" hidden="1" customHeight="1" x14ac:dyDescent="0.4">
      <c r="A4210" s="6">
        <v>2026</v>
      </c>
      <c r="B4210" s="6">
        <f t="shared" si="536"/>
        <v>43</v>
      </c>
      <c r="C4210" s="13" t="s">
        <v>25</v>
      </c>
      <c r="D4210" s="2" t="s">
        <v>12</v>
      </c>
      <c r="E4210" s="14" t="s">
        <v>13</v>
      </c>
      <c r="F4210" s="22"/>
      <c r="H4210" s="5" t="e">
        <f ca="1">_xlfn.FORMULATEXT(표1[[#This Row],[Q''ty]])</f>
        <v>#N/A</v>
      </c>
    </row>
    <row r="4211" spans="1:8" ht="15" hidden="1" customHeight="1" x14ac:dyDescent="0.4">
      <c r="A4211" s="6">
        <v>2026</v>
      </c>
      <c r="B4211" s="6">
        <f t="shared" si="536"/>
        <v>43</v>
      </c>
      <c r="C4211" s="13" t="s">
        <v>25</v>
      </c>
      <c r="D4211" s="2" t="s">
        <v>12</v>
      </c>
      <c r="E4211" s="14" t="s">
        <v>14</v>
      </c>
      <c r="F4211" s="22"/>
      <c r="H4211" s="5" t="e">
        <f ca="1">_xlfn.FORMULATEXT(표1[[#This Row],[Q''ty]])</f>
        <v>#N/A</v>
      </c>
    </row>
    <row r="4212" spans="1:8" ht="15" hidden="1" customHeight="1" x14ac:dyDescent="0.4">
      <c r="A4212" s="6">
        <v>2026</v>
      </c>
      <c r="B4212" s="6">
        <f t="shared" si="536"/>
        <v>43</v>
      </c>
      <c r="C4212" s="13" t="s">
        <v>25</v>
      </c>
      <c r="D4212" s="2" t="s">
        <v>12</v>
      </c>
      <c r="E4212" s="14" t="s">
        <v>15</v>
      </c>
      <c r="F4212" s="22"/>
      <c r="H4212" s="5" t="e">
        <f ca="1">_xlfn.FORMULATEXT(표1[[#This Row],[Q''ty]])</f>
        <v>#N/A</v>
      </c>
    </row>
    <row r="4213" spans="1:8" ht="15" hidden="1" customHeight="1" x14ac:dyDescent="0.4">
      <c r="A4213" s="6">
        <v>2026</v>
      </c>
      <c r="B4213" s="6">
        <f t="shared" si="536"/>
        <v>43</v>
      </c>
      <c r="C4213" s="13" t="s">
        <v>25</v>
      </c>
      <c r="D4213" s="2" t="s">
        <v>12</v>
      </c>
      <c r="E4213" s="14" t="s">
        <v>16</v>
      </c>
      <c r="F4213" s="22"/>
      <c r="H4213" s="5" t="e">
        <f ca="1">_xlfn.FORMULATEXT(표1[[#This Row],[Q''ty]])</f>
        <v>#N/A</v>
      </c>
    </row>
    <row r="4214" spans="1:8" ht="15" hidden="1" customHeight="1" thickBot="1" x14ac:dyDescent="0.45">
      <c r="A4214" s="15">
        <v>2026</v>
      </c>
      <c r="B4214" s="15">
        <f t="shared" si="536"/>
        <v>43</v>
      </c>
      <c r="C4214" s="16" t="s">
        <v>25</v>
      </c>
      <c r="D4214" s="17" t="s">
        <v>12</v>
      </c>
      <c r="E4214" s="18" t="s">
        <v>17</v>
      </c>
      <c r="F4214" s="23"/>
      <c r="H4214" s="5" t="e">
        <f ca="1">_xlfn.FORMULATEXT(표1[[#This Row],[Q''ty]])</f>
        <v>#N/A</v>
      </c>
    </row>
    <row r="4215" spans="1:8" ht="15" hidden="1" customHeight="1" thickTop="1" x14ac:dyDescent="0.4">
      <c r="A4215" s="6">
        <v>2026</v>
      </c>
      <c r="B4215" s="6">
        <f t="shared" si="536"/>
        <v>43</v>
      </c>
      <c r="C4215" s="13" t="s">
        <v>26</v>
      </c>
      <c r="D4215" s="2" t="s">
        <v>6</v>
      </c>
      <c r="E4215" s="14" t="s">
        <v>7</v>
      </c>
      <c r="F4215" s="22">
        <f t="shared" ref="F4215:F4220" si="542">F4116</f>
        <v>6</v>
      </c>
      <c r="H4215" s="5" t="str">
        <f ca="1">_xlfn.FORMULATEXT(표1[[#This Row],[Q''ty]])</f>
        <v>=F4116</v>
      </c>
    </row>
    <row r="4216" spans="1:8" ht="15" hidden="1" customHeight="1" x14ac:dyDescent="0.4">
      <c r="A4216" s="6">
        <v>2026</v>
      </c>
      <c r="B4216" s="6">
        <f t="shared" si="536"/>
        <v>43</v>
      </c>
      <c r="C4216" s="13" t="s">
        <v>26</v>
      </c>
      <c r="D4216" s="2" t="s">
        <v>6</v>
      </c>
      <c r="E4216" s="14" t="s">
        <v>8</v>
      </c>
      <c r="F4216" s="22">
        <f t="shared" si="542"/>
        <v>4</v>
      </c>
      <c r="H4216" s="5" t="str">
        <f ca="1">_xlfn.FORMULATEXT(표1[[#This Row],[Q''ty]])</f>
        <v>=F4117</v>
      </c>
    </row>
    <row r="4217" spans="1:8" ht="15" hidden="1" customHeight="1" x14ac:dyDescent="0.4">
      <c r="A4217" s="6">
        <v>2026</v>
      </c>
      <c r="B4217" s="6">
        <f t="shared" si="536"/>
        <v>43</v>
      </c>
      <c r="C4217" s="13" t="s">
        <v>26</v>
      </c>
      <c r="D4217" s="2" t="s">
        <v>6</v>
      </c>
      <c r="E4217" s="14" t="s">
        <v>9</v>
      </c>
      <c r="F4217" s="22">
        <f t="shared" si="542"/>
        <v>2</v>
      </c>
      <c r="H4217" s="5" t="str">
        <f ca="1">_xlfn.FORMULATEXT(표1[[#This Row],[Q''ty]])</f>
        <v>=F4118</v>
      </c>
    </row>
    <row r="4218" spans="1:8" ht="15" hidden="1" customHeight="1" x14ac:dyDescent="0.4">
      <c r="A4218" s="6">
        <v>2026</v>
      </c>
      <c r="B4218" s="6">
        <f t="shared" si="536"/>
        <v>43</v>
      </c>
      <c r="C4218" s="13" t="s">
        <v>26</v>
      </c>
      <c r="D4218" s="2" t="s">
        <v>6</v>
      </c>
      <c r="E4218" s="14" t="s">
        <v>27</v>
      </c>
      <c r="F4218" s="22">
        <f t="shared" si="542"/>
        <v>3</v>
      </c>
      <c r="H4218" s="5" t="str">
        <f ca="1">_xlfn.FORMULATEXT(표1[[#This Row],[Q''ty]])</f>
        <v>=F4119</v>
      </c>
    </row>
    <row r="4219" spans="1:8" ht="15" hidden="1" customHeight="1" x14ac:dyDescent="0.4">
      <c r="A4219" s="6">
        <v>2026</v>
      </c>
      <c r="B4219" s="6">
        <f t="shared" si="536"/>
        <v>43</v>
      </c>
      <c r="C4219" s="13" t="s">
        <v>26</v>
      </c>
      <c r="D4219" s="2" t="s">
        <v>6</v>
      </c>
      <c r="E4219" s="14" t="s">
        <v>10</v>
      </c>
      <c r="F4219" s="22">
        <f t="shared" si="542"/>
        <v>4</v>
      </c>
      <c r="H4219" s="5" t="str">
        <f ca="1">_xlfn.FORMULATEXT(표1[[#This Row],[Q''ty]])</f>
        <v>=F4120</v>
      </c>
    </row>
    <row r="4220" spans="1:8" ht="15" hidden="1" customHeight="1" x14ac:dyDescent="0.4">
      <c r="A4220" s="6">
        <v>2026</v>
      </c>
      <c r="B4220" s="6">
        <f t="shared" si="536"/>
        <v>43</v>
      </c>
      <c r="C4220" s="13" t="s">
        <v>26</v>
      </c>
      <c r="D4220" s="2" t="s">
        <v>6</v>
      </c>
      <c r="E4220" s="14" t="s">
        <v>11</v>
      </c>
      <c r="F4220" s="22">
        <f t="shared" si="542"/>
        <v>6</v>
      </c>
      <c r="H4220" s="5" t="str">
        <f ca="1">_xlfn.FORMULATEXT(표1[[#This Row],[Q''ty]])</f>
        <v>=F4121</v>
      </c>
    </row>
    <row r="4221" spans="1:8" ht="15" hidden="1" customHeight="1" x14ac:dyDescent="0.4">
      <c r="A4221" s="6">
        <v>2026</v>
      </c>
      <c r="B4221" s="6">
        <f t="shared" si="536"/>
        <v>43</v>
      </c>
      <c r="C4221" s="13" t="s">
        <v>26</v>
      </c>
      <c r="D4221" s="2" t="s">
        <v>12</v>
      </c>
      <c r="E4221" s="14" t="str">
        <f t="shared" ref="E4221:E4258" si="543">E4122</f>
        <v>BT GT</v>
      </c>
      <c r="F4221" s="22"/>
      <c r="H4221" s="5" t="e">
        <f ca="1">_xlfn.FORMULATEXT(표1[[#This Row],[Q''ty]])</f>
        <v>#N/A</v>
      </c>
    </row>
    <row r="4222" spans="1:8" ht="15" hidden="1" customHeight="1" x14ac:dyDescent="0.4">
      <c r="A4222" s="6">
        <v>2026</v>
      </c>
      <c r="B4222" s="6">
        <f t="shared" si="536"/>
        <v>43</v>
      </c>
      <c r="C4222" s="13" t="s">
        <v>26</v>
      </c>
      <c r="D4222" s="2" t="s">
        <v>12</v>
      </c>
      <c r="E4222" s="14" t="str">
        <f t="shared" si="543"/>
        <v>WT GT</v>
      </c>
      <c r="F4222" s="22"/>
      <c r="H4222" s="5" t="e">
        <f ca="1">_xlfn.FORMULATEXT(표1[[#This Row],[Q''ty]])</f>
        <v>#N/A</v>
      </c>
    </row>
    <row r="4223" spans="1:8" ht="15" hidden="1" customHeight="1" x14ac:dyDescent="0.4">
      <c r="A4223" s="6">
        <v>2026</v>
      </c>
      <c r="B4223" s="6">
        <f t="shared" si="536"/>
        <v>43</v>
      </c>
      <c r="C4223" s="13" t="s">
        <v>26</v>
      </c>
      <c r="D4223" s="2" t="s">
        <v>12</v>
      </c>
      <c r="E4223" s="14" t="str">
        <f t="shared" si="543"/>
        <v>Bending</v>
      </c>
      <c r="F4223" s="22"/>
      <c r="H4223" s="5" t="e">
        <f ca="1">_xlfn.FORMULATEXT(표1[[#This Row],[Q''ty]])</f>
        <v>#N/A</v>
      </c>
    </row>
    <row r="4224" spans="1:8" ht="15" hidden="1" customHeight="1" x14ac:dyDescent="0.4">
      <c r="A4224" s="6">
        <v>2026</v>
      </c>
      <c r="B4224" s="6">
        <f t="shared" si="536"/>
        <v>43</v>
      </c>
      <c r="C4224" s="13" t="s">
        <v>26</v>
      </c>
      <c r="D4224" s="2" t="s">
        <v>12</v>
      </c>
      <c r="E4224" s="14" t="str">
        <f t="shared" si="543"/>
        <v>L/W</v>
      </c>
      <c r="F4224" s="22"/>
      <c r="H4224" s="5" t="e">
        <f ca="1">_xlfn.FORMULATEXT(표1[[#This Row],[Q''ty]])</f>
        <v>#N/A</v>
      </c>
    </row>
    <row r="4225" spans="1:8" ht="15" hidden="1" customHeight="1" thickBot="1" x14ac:dyDescent="0.45">
      <c r="A4225" s="15">
        <v>2026</v>
      </c>
      <c r="B4225" s="15">
        <f t="shared" ref="B4225:B4258" si="544">B4126+1</f>
        <v>43</v>
      </c>
      <c r="C4225" s="16" t="s">
        <v>26</v>
      </c>
      <c r="D4225" s="17" t="s">
        <v>12</v>
      </c>
      <c r="E4225" s="18" t="str">
        <f t="shared" si="543"/>
        <v>C/W</v>
      </c>
      <c r="F4225" s="23"/>
      <c r="H4225" s="5" t="e">
        <f ca="1">_xlfn.FORMULATEXT(표1[[#This Row],[Q''ty]])</f>
        <v>#N/A</v>
      </c>
    </row>
    <row r="4226" spans="1:8" ht="15" hidden="1" customHeight="1" thickTop="1" x14ac:dyDescent="0.4">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hidden="1" customHeight="1" x14ac:dyDescent="0.4">
      <c r="A4227" s="6">
        <v>2026</v>
      </c>
      <c r="B4227" s="6">
        <f t="shared" si="544"/>
        <v>43</v>
      </c>
      <c r="C4227" s="13" t="s">
        <v>20</v>
      </c>
      <c r="D4227" s="2" t="s">
        <v>6</v>
      </c>
      <c r="E4227" s="14" t="str">
        <f t="shared" si="543"/>
        <v>Paint Booth</v>
      </c>
      <c r="F4227" s="22">
        <f t="shared" si="545"/>
        <v>16</v>
      </c>
      <c r="H4227" s="5" t="str">
        <f ca="1">_xlfn.FORMULATEXT(표1[[#This Row],[Q''ty]])</f>
        <v>=F4128</v>
      </c>
    </row>
    <row r="4228" spans="1:8" ht="15" hidden="1" customHeight="1" x14ac:dyDescent="0.4">
      <c r="A4228" s="6">
        <v>2026</v>
      </c>
      <c r="B4228" s="6">
        <f t="shared" si="544"/>
        <v>43</v>
      </c>
      <c r="C4228" s="13" t="s">
        <v>20</v>
      </c>
      <c r="D4228" s="2" t="s">
        <v>6</v>
      </c>
      <c r="E4228" s="14" t="str">
        <f t="shared" si="543"/>
        <v>Paint Line</v>
      </c>
      <c r="F4228" s="22">
        <f t="shared" si="545"/>
        <v>8</v>
      </c>
      <c r="H4228" s="5" t="str">
        <f ca="1">_xlfn.FORMULATEXT(표1[[#This Row],[Q''ty]])</f>
        <v>=F4129</v>
      </c>
    </row>
    <row r="4229" spans="1:8" ht="15" hidden="1" customHeight="1" x14ac:dyDescent="0.4">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hidden="1" customHeight="1" x14ac:dyDescent="0.4">
      <c r="A4230" s="6">
        <v>2026</v>
      </c>
      <c r="B4230" s="6">
        <f t="shared" si="544"/>
        <v>43</v>
      </c>
      <c r="C4230" s="13" t="s">
        <v>20</v>
      </c>
      <c r="D4230" s="2" t="s">
        <v>6</v>
      </c>
      <c r="E4230" s="14" t="str">
        <f t="shared" si="543"/>
        <v>L/W Machine</v>
      </c>
      <c r="F4230" s="22">
        <f t="shared" si="545"/>
        <v>11</v>
      </c>
      <c r="H4230" s="5" t="str">
        <f ca="1">_xlfn.FORMULATEXT(표1[[#This Row],[Q''ty]])</f>
        <v>=F4131</v>
      </c>
    </row>
    <row r="4231" spans="1:8" ht="15" hidden="1" customHeight="1" x14ac:dyDescent="0.4">
      <c r="A4231" s="6">
        <v>2026</v>
      </c>
      <c r="B4231" s="6">
        <f t="shared" si="544"/>
        <v>43</v>
      </c>
      <c r="C4231" s="13" t="s">
        <v>20</v>
      </c>
      <c r="D4231" s="2" t="s">
        <v>6</v>
      </c>
      <c r="E4231" s="14" t="str">
        <f t="shared" si="543"/>
        <v>C/W Machine</v>
      </c>
      <c r="F4231" s="22">
        <f t="shared" si="545"/>
        <v>15</v>
      </c>
      <c r="H4231" s="5" t="str">
        <f ca="1">_xlfn.FORMULATEXT(표1[[#This Row],[Q''ty]])</f>
        <v>=F4132</v>
      </c>
    </row>
    <row r="4232" spans="1:8" ht="15" hidden="1" customHeight="1" x14ac:dyDescent="0.4">
      <c r="A4232" s="6">
        <v>2026</v>
      </c>
      <c r="B4232" s="6">
        <f t="shared" si="544"/>
        <v>43</v>
      </c>
      <c r="C4232" s="13" t="s">
        <v>20</v>
      </c>
      <c r="D4232" s="2" t="s">
        <v>12</v>
      </c>
      <c r="E4232" s="14" t="str">
        <f t="shared" si="543"/>
        <v>BT GT</v>
      </c>
      <c r="F4232" s="22"/>
      <c r="H4232" s="5" t="e">
        <f ca="1">_xlfn.FORMULATEXT(표1[[#This Row],[Q''ty]])</f>
        <v>#N/A</v>
      </c>
    </row>
    <row r="4233" spans="1:8" ht="15" hidden="1" customHeight="1" x14ac:dyDescent="0.4">
      <c r="A4233" s="6">
        <v>2026</v>
      </c>
      <c r="B4233" s="6">
        <f t="shared" si="544"/>
        <v>43</v>
      </c>
      <c r="C4233" s="13" t="s">
        <v>20</v>
      </c>
      <c r="D4233" s="2" t="s">
        <v>12</v>
      </c>
      <c r="E4233" s="14" t="str">
        <f t="shared" si="543"/>
        <v>WT GT</v>
      </c>
      <c r="F4233" s="22"/>
      <c r="H4233" s="5" t="e">
        <f ca="1">_xlfn.FORMULATEXT(표1[[#This Row],[Q''ty]])</f>
        <v>#N/A</v>
      </c>
    </row>
    <row r="4234" spans="1:8" ht="15" hidden="1" customHeight="1" x14ac:dyDescent="0.4">
      <c r="A4234" s="6">
        <v>2026</v>
      </c>
      <c r="B4234" s="6">
        <f t="shared" si="544"/>
        <v>43</v>
      </c>
      <c r="C4234" s="13" t="s">
        <v>20</v>
      </c>
      <c r="D4234" s="2" t="s">
        <v>12</v>
      </c>
      <c r="E4234" s="14" t="str">
        <f t="shared" si="543"/>
        <v>Bending</v>
      </c>
      <c r="F4234" s="22"/>
      <c r="H4234" s="5" t="e">
        <f ca="1">_xlfn.FORMULATEXT(표1[[#This Row],[Q''ty]])</f>
        <v>#N/A</v>
      </c>
    </row>
    <row r="4235" spans="1:8" ht="15" hidden="1" customHeight="1" x14ac:dyDescent="0.4">
      <c r="A4235" s="6">
        <v>2026</v>
      </c>
      <c r="B4235" s="6">
        <f t="shared" si="544"/>
        <v>43</v>
      </c>
      <c r="C4235" s="13" t="s">
        <v>20</v>
      </c>
      <c r="D4235" s="2" t="s">
        <v>12</v>
      </c>
      <c r="E4235" s="14" t="str">
        <f t="shared" si="543"/>
        <v>L/W</v>
      </c>
      <c r="F4235" s="22"/>
      <c r="H4235" s="5" t="e">
        <f ca="1">_xlfn.FORMULATEXT(표1[[#This Row],[Q''ty]])</f>
        <v>#N/A</v>
      </c>
    </row>
    <row r="4236" spans="1:8" ht="15" hidden="1" customHeight="1" thickBot="1" x14ac:dyDescent="0.45">
      <c r="A4236" s="15">
        <v>2026</v>
      </c>
      <c r="B4236" s="15">
        <f t="shared" si="544"/>
        <v>43</v>
      </c>
      <c r="C4236" s="16" t="s">
        <v>20</v>
      </c>
      <c r="D4236" s="17" t="s">
        <v>12</v>
      </c>
      <c r="E4236" s="18" t="str">
        <f t="shared" si="543"/>
        <v>C/W</v>
      </c>
      <c r="F4236" s="23"/>
      <c r="H4236" s="5" t="e">
        <f ca="1">_xlfn.FORMULATEXT(표1[[#This Row],[Q''ty]])</f>
        <v>#N/A</v>
      </c>
    </row>
    <row r="4237" spans="1:8" ht="15" hidden="1" customHeight="1" thickTop="1" x14ac:dyDescent="0.4">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hidden="1" customHeight="1" x14ac:dyDescent="0.4">
      <c r="A4238" s="6">
        <v>2026</v>
      </c>
      <c r="B4238" s="6">
        <f t="shared" si="544"/>
        <v>43</v>
      </c>
      <c r="C4238" s="13" t="s">
        <v>21</v>
      </c>
      <c r="D4238" s="2" t="s">
        <v>6</v>
      </c>
      <c r="E4238" s="14" t="str">
        <f t="shared" si="543"/>
        <v>Paint Booth</v>
      </c>
      <c r="F4238" s="22">
        <f t="shared" si="546"/>
        <v>4</v>
      </c>
      <c r="H4238" s="5" t="str">
        <f ca="1">_xlfn.FORMULATEXT(표1[[#This Row],[Q''ty]])</f>
        <v>=F4139</v>
      </c>
    </row>
    <row r="4239" spans="1:8" ht="15" hidden="1" customHeight="1" x14ac:dyDescent="0.4">
      <c r="A4239" s="6">
        <v>2026</v>
      </c>
      <c r="B4239" s="6">
        <f t="shared" si="544"/>
        <v>43</v>
      </c>
      <c r="C4239" s="13" t="s">
        <v>21</v>
      </c>
      <c r="D4239" s="2" t="s">
        <v>6</v>
      </c>
      <c r="E4239" s="14" t="str">
        <f t="shared" si="543"/>
        <v>Paint Line</v>
      </c>
      <c r="F4239" s="22">
        <f t="shared" si="546"/>
        <v>4</v>
      </c>
      <c r="H4239" s="5" t="str">
        <f ca="1">_xlfn.FORMULATEXT(표1[[#This Row],[Q''ty]])</f>
        <v>=F4140</v>
      </c>
    </row>
    <row r="4240" spans="1:8" ht="15" hidden="1" customHeight="1" x14ac:dyDescent="0.4">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hidden="1" customHeight="1" x14ac:dyDescent="0.4">
      <c r="A4241" s="6">
        <v>2026</v>
      </c>
      <c r="B4241" s="6">
        <f t="shared" si="544"/>
        <v>43</v>
      </c>
      <c r="C4241" s="13" t="s">
        <v>21</v>
      </c>
      <c r="D4241" s="2" t="s">
        <v>6</v>
      </c>
      <c r="E4241" s="14" t="str">
        <f t="shared" si="543"/>
        <v>L/W Machine</v>
      </c>
      <c r="F4241" s="22">
        <f t="shared" si="546"/>
        <v>4</v>
      </c>
      <c r="H4241" s="5" t="str">
        <f ca="1">_xlfn.FORMULATEXT(표1[[#This Row],[Q''ty]])</f>
        <v>=F4142</v>
      </c>
    </row>
    <row r="4242" spans="1:8" ht="15" hidden="1" customHeight="1" x14ac:dyDescent="0.4">
      <c r="A4242" s="6">
        <v>2026</v>
      </c>
      <c r="B4242" s="6">
        <f t="shared" si="544"/>
        <v>43</v>
      </c>
      <c r="C4242" s="13" t="s">
        <v>21</v>
      </c>
      <c r="D4242" s="2" t="s">
        <v>6</v>
      </c>
      <c r="E4242" s="14" t="str">
        <f t="shared" si="543"/>
        <v>C/W Machine</v>
      </c>
      <c r="F4242" s="22">
        <f t="shared" si="546"/>
        <v>6.5</v>
      </c>
      <c r="H4242" s="5" t="str">
        <f ca="1">_xlfn.FORMULATEXT(표1[[#This Row],[Q''ty]])</f>
        <v>=F4143</v>
      </c>
    </row>
    <row r="4243" spans="1:8" ht="15" hidden="1" customHeight="1" x14ac:dyDescent="0.4">
      <c r="A4243" s="6">
        <v>2026</v>
      </c>
      <c r="B4243" s="6">
        <f t="shared" si="544"/>
        <v>43</v>
      </c>
      <c r="C4243" s="13" t="s">
        <v>21</v>
      </c>
      <c r="D4243" s="2" t="s">
        <v>12</v>
      </c>
      <c r="E4243" s="14" t="str">
        <f t="shared" si="543"/>
        <v>BT GT</v>
      </c>
      <c r="F4243" s="22"/>
      <c r="H4243" s="5" t="e">
        <f ca="1">_xlfn.FORMULATEXT(표1[[#This Row],[Q''ty]])</f>
        <v>#N/A</v>
      </c>
    </row>
    <row r="4244" spans="1:8" ht="15" hidden="1" customHeight="1" x14ac:dyDescent="0.4">
      <c r="A4244" s="6">
        <v>2026</v>
      </c>
      <c r="B4244" s="6">
        <f t="shared" si="544"/>
        <v>43</v>
      </c>
      <c r="C4244" s="13" t="s">
        <v>21</v>
      </c>
      <c r="D4244" s="2" t="s">
        <v>12</v>
      </c>
      <c r="E4244" s="14" t="str">
        <f t="shared" si="543"/>
        <v>WT GT</v>
      </c>
      <c r="F4244" s="22"/>
      <c r="H4244" s="5" t="e">
        <f ca="1">_xlfn.FORMULATEXT(표1[[#This Row],[Q''ty]])</f>
        <v>#N/A</v>
      </c>
    </row>
    <row r="4245" spans="1:8" ht="15" hidden="1" customHeight="1" x14ac:dyDescent="0.4">
      <c r="A4245" s="6">
        <v>2026</v>
      </c>
      <c r="B4245" s="6">
        <f t="shared" si="544"/>
        <v>43</v>
      </c>
      <c r="C4245" s="13" t="s">
        <v>21</v>
      </c>
      <c r="D4245" s="2" t="s">
        <v>12</v>
      </c>
      <c r="E4245" s="14" t="str">
        <f t="shared" si="543"/>
        <v>Bending</v>
      </c>
      <c r="F4245" s="22"/>
      <c r="H4245" s="5" t="e">
        <f ca="1">_xlfn.FORMULATEXT(표1[[#This Row],[Q''ty]])</f>
        <v>#N/A</v>
      </c>
    </row>
    <row r="4246" spans="1:8" ht="15" hidden="1" customHeight="1" x14ac:dyDescent="0.4">
      <c r="A4246" s="6">
        <v>2026</v>
      </c>
      <c r="B4246" s="6">
        <f t="shared" si="544"/>
        <v>43</v>
      </c>
      <c r="C4246" s="13" t="s">
        <v>21</v>
      </c>
      <c r="D4246" s="2" t="s">
        <v>12</v>
      </c>
      <c r="E4246" s="14" t="str">
        <f t="shared" si="543"/>
        <v>L/W</v>
      </c>
      <c r="F4246" s="22"/>
      <c r="H4246" s="5" t="e">
        <f ca="1">_xlfn.FORMULATEXT(표1[[#This Row],[Q''ty]])</f>
        <v>#N/A</v>
      </c>
    </row>
    <row r="4247" spans="1:8" ht="15" hidden="1" customHeight="1" thickBot="1" x14ac:dyDescent="0.45">
      <c r="A4247" s="15">
        <v>2026</v>
      </c>
      <c r="B4247" s="15">
        <f t="shared" si="544"/>
        <v>43</v>
      </c>
      <c r="C4247" s="16" t="s">
        <v>21</v>
      </c>
      <c r="D4247" s="17" t="s">
        <v>12</v>
      </c>
      <c r="E4247" s="18" t="str">
        <f t="shared" si="543"/>
        <v>C/W</v>
      </c>
      <c r="F4247" s="23"/>
      <c r="H4247" s="5" t="e">
        <f ca="1">_xlfn.FORMULATEXT(표1[[#This Row],[Q''ty]])</f>
        <v>#N/A</v>
      </c>
    </row>
    <row r="4248" spans="1:8" ht="15" hidden="1" customHeight="1" thickTop="1" x14ac:dyDescent="0.4">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hidden="1" customHeight="1" x14ac:dyDescent="0.4">
      <c r="A4249" s="6">
        <v>2026</v>
      </c>
      <c r="B4249" s="6">
        <f t="shared" si="544"/>
        <v>43</v>
      </c>
      <c r="C4249" s="13" t="s">
        <v>22</v>
      </c>
      <c r="D4249" s="2" t="s">
        <v>6</v>
      </c>
      <c r="E4249" s="14" t="str">
        <f t="shared" si="543"/>
        <v>Paint Booth</v>
      </c>
      <c r="F4249" s="22">
        <f t="shared" si="547"/>
        <v>6</v>
      </c>
      <c r="H4249" s="5" t="str">
        <f ca="1">_xlfn.FORMULATEXT(표1[[#This Row],[Q''ty]])</f>
        <v>=F4150</v>
      </c>
    </row>
    <row r="4250" spans="1:8" ht="15" hidden="1" customHeight="1" x14ac:dyDescent="0.4">
      <c r="A4250" s="6">
        <v>2026</v>
      </c>
      <c r="B4250" s="6">
        <f t="shared" si="544"/>
        <v>43</v>
      </c>
      <c r="C4250" s="13" t="s">
        <v>22</v>
      </c>
      <c r="D4250" s="2" t="s">
        <v>6</v>
      </c>
      <c r="E4250" s="14" t="str">
        <f t="shared" si="543"/>
        <v>Paint Line</v>
      </c>
      <c r="F4250" s="22">
        <f t="shared" si="547"/>
        <v>4</v>
      </c>
      <c r="H4250" s="5" t="str">
        <f ca="1">_xlfn.FORMULATEXT(표1[[#This Row],[Q''ty]])</f>
        <v>=F4151</v>
      </c>
    </row>
    <row r="4251" spans="1:8" ht="15" hidden="1" customHeight="1" x14ac:dyDescent="0.4">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hidden="1" customHeight="1" x14ac:dyDescent="0.4">
      <c r="A4252" s="6">
        <v>2026</v>
      </c>
      <c r="B4252" s="6">
        <f t="shared" si="544"/>
        <v>43</v>
      </c>
      <c r="C4252" s="13" t="s">
        <v>22</v>
      </c>
      <c r="D4252" s="2" t="s">
        <v>6</v>
      </c>
      <c r="E4252" s="14" t="str">
        <f t="shared" si="543"/>
        <v>L/W Machine</v>
      </c>
      <c r="F4252" s="22">
        <f t="shared" si="547"/>
        <v>7</v>
      </c>
      <c r="H4252" s="5" t="str">
        <f ca="1">_xlfn.FORMULATEXT(표1[[#This Row],[Q''ty]])</f>
        <v>=F4153</v>
      </c>
    </row>
    <row r="4253" spans="1:8" ht="15" hidden="1" customHeight="1" x14ac:dyDescent="0.4">
      <c r="A4253" s="6">
        <v>2026</v>
      </c>
      <c r="B4253" s="6">
        <f t="shared" si="544"/>
        <v>43</v>
      </c>
      <c r="C4253" s="13" t="s">
        <v>22</v>
      </c>
      <c r="D4253" s="2" t="s">
        <v>6</v>
      </c>
      <c r="E4253" s="14" t="str">
        <f t="shared" si="543"/>
        <v>C/W Machine</v>
      </c>
      <c r="F4253" s="22">
        <f t="shared" si="547"/>
        <v>12.5</v>
      </c>
      <c r="H4253" s="5" t="str">
        <f ca="1">_xlfn.FORMULATEXT(표1[[#This Row],[Q''ty]])</f>
        <v>=F4154</v>
      </c>
    </row>
    <row r="4254" spans="1:8" ht="15" hidden="1" customHeight="1" x14ac:dyDescent="0.4">
      <c r="A4254" s="6">
        <v>2026</v>
      </c>
      <c r="B4254" s="6">
        <f t="shared" si="544"/>
        <v>43</v>
      </c>
      <c r="C4254" s="13" t="s">
        <v>22</v>
      </c>
      <c r="D4254" s="2" t="s">
        <v>12</v>
      </c>
      <c r="E4254" s="14" t="str">
        <f t="shared" si="543"/>
        <v>BT GT</v>
      </c>
      <c r="F4254" s="22"/>
      <c r="H4254" s="5" t="e">
        <f ca="1">_xlfn.FORMULATEXT(표1[[#This Row],[Q''ty]])</f>
        <v>#N/A</v>
      </c>
    </row>
    <row r="4255" spans="1:8" ht="15" hidden="1" customHeight="1" x14ac:dyDescent="0.4">
      <c r="A4255" s="6">
        <v>2026</v>
      </c>
      <c r="B4255" s="6">
        <f t="shared" si="544"/>
        <v>43</v>
      </c>
      <c r="C4255" s="13" t="s">
        <v>22</v>
      </c>
      <c r="D4255" s="2" t="s">
        <v>12</v>
      </c>
      <c r="E4255" s="14" t="str">
        <f t="shared" si="543"/>
        <v>WT GT</v>
      </c>
      <c r="F4255" s="22"/>
      <c r="H4255" s="5" t="e">
        <f ca="1">_xlfn.FORMULATEXT(표1[[#This Row],[Q''ty]])</f>
        <v>#N/A</v>
      </c>
    </row>
    <row r="4256" spans="1:8" ht="15" hidden="1" customHeight="1" x14ac:dyDescent="0.4">
      <c r="A4256" s="6">
        <v>2026</v>
      </c>
      <c r="B4256" s="6">
        <f t="shared" si="544"/>
        <v>43</v>
      </c>
      <c r="C4256" s="13" t="s">
        <v>22</v>
      </c>
      <c r="D4256" s="2" t="s">
        <v>12</v>
      </c>
      <c r="E4256" s="14" t="str">
        <f t="shared" si="543"/>
        <v>Bending</v>
      </c>
      <c r="F4256" s="22"/>
      <c r="H4256" s="5" t="e">
        <f ca="1">_xlfn.FORMULATEXT(표1[[#This Row],[Q''ty]])</f>
        <v>#N/A</v>
      </c>
    </row>
    <row r="4257" spans="1:10" ht="15" hidden="1" customHeight="1" x14ac:dyDescent="0.4">
      <c r="A4257" s="6">
        <v>2026</v>
      </c>
      <c r="B4257" s="6">
        <f t="shared" si="544"/>
        <v>43</v>
      </c>
      <c r="C4257" s="13" t="s">
        <v>22</v>
      </c>
      <c r="D4257" s="2" t="s">
        <v>12</v>
      </c>
      <c r="E4257" s="14" t="str">
        <f t="shared" si="543"/>
        <v>L/W</v>
      </c>
      <c r="F4257" s="22"/>
      <c r="H4257" s="5" t="e">
        <f ca="1">_xlfn.FORMULATEXT(표1[[#This Row],[Q''ty]])</f>
        <v>#N/A</v>
      </c>
    </row>
    <row r="4258" spans="1:10" ht="15" hidden="1" customHeight="1" thickBot="1" x14ac:dyDescent="0.45">
      <c r="A4258" s="6">
        <v>2026</v>
      </c>
      <c r="B4258" s="6">
        <f t="shared" si="544"/>
        <v>43</v>
      </c>
      <c r="C4258" s="13" t="s">
        <v>22</v>
      </c>
      <c r="D4258" s="2" t="s">
        <v>12</v>
      </c>
      <c r="E4258" s="14" t="str">
        <f t="shared" si="543"/>
        <v>C/W</v>
      </c>
      <c r="F4258" s="22"/>
      <c r="H4258" s="5" t="e">
        <f ca="1">_xlfn.FORMULATEXT(표1[[#This Row],[Q''ty]])</f>
        <v>#N/A</v>
      </c>
    </row>
    <row r="4259" spans="1:10" ht="15" hidden="1" customHeight="1" thickTop="1" x14ac:dyDescent="0.4">
      <c r="A4259" s="9">
        <v>2026</v>
      </c>
      <c r="B4259" s="9">
        <f>B4160+1</f>
        <v>44</v>
      </c>
      <c r="C4259" s="10" t="s">
        <v>28</v>
      </c>
      <c r="D4259" s="11" t="s">
        <v>6</v>
      </c>
      <c r="E4259" s="12" t="s">
        <v>7</v>
      </c>
      <c r="F4259" s="21">
        <f t="shared" ref="F4259:F4264" si="548">F4160</f>
        <v>15</v>
      </c>
      <c r="H4259" s="5" t="str">
        <f ca="1">_xlfn.FORMULATEXT(표1[[#This Row],[Q''ty]])</f>
        <v>=F4160</v>
      </c>
    </row>
    <row r="4260" spans="1:10" s="2" customFormat="1" ht="15" hidden="1" customHeight="1" x14ac:dyDescent="0.4">
      <c r="A4260" s="6">
        <v>2026</v>
      </c>
      <c r="B4260" s="6">
        <f t="shared" ref="B4260:B4323" si="549">B4161+1</f>
        <v>44</v>
      </c>
      <c r="C4260" s="13" t="s">
        <v>23</v>
      </c>
      <c r="D4260" s="2" t="s">
        <v>6</v>
      </c>
      <c r="E4260" s="14" t="s">
        <v>8</v>
      </c>
      <c r="F4260" s="22">
        <f t="shared" si="548"/>
        <v>10</v>
      </c>
      <c r="H4260" s="5" t="str">
        <f ca="1">_xlfn.FORMULATEXT(표1[[#This Row],[Q''ty]])</f>
        <v>=F4161</v>
      </c>
      <c r="I4260" s="26"/>
      <c r="J4260" s="26"/>
    </row>
    <row r="4261" spans="1:10" s="2" customFormat="1" ht="15" hidden="1" customHeight="1" x14ac:dyDescent="0.4">
      <c r="A4261" s="6">
        <v>2026</v>
      </c>
      <c r="B4261" s="6">
        <f t="shared" si="549"/>
        <v>44</v>
      </c>
      <c r="C4261" s="13" t="s">
        <v>23</v>
      </c>
      <c r="D4261" s="2" t="s">
        <v>6</v>
      </c>
      <c r="E4261" s="14" t="s">
        <v>9</v>
      </c>
      <c r="F4261" s="22">
        <f t="shared" si="548"/>
        <v>5</v>
      </c>
      <c r="H4261" s="5" t="str">
        <f ca="1">_xlfn.FORMULATEXT(표1[[#This Row],[Q''ty]])</f>
        <v>=F4162</v>
      </c>
      <c r="I4261" s="26"/>
      <c r="J4261" s="26"/>
    </row>
    <row r="4262" spans="1:10" ht="15" hidden="1" customHeight="1" x14ac:dyDescent="0.4">
      <c r="A4262" s="6">
        <v>2026</v>
      </c>
      <c r="B4262" s="6">
        <f t="shared" si="549"/>
        <v>44</v>
      </c>
      <c r="C4262" s="13" t="s">
        <v>23</v>
      </c>
      <c r="D4262" s="2" t="s">
        <v>6</v>
      </c>
      <c r="E4262" s="14" t="s">
        <v>27</v>
      </c>
      <c r="F4262" s="22">
        <f t="shared" si="548"/>
        <v>6</v>
      </c>
      <c r="H4262" s="5" t="str">
        <f ca="1">_xlfn.FORMULATEXT(표1[[#This Row],[Q''ty]])</f>
        <v>=F4163</v>
      </c>
    </row>
    <row r="4263" spans="1:10" ht="15" hidden="1" customHeight="1" x14ac:dyDescent="0.4">
      <c r="A4263" s="6">
        <v>2026</v>
      </c>
      <c r="B4263" s="6">
        <f t="shared" si="549"/>
        <v>44</v>
      </c>
      <c r="C4263" s="13" t="s">
        <v>23</v>
      </c>
      <c r="D4263" s="2" t="s">
        <v>6</v>
      </c>
      <c r="E4263" s="14" t="s">
        <v>10</v>
      </c>
      <c r="F4263" s="22">
        <f t="shared" si="548"/>
        <v>10</v>
      </c>
      <c r="H4263" s="5" t="str">
        <f ca="1">_xlfn.FORMULATEXT(표1[[#This Row],[Q''ty]])</f>
        <v>=F4164</v>
      </c>
    </row>
    <row r="4264" spans="1:10" ht="15" hidden="1" customHeight="1" x14ac:dyDescent="0.4">
      <c r="A4264" s="6">
        <v>2026</v>
      </c>
      <c r="B4264" s="6">
        <f t="shared" si="549"/>
        <v>44</v>
      </c>
      <c r="C4264" s="13" t="s">
        <v>23</v>
      </c>
      <c r="D4264" s="2" t="s">
        <v>6</v>
      </c>
      <c r="E4264" s="14" t="s">
        <v>11</v>
      </c>
      <c r="F4264" s="22">
        <f t="shared" si="548"/>
        <v>10</v>
      </c>
      <c r="H4264" s="5" t="str">
        <f ca="1">_xlfn.FORMULATEXT(표1[[#This Row],[Q''ty]])</f>
        <v>=F4165</v>
      </c>
    </row>
    <row r="4265" spans="1:10" ht="15" hidden="1" customHeight="1" x14ac:dyDescent="0.4">
      <c r="A4265" s="6">
        <v>2026</v>
      </c>
      <c r="B4265" s="6">
        <f t="shared" si="549"/>
        <v>44</v>
      </c>
      <c r="C4265" s="13" t="s">
        <v>23</v>
      </c>
      <c r="D4265" s="2" t="s">
        <v>12</v>
      </c>
      <c r="E4265" s="14" t="s">
        <v>13</v>
      </c>
      <c r="F4265" s="22"/>
      <c r="H4265" s="5" t="e">
        <f ca="1">_xlfn.FORMULATEXT(표1[[#This Row],[Q''ty]])</f>
        <v>#N/A</v>
      </c>
    </row>
    <row r="4266" spans="1:10" s="2" customFormat="1" ht="15" hidden="1" customHeight="1" x14ac:dyDescent="0.4">
      <c r="A4266" s="6">
        <v>2026</v>
      </c>
      <c r="B4266" s="6">
        <f t="shared" si="549"/>
        <v>44</v>
      </c>
      <c r="C4266" s="13" t="s">
        <v>23</v>
      </c>
      <c r="D4266" s="2" t="s">
        <v>12</v>
      </c>
      <c r="E4266" s="14" t="s">
        <v>14</v>
      </c>
      <c r="F4266" s="22"/>
      <c r="H4266" s="5" t="e">
        <f ca="1">_xlfn.FORMULATEXT(표1[[#This Row],[Q''ty]])</f>
        <v>#N/A</v>
      </c>
      <c r="I4266" s="26"/>
      <c r="J4266" s="26"/>
    </row>
    <row r="4267" spans="1:10" ht="15" hidden="1" customHeight="1" x14ac:dyDescent="0.4">
      <c r="A4267" s="6">
        <v>2026</v>
      </c>
      <c r="B4267" s="6">
        <f t="shared" si="549"/>
        <v>44</v>
      </c>
      <c r="C4267" s="13" t="s">
        <v>23</v>
      </c>
      <c r="D4267" s="2" t="s">
        <v>12</v>
      </c>
      <c r="E4267" s="14" t="s">
        <v>15</v>
      </c>
      <c r="F4267" s="22"/>
      <c r="H4267" s="5" t="e">
        <f ca="1">_xlfn.FORMULATEXT(표1[[#This Row],[Q''ty]])</f>
        <v>#N/A</v>
      </c>
    </row>
    <row r="4268" spans="1:10" ht="15" hidden="1" customHeight="1" x14ac:dyDescent="0.4">
      <c r="A4268" s="6">
        <v>2026</v>
      </c>
      <c r="B4268" s="6">
        <f t="shared" si="549"/>
        <v>44</v>
      </c>
      <c r="C4268" s="13" t="s">
        <v>23</v>
      </c>
      <c r="D4268" s="2" t="s">
        <v>12</v>
      </c>
      <c r="E4268" s="14" t="s">
        <v>16</v>
      </c>
      <c r="F4268" s="22"/>
      <c r="H4268" s="5" t="e">
        <f ca="1">_xlfn.FORMULATEXT(표1[[#This Row],[Q''ty]])</f>
        <v>#N/A</v>
      </c>
    </row>
    <row r="4269" spans="1:10" ht="15" hidden="1" customHeight="1" thickBot="1" x14ac:dyDescent="0.45">
      <c r="A4269" s="15">
        <v>2026</v>
      </c>
      <c r="B4269" s="15">
        <f t="shared" si="549"/>
        <v>44</v>
      </c>
      <c r="C4269" s="16" t="s">
        <v>23</v>
      </c>
      <c r="D4269" s="17" t="s">
        <v>12</v>
      </c>
      <c r="E4269" s="18" t="s">
        <v>17</v>
      </c>
      <c r="F4269" s="23"/>
      <c r="H4269" s="5" t="e">
        <f ca="1">_xlfn.FORMULATEXT(표1[[#This Row],[Q''ty]])</f>
        <v>#N/A</v>
      </c>
    </row>
    <row r="4270" spans="1:10" ht="15" hidden="1" customHeight="1" thickTop="1" x14ac:dyDescent="0.4">
      <c r="A4270" s="9">
        <v>2026</v>
      </c>
      <c r="B4270" s="9">
        <f t="shared" si="549"/>
        <v>44</v>
      </c>
      <c r="C4270" s="10" t="s">
        <v>29</v>
      </c>
      <c r="D4270" s="11" t="s">
        <v>6</v>
      </c>
      <c r="E4270" s="12" t="s">
        <v>7</v>
      </c>
      <c r="F4270" s="21">
        <f t="shared" ref="F4270:F4275" si="550">F4171</f>
        <v>14</v>
      </c>
      <c r="H4270" s="5" t="str">
        <f ca="1">_xlfn.FORMULATEXT(표1[[#This Row],[Q''ty]])</f>
        <v>=F4171</v>
      </c>
    </row>
    <row r="4271" spans="1:10" s="2" customFormat="1" ht="15" hidden="1" customHeight="1" x14ac:dyDescent="0.4">
      <c r="A4271" s="6">
        <v>2026</v>
      </c>
      <c r="B4271" s="6">
        <f t="shared" si="549"/>
        <v>44</v>
      </c>
      <c r="C4271" s="13" t="s">
        <v>24</v>
      </c>
      <c r="D4271" s="2" t="s">
        <v>6</v>
      </c>
      <c r="E4271" s="14" t="s">
        <v>8</v>
      </c>
      <c r="F4271" s="22">
        <f t="shared" si="550"/>
        <v>8</v>
      </c>
      <c r="H4271" s="5" t="str">
        <f ca="1">_xlfn.FORMULATEXT(표1[[#This Row],[Q''ty]])</f>
        <v>=F4172</v>
      </c>
      <c r="I4271" s="26"/>
      <c r="J4271" s="26"/>
    </row>
    <row r="4272" spans="1:10" s="2" customFormat="1" ht="15" hidden="1" customHeight="1" x14ac:dyDescent="0.4">
      <c r="A4272" s="6">
        <v>2026</v>
      </c>
      <c r="B4272" s="6">
        <f t="shared" si="549"/>
        <v>44</v>
      </c>
      <c r="C4272" s="13" t="s">
        <v>24</v>
      </c>
      <c r="D4272" s="2" t="s">
        <v>6</v>
      </c>
      <c r="E4272" s="14" t="s">
        <v>9</v>
      </c>
      <c r="F4272" s="22">
        <f t="shared" si="550"/>
        <v>4</v>
      </c>
      <c r="H4272" s="5" t="str">
        <f ca="1">_xlfn.FORMULATEXT(표1[[#This Row],[Q''ty]])</f>
        <v>=F4173</v>
      </c>
      <c r="I4272" s="26"/>
      <c r="J4272" s="26"/>
    </row>
    <row r="4273" spans="1:10" ht="15" hidden="1" customHeight="1" x14ac:dyDescent="0.4">
      <c r="A4273" s="6">
        <v>2026</v>
      </c>
      <c r="B4273" s="6">
        <f t="shared" si="549"/>
        <v>44</v>
      </c>
      <c r="C4273" s="13" t="s">
        <v>24</v>
      </c>
      <c r="D4273" s="2" t="s">
        <v>6</v>
      </c>
      <c r="E4273" s="14" t="s">
        <v>27</v>
      </c>
      <c r="F4273" s="22">
        <f t="shared" si="550"/>
        <v>3</v>
      </c>
      <c r="H4273" s="5" t="str">
        <f ca="1">_xlfn.FORMULATEXT(표1[[#This Row],[Q''ty]])</f>
        <v>=F4174</v>
      </c>
    </row>
    <row r="4274" spans="1:10" ht="15" hidden="1" customHeight="1" x14ac:dyDescent="0.4">
      <c r="A4274" s="6">
        <v>2026</v>
      </c>
      <c r="B4274" s="6">
        <f t="shared" si="549"/>
        <v>44</v>
      </c>
      <c r="C4274" s="13" t="s">
        <v>24</v>
      </c>
      <c r="D4274" s="2" t="s">
        <v>6</v>
      </c>
      <c r="E4274" s="14" t="s">
        <v>10</v>
      </c>
      <c r="F4274" s="22">
        <f t="shared" si="550"/>
        <v>6</v>
      </c>
      <c r="H4274" s="5" t="str">
        <f ca="1">_xlfn.FORMULATEXT(표1[[#This Row],[Q''ty]])</f>
        <v>=F4175</v>
      </c>
    </row>
    <row r="4275" spans="1:10" ht="15" hidden="1" customHeight="1" x14ac:dyDescent="0.4">
      <c r="A4275" s="6">
        <v>2026</v>
      </c>
      <c r="B4275" s="6">
        <f t="shared" si="549"/>
        <v>44</v>
      </c>
      <c r="C4275" s="13" t="s">
        <v>24</v>
      </c>
      <c r="D4275" s="2" t="s">
        <v>6</v>
      </c>
      <c r="E4275" s="14" t="s">
        <v>11</v>
      </c>
      <c r="F4275" s="22">
        <f t="shared" si="550"/>
        <v>8.8000000000000007</v>
      </c>
      <c r="H4275" s="5" t="str">
        <f ca="1">_xlfn.FORMULATEXT(표1[[#This Row],[Q''ty]])</f>
        <v>=F4176</v>
      </c>
    </row>
    <row r="4276" spans="1:10" ht="15" hidden="1" customHeight="1" x14ac:dyDescent="0.4">
      <c r="A4276" s="6">
        <v>2026</v>
      </c>
      <c r="B4276" s="6">
        <f t="shared" si="549"/>
        <v>44</v>
      </c>
      <c r="C4276" s="13" t="s">
        <v>24</v>
      </c>
      <c r="D4276" s="2" t="s">
        <v>12</v>
      </c>
      <c r="E4276" s="14" t="s">
        <v>13</v>
      </c>
      <c r="F4276" s="22"/>
      <c r="H4276" s="5" t="e">
        <f ca="1">_xlfn.FORMULATEXT(표1[[#This Row],[Q''ty]])</f>
        <v>#N/A</v>
      </c>
    </row>
    <row r="4277" spans="1:10" s="2" customFormat="1" ht="15" hidden="1" customHeight="1" x14ac:dyDescent="0.4">
      <c r="A4277" s="6">
        <v>2026</v>
      </c>
      <c r="B4277" s="6">
        <f t="shared" si="549"/>
        <v>44</v>
      </c>
      <c r="C4277" s="13" t="s">
        <v>24</v>
      </c>
      <c r="D4277" s="2" t="s">
        <v>12</v>
      </c>
      <c r="E4277" s="14" t="s">
        <v>14</v>
      </c>
      <c r="F4277" s="22"/>
      <c r="H4277" s="5" t="e">
        <f ca="1">_xlfn.FORMULATEXT(표1[[#This Row],[Q''ty]])</f>
        <v>#N/A</v>
      </c>
      <c r="I4277" s="26"/>
      <c r="J4277" s="26"/>
    </row>
    <row r="4278" spans="1:10" ht="15" hidden="1" customHeight="1" x14ac:dyDescent="0.4">
      <c r="A4278" s="6">
        <v>2026</v>
      </c>
      <c r="B4278" s="6">
        <f t="shared" si="549"/>
        <v>44</v>
      </c>
      <c r="C4278" s="13" t="s">
        <v>24</v>
      </c>
      <c r="D4278" s="2" t="s">
        <v>12</v>
      </c>
      <c r="E4278" s="14" t="s">
        <v>15</v>
      </c>
      <c r="F4278" s="22"/>
      <c r="H4278" s="5" t="e">
        <f ca="1">_xlfn.FORMULATEXT(표1[[#This Row],[Q''ty]])</f>
        <v>#N/A</v>
      </c>
    </row>
    <row r="4279" spans="1:10" ht="15" hidden="1" customHeight="1" x14ac:dyDescent="0.4">
      <c r="A4279" s="6">
        <v>2026</v>
      </c>
      <c r="B4279" s="6">
        <f t="shared" si="549"/>
        <v>44</v>
      </c>
      <c r="C4279" s="13" t="s">
        <v>24</v>
      </c>
      <c r="D4279" s="2" t="s">
        <v>12</v>
      </c>
      <c r="E4279" s="14" t="s">
        <v>16</v>
      </c>
      <c r="F4279" s="22"/>
      <c r="H4279" s="5" t="e">
        <f ca="1">_xlfn.FORMULATEXT(표1[[#This Row],[Q''ty]])</f>
        <v>#N/A</v>
      </c>
    </row>
    <row r="4280" spans="1:10" ht="15" hidden="1" customHeight="1" thickBot="1" x14ac:dyDescent="0.45">
      <c r="A4280" s="15">
        <v>2026</v>
      </c>
      <c r="B4280" s="15">
        <f t="shared" si="549"/>
        <v>44</v>
      </c>
      <c r="C4280" s="16" t="s">
        <v>24</v>
      </c>
      <c r="D4280" s="17" t="s">
        <v>12</v>
      </c>
      <c r="E4280" s="18" t="s">
        <v>17</v>
      </c>
      <c r="F4280" s="23"/>
      <c r="H4280" s="5" t="e">
        <f ca="1">_xlfn.FORMULATEXT(표1[[#This Row],[Q''ty]])</f>
        <v>#N/A</v>
      </c>
    </row>
    <row r="4281" spans="1:10" ht="15" hidden="1" customHeight="1" thickTop="1" x14ac:dyDescent="0.4">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10" ht="15" hidden="1" customHeight="1" x14ac:dyDescent="0.4">
      <c r="A4282" s="6">
        <v>2026</v>
      </c>
      <c r="B4282" s="6">
        <f t="shared" si="549"/>
        <v>44</v>
      </c>
      <c r="C4282" s="13" t="s">
        <v>18</v>
      </c>
      <c r="D4282" s="2" t="s">
        <v>6</v>
      </c>
      <c r="E4282" s="14" t="str">
        <f t="shared" si="551"/>
        <v>Paint Booth</v>
      </c>
      <c r="F4282" s="22">
        <f t="shared" si="551"/>
        <v>3</v>
      </c>
      <c r="H4282" s="5" t="str">
        <f ca="1">_xlfn.FORMULATEXT(표1[[#This Row],[Q''ty]])</f>
        <v>=F4183</v>
      </c>
    </row>
    <row r="4283" spans="1:10" ht="15" hidden="1" customHeight="1" x14ac:dyDescent="0.4">
      <c r="A4283" s="6">
        <v>2026</v>
      </c>
      <c r="B4283" s="6">
        <f t="shared" si="549"/>
        <v>44</v>
      </c>
      <c r="C4283" s="13" t="s">
        <v>18</v>
      </c>
      <c r="D4283" s="2" t="s">
        <v>6</v>
      </c>
      <c r="E4283" s="14" t="str">
        <f t="shared" si="551"/>
        <v>Paint Line</v>
      </c>
      <c r="F4283" s="22">
        <f t="shared" si="551"/>
        <v>2</v>
      </c>
      <c r="H4283" s="5" t="str">
        <f ca="1">_xlfn.FORMULATEXT(표1[[#This Row],[Q''ty]])</f>
        <v>=F4184</v>
      </c>
    </row>
    <row r="4284" spans="1:10" ht="15" hidden="1" customHeight="1" x14ac:dyDescent="0.4">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10" ht="15" hidden="1" customHeight="1" x14ac:dyDescent="0.4">
      <c r="A4285" s="6">
        <v>2026</v>
      </c>
      <c r="B4285" s="6">
        <f t="shared" si="549"/>
        <v>44</v>
      </c>
      <c r="C4285" s="13" t="s">
        <v>18</v>
      </c>
      <c r="D4285" s="2" t="s">
        <v>6</v>
      </c>
      <c r="E4285" s="14" t="str">
        <f t="shared" si="551"/>
        <v>L/W Machine</v>
      </c>
      <c r="F4285" s="22">
        <f t="shared" si="551"/>
        <v>2</v>
      </c>
      <c r="H4285" s="5" t="str">
        <f ca="1">_xlfn.FORMULATEXT(표1[[#This Row],[Q''ty]])</f>
        <v>=F4186</v>
      </c>
    </row>
    <row r="4286" spans="1:10" ht="15" hidden="1" customHeight="1" x14ac:dyDescent="0.4">
      <c r="A4286" s="6">
        <v>2026</v>
      </c>
      <c r="B4286" s="6">
        <f t="shared" si="549"/>
        <v>44</v>
      </c>
      <c r="C4286" s="13" t="s">
        <v>18</v>
      </c>
      <c r="D4286" s="2" t="s">
        <v>6</v>
      </c>
      <c r="E4286" s="14" t="str">
        <f t="shared" si="551"/>
        <v>C/W Machine</v>
      </c>
      <c r="F4286" s="22">
        <f t="shared" si="551"/>
        <v>3</v>
      </c>
      <c r="H4286" s="5" t="str">
        <f ca="1">_xlfn.FORMULATEXT(표1[[#This Row],[Q''ty]])</f>
        <v>=F4187</v>
      </c>
    </row>
    <row r="4287" spans="1:10" ht="15" hidden="1" customHeight="1" x14ac:dyDescent="0.4">
      <c r="A4287" s="6">
        <v>2026</v>
      </c>
      <c r="B4287" s="6">
        <f t="shared" si="549"/>
        <v>44</v>
      </c>
      <c r="C4287" s="13" t="s">
        <v>18</v>
      </c>
      <c r="D4287" s="2" t="s">
        <v>12</v>
      </c>
      <c r="E4287" s="14" t="str">
        <f t="shared" ref="E4287:E4302" si="552">E4188</f>
        <v>BT GT</v>
      </c>
      <c r="F4287" s="22"/>
      <c r="H4287" s="5" t="e">
        <f ca="1">_xlfn.FORMULATEXT(표1[[#This Row],[Q''ty]])</f>
        <v>#N/A</v>
      </c>
    </row>
    <row r="4288" spans="1:10" ht="15" hidden="1" customHeight="1" x14ac:dyDescent="0.4">
      <c r="A4288" s="6">
        <v>2026</v>
      </c>
      <c r="B4288" s="6">
        <f t="shared" si="549"/>
        <v>44</v>
      </c>
      <c r="C4288" s="13" t="s">
        <v>18</v>
      </c>
      <c r="D4288" s="2" t="s">
        <v>12</v>
      </c>
      <c r="E4288" s="14" t="str">
        <f t="shared" si="552"/>
        <v>WT GT</v>
      </c>
      <c r="F4288" s="22"/>
      <c r="H4288" s="5" t="e">
        <f ca="1">_xlfn.FORMULATEXT(표1[[#This Row],[Q''ty]])</f>
        <v>#N/A</v>
      </c>
    </row>
    <row r="4289" spans="1:8" ht="15" hidden="1" customHeight="1" x14ac:dyDescent="0.4">
      <c r="A4289" s="6">
        <v>2026</v>
      </c>
      <c r="B4289" s="6">
        <f t="shared" si="549"/>
        <v>44</v>
      </c>
      <c r="C4289" s="13" t="s">
        <v>18</v>
      </c>
      <c r="D4289" s="2" t="s">
        <v>12</v>
      </c>
      <c r="E4289" s="14" t="str">
        <f t="shared" si="552"/>
        <v>Bending</v>
      </c>
      <c r="F4289" s="22"/>
      <c r="H4289" s="5" t="e">
        <f ca="1">_xlfn.FORMULATEXT(표1[[#This Row],[Q''ty]])</f>
        <v>#N/A</v>
      </c>
    </row>
    <row r="4290" spans="1:8" ht="15" hidden="1" customHeight="1" x14ac:dyDescent="0.4">
      <c r="A4290" s="6">
        <v>2026</v>
      </c>
      <c r="B4290" s="6">
        <f t="shared" si="549"/>
        <v>44</v>
      </c>
      <c r="C4290" s="13" t="s">
        <v>18</v>
      </c>
      <c r="D4290" s="2" t="s">
        <v>12</v>
      </c>
      <c r="E4290" s="14" t="str">
        <f t="shared" si="552"/>
        <v>L/W</v>
      </c>
      <c r="F4290" s="22"/>
      <c r="H4290" s="5" t="e">
        <f ca="1">_xlfn.FORMULATEXT(표1[[#This Row],[Q''ty]])</f>
        <v>#N/A</v>
      </c>
    </row>
    <row r="4291" spans="1:8" ht="15" hidden="1" customHeight="1" thickBot="1" x14ac:dyDescent="0.45">
      <c r="A4291" s="15">
        <v>2026</v>
      </c>
      <c r="B4291" s="15">
        <f t="shared" si="549"/>
        <v>44</v>
      </c>
      <c r="C4291" s="16" t="s">
        <v>18</v>
      </c>
      <c r="D4291" s="17" t="s">
        <v>12</v>
      </c>
      <c r="E4291" s="18" t="str">
        <f t="shared" si="552"/>
        <v>C/W</v>
      </c>
      <c r="F4291" s="23"/>
      <c r="H4291" s="5" t="e">
        <f ca="1">_xlfn.FORMULATEXT(표1[[#This Row],[Q''ty]])</f>
        <v>#N/A</v>
      </c>
    </row>
    <row r="4292" spans="1:8" ht="15" hidden="1" customHeight="1" thickTop="1" x14ac:dyDescent="0.4">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hidden="1" customHeight="1" x14ac:dyDescent="0.4">
      <c r="A4293" s="6">
        <v>2026</v>
      </c>
      <c r="B4293" s="6">
        <f t="shared" si="549"/>
        <v>44</v>
      </c>
      <c r="C4293" s="13" t="s">
        <v>19</v>
      </c>
      <c r="D4293" s="2" t="s">
        <v>6</v>
      </c>
      <c r="E4293" s="14" t="str">
        <f t="shared" si="552"/>
        <v>Paint Booth</v>
      </c>
      <c r="F4293" s="22">
        <f t="shared" si="553"/>
        <v>22</v>
      </c>
      <c r="H4293" s="5" t="str">
        <f ca="1">_xlfn.FORMULATEXT(표1[[#This Row],[Q''ty]])</f>
        <v>=F4194</v>
      </c>
    </row>
    <row r="4294" spans="1:8" ht="15" hidden="1" customHeight="1" x14ac:dyDescent="0.4">
      <c r="A4294" s="6">
        <v>2026</v>
      </c>
      <c r="B4294" s="6">
        <f t="shared" si="549"/>
        <v>44</v>
      </c>
      <c r="C4294" s="13" t="s">
        <v>19</v>
      </c>
      <c r="D4294" s="2" t="s">
        <v>6</v>
      </c>
      <c r="E4294" s="14" t="str">
        <f t="shared" si="552"/>
        <v>Paint Line</v>
      </c>
      <c r="F4294" s="22">
        <f t="shared" si="553"/>
        <v>6</v>
      </c>
      <c r="H4294" s="5" t="str">
        <f ca="1">_xlfn.FORMULATEXT(표1[[#This Row],[Q''ty]])</f>
        <v>=F4195</v>
      </c>
    </row>
    <row r="4295" spans="1:8" ht="15" hidden="1" customHeight="1" x14ac:dyDescent="0.4">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hidden="1" customHeight="1" x14ac:dyDescent="0.4">
      <c r="A4296" s="6">
        <v>2026</v>
      </c>
      <c r="B4296" s="6">
        <f t="shared" si="549"/>
        <v>44</v>
      </c>
      <c r="C4296" s="13" t="s">
        <v>19</v>
      </c>
      <c r="D4296" s="2" t="s">
        <v>6</v>
      </c>
      <c r="E4296" s="14" t="str">
        <f t="shared" si="552"/>
        <v>L/W Machine</v>
      </c>
      <c r="F4296" s="22">
        <f t="shared" si="553"/>
        <v>10</v>
      </c>
      <c r="H4296" s="5" t="str">
        <f ca="1">_xlfn.FORMULATEXT(표1[[#This Row],[Q''ty]])</f>
        <v>=F4197</v>
      </c>
    </row>
    <row r="4297" spans="1:8" ht="15" hidden="1" customHeight="1" x14ac:dyDescent="0.4">
      <c r="A4297" s="6">
        <v>2026</v>
      </c>
      <c r="B4297" s="6">
        <f t="shared" si="549"/>
        <v>44</v>
      </c>
      <c r="C4297" s="13" t="s">
        <v>19</v>
      </c>
      <c r="D4297" s="2" t="s">
        <v>6</v>
      </c>
      <c r="E4297" s="14" t="str">
        <f t="shared" si="552"/>
        <v>C/W Machine</v>
      </c>
      <c r="F4297" s="22">
        <f t="shared" si="553"/>
        <v>12</v>
      </c>
      <c r="H4297" s="5" t="str">
        <f ca="1">_xlfn.FORMULATEXT(표1[[#This Row],[Q''ty]])</f>
        <v>=F4198</v>
      </c>
    </row>
    <row r="4298" spans="1:8" ht="15" hidden="1" customHeight="1" x14ac:dyDescent="0.4">
      <c r="A4298" s="6">
        <v>2026</v>
      </c>
      <c r="B4298" s="6">
        <f t="shared" si="549"/>
        <v>44</v>
      </c>
      <c r="C4298" s="13" t="s">
        <v>19</v>
      </c>
      <c r="D4298" s="2" t="s">
        <v>12</v>
      </c>
      <c r="E4298" s="14" t="str">
        <f t="shared" si="552"/>
        <v>BT GT</v>
      </c>
      <c r="F4298" s="22"/>
      <c r="H4298" s="5" t="e">
        <f ca="1">_xlfn.FORMULATEXT(표1[[#This Row],[Q''ty]])</f>
        <v>#N/A</v>
      </c>
    </row>
    <row r="4299" spans="1:8" ht="15" hidden="1" customHeight="1" x14ac:dyDescent="0.4">
      <c r="A4299" s="6">
        <v>2026</v>
      </c>
      <c r="B4299" s="6">
        <f t="shared" si="549"/>
        <v>44</v>
      </c>
      <c r="C4299" s="13" t="s">
        <v>19</v>
      </c>
      <c r="D4299" s="2" t="s">
        <v>12</v>
      </c>
      <c r="E4299" s="14" t="str">
        <f t="shared" si="552"/>
        <v>WT GT</v>
      </c>
      <c r="F4299" s="22"/>
      <c r="H4299" s="5" t="e">
        <f ca="1">_xlfn.FORMULATEXT(표1[[#This Row],[Q''ty]])</f>
        <v>#N/A</v>
      </c>
    </row>
    <row r="4300" spans="1:8" ht="15" hidden="1" customHeight="1" x14ac:dyDescent="0.4">
      <c r="A4300" s="6">
        <v>2026</v>
      </c>
      <c r="B4300" s="6">
        <f t="shared" si="549"/>
        <v>44</v>
      </c>
      <c r="C4300" s="13" t="s">
        <v>19</v>
      </c>
      <c r="D4300" s="2" t="s">
        <v>12</v>
      </c>
      <c r="E4300" s="14" t="str">
        <f t="shared" si="552"/>
        <v>Bending</v>
      </c>
      <c r="F4300" s="22"/>
      <c r="H4300" s="5" t="e">
        <f ca="1">_xlfn.FORMULATEXT(표1[[#This Row],[Q''ty]])</f>
        <v>#N/A</v>
      </c>
    </row>
    <row r="4301" spans="1:8" ht="15" hidden="1" customHeight="1" x14ac:dyDescent="0.4">
      <c r="A4301" s="6">
        <v>2026</v>
      </c>
      <c r="B4301" s="6">
        <f t="shared" si="549"/>
        <v>44</v>
      </c>
      <c r="C4301" s="13" t="s">
        <v>19</v>
      </c>
      <c r="D4301" s="2" t="s">
        <v>12</v>
      </c>
      <c r="E4301" s="14" t="str">
        <f t="shared" si="552"/>
        <v>L/W</v>
      </c>
      <c r="F4301" s="22"/>
      <c r="H4301" s="5" t="e">
        <f ca="1">_xlfn.FORMULATEXT(표1[[#This Row],[Q''ty]])</f>
        <v>#N/A</v>
      </c>
    </row>
    <row r="4302" spans="1:8" ht="15" hidden="1" customHeight="1" thickBot="1" x14ac:dyDescent="0.45">
      <c r="A4302" s="15">
        <v>2026</v>
      </c>
      <c r="B4302" s="15">
        <f t="shared" si="549"/>
        <v>44</v>
      </c>
      <c r="C4302" s="16" t="s">
        <v>19</v>
      </c>
      <c r="D4302" s="17" t="s">
        <v>12</v>
      </c>
      <c r="E4302" s="18" t="str">
        <f t="shared" si="552"/>
        <v>C/W</v>
      </c>
      <c r="F4302" s="23"/>
      <c r="H4302" s="5" t="e">
        <f ca="1">_xlfn.FORMULATEXT(표1[[#This Row],[Q''ty]])</f>
        <v>#N/A</v>
      </c>
    </row>
    <row r="4303" spans="1:8" ht="15" hidden="1" customHeight="1" thickTop="1" x14ac:dyDescent="0.4">
      <c r="A4303" s="6">
        <v>2026</v>
      </c>
      <c r="B4303" s="6">
        <f t="shared" si="549"/>
        <v>44</v>
      </c>
      <c r="C4303" s="13" t="s">
        <v>25</v>
      </c>
      <c r="D4303" s="2" t="s">
        <v>6</v>
      </c>
      <c r="E4303" s="14" t="s">
        <v>7</v>
      </c>
      <c r="F4303" s="22">
        <f t="shared" ref="F4303:F4308" si="554">F4204</f>
        <v>3</v>
      </c>
      <c r="H4303" s="5" t="str">
        <f ca="1">_xlfn.FORMULATEXT(표1[[#This Row],[Q''ty]])</f>
        <v>=F4204</v>
      </c>
    </row>
    <row r="4304" spans="1:8" ht="15" hidden="1" customHeight="1" x14ac:dyDescent="0.4">
      <c r="A4304" s="6">
        <v>2026</v>
      </c>
      <c r="B4304" s="6">
        <f t="shared" si="549"/>
        <v>44</v>
      </c>
      <c r="C4304" s="13" t="s">
        <v>25</v>
      </c>
      <c r="D4304" s="2" t="s">
        <v>6</v>
      </c>
      <c r="E4304" s="14" t="s">
        <v>8</v>
      </c>
      <c r="F4304" s="22">
        <f t="shared" si="554"/>
        <v>3</v>
      </c>
      <c r="H4304" s="5" t="str">
        <f ca="1">_xlfn.FORMULATEXT(표1[[#This Row],[Q''ty]])</f>
        <v>=F4205</v>
      </c>
    </row>
    <row r="4305" spans="1:8" ht="15" hidden="1" customHeight="1" x14ac:dyDescent="0.4">
      <c r="A4305" s="6">
        <v>2026</v>
      </c>
      <c r="B4305" s="6">
        <f t="shared" si="549"/>
        <v>44</v>
      </c>
      <c r="C4305" s="13" t="s">
        <v>25</v>
      </c>
      <c r="D4305" s="2" t="s">
        <v>6</v>
      </c>
      <c r="E4305" s="14" t="s">
        <v>9</v>
      </c>
      <c r="F4305" s="22">
        <f t="shared" si="554"/>
        <v>2</v>
      </c>
      <c r="H4305" s="5" t="str">
        <f ca="1">_xlfn.FORMULATEXT(표1[[#This Row],[Q''ty]])</f>
        <v>=F4206</v>
      </c>
    </row>
    <row r="4306" spans="1:8" ht="15" hidden="1" customHeight="1" x14ac:dyDescent="0.4">
      <c r="A4306" s="6">
        <v>2026</v>
      </c>
      <c r="B4306" s="6">
        <f t="shared" si="549"/>
        <v>44</v>
      </c>
      <c r="C4306" s="13" t="s">
        <v>25</v>
      </c>
      <c r="D4306" s="2" t="s">
        <v>6</v>
      </c>
      <c r="E4306" s="14" t="s">
        <v>27</v>
      </c>
      <c r="F4306" s="22">
        <f t="shared" si="554"/>
        <v>2</v>
      </c>
      <c r="H4306" s="5" t="str">
        <f ca="1">_xlfn.FORMULATEXT(표1[[#This Row],[Q''ty]])</f>
        <v>=F4207</v>
      </c>
    </row>
    <row r="4307" spans="1:8" ht="15" hidden="1" customHeight="1" x14ac:dyDescent="0.4">
      <c r="A4307" s="6">
        <v>2026</v>
      </c>
      <c r="B4307" s="6">
        <f t="shared" si="549"/>
        <v>44</v>
      </c>
      <c r="C4307" s="13" t="s">
        <v>25</v>
      </c>
      <c r="D4307" s="2" t="s">
        <v>6</v>
      </c>
      <c r="E4307" s="14" t="s">
        <v>10</v>
      </c>
      <c r="F4307" s="22">
        <f t="shared" si="554"/>
        <v>3</v>
      </c>
      <c r="H4307" s="5" t="str">
        <f ca="1">_xlfn.FORMULATEXT(표1[[#This Row],[Q''ty]])</f>
        <v>=F4208</v>
      </c>
    </row>
    <row r="4308" spans="1:8" ht="15" hidden="1" customHeight="1" x14ac:dyDescent="0.4">
      <c r="A4308" s="6">
        <v>2026</v>
      </c>
      <c r="B4308" s="6">
        <f t="shared" si="549"/>
        <v>44</v>
      </c>
      <c r="C4308" s="13" t="s">
        <v>25</v>
      </c>
      <c r="D4308" s="2" t="s">
        <v>6</v>
      </c>
      <c r="E4308" s="14" t="s">
        <v>11</v>
      </c>
      <c r="F4308" s="22">
        <f t="shared" si="554"/>
        <v>4</v>
      </c>
      <c r="H4308" s="5" t="str">
        <f ca="1">_xlfn.FORMULATEXT(표1[[#This Row],[Q''ty]])</f>
        <v>=F4209</v>
      </c>
    </row>
    <row r="4309" spans="1:8" ht="15" hidden="1" customHeight="1" x14ac:dyDescent="0.4">
      <c r="A4309" s="6">
        <v>2026</v>
      </c>
      <c r="B4309" s="6">
        <f t="shared" si="549"/>
        <v>44</v>
      </c>
      <c r="C4309" s="13" t="s">
        <v>25</v>
      </c>
      <c r="D4309" s="2" t="s">
        <v>12</v>
      </c>
      <c r="E4309" s="14" t="s">
        <v>13</v>
      </c>
      <c r="F4309" s="22"/>
      <c r="H4309" s="5" t="e">
        <f ca="1">_xlfn.FORMULATEXT(표1[[#This Row],[Q''ty]])</f>
        <v>#N/A</v>
      </c>
    </row>
    <row r="4310" spans="1:8" ht="15" hidden="1" customHeight="1" x14ac:dyDescent="0.4">
      <c r="A4310" s="6">
        <v>2026</v>
      </c>
      <c r="B4310" s="6">
        <f t="shared" si="549"/>
        <v>44</v>
      </c>
      <c r="C4310" s="13" t="s">
        <v>25</v>
      </c>
      <c r="D4310" s="2" t="s">
        <v>12</v>
      </c>
      <c r="E4310" s="14" t="s">
        <v>14</v>
      </c>
      <c r="F4310" s="22"/>
      <c r="H4310" s="5" t="e">
        <f ca="1">_xlfn.FORMULATEXT(표1[[#This Row],[Q''ty]])</f>
        <v>#N/A</v>
      </c>
    </row>
    <row r="4311" spans="1:8" ht="15" hidden="1" customHeight="1" x14ac:dyDescent="0.4">
      <c r="A4311" s="6">
        <v>2026</v>
      </c>
      <c r="B4311" s="6">
        <f t="shared" si="549"/>
        <v>44</v>
      </c>
      <c r="C4311" s="13" t="s">
        <v>25</v>
      </c>
      <c r="D4311" s="2" t="s">
        <v>12</v>
      </c>
      <c r="E4311" s="14" t="s">
        <v>15</v>
      </c>
      <c r="F4311" s="22"/>
      <c r="H4311" s="5" t="e">
        <f ca="1">_xlfn.FORMULATEXT(표1[[#This Row],[Q''ty]])</f>
        <v>#N/A</v>
      </c>
    </row>
    <row r="4312" spans="1:8" ht="15" hidden="1" customHeight="1" x14ac:dyDescent="0.4">
      <c r="A4312" s="6">
        <v>2026</v>
      </c>
      <c r="B4312" s="6">
        <f t="shared" si="549"/>
        <v>44</v>
      </c>
      <c r="C4312" s="13" t="s">
        <v>25</v>
      </c>
      <c r="D4312" s="2" t="s">
        <v>12</v>
      </c>
      <c r="E4312" s="14" t="s">
        <v>16</v>
      </c>
      <c r="F4312" s="22"/>
      <c r="H4312" s="5" t="e">
        <f ca="1">_xlfn.FORMULATEXT(표1[[#This Row],[Q''ty]])</f>
        <v>#N/A</v>
      </c>
    </row>
    <row r="4313" spans="1:8" ht="15" hidden="1" customHeight="1" thickBot="1" x14ac:dyDescent="0.45">
      <c r="A4313" s="15">
        <v>2026</v>
      </c>
      <c r="B4313" s="15">
        <f t="shared" si="549"/>
        <v>44</v>
      </c>
      <c r="C4313" s="16" t="s">
        <v>25</v>
      </c>
      <c r="D4313" s="17" t="s">
        <v>12</v>
      </c>
      <c r="E4313" s="18" t="s">
        <v>17</v>
      </c>
      <c r="F4313" s="23"/>
      <c r="H4313" s="5" t="e">
        <f ca="1">_xlfn.FORMULATEXT(표1[[#This Row],[Q''ty]])</f>
        <v>#N/A</v>
      </c>
    </row>
    <row r="4314" spans="1:8" ht="15" hidden="1" customHeight="1" thickTop="1" x14ac:dyDescent="0.4">
      <c r="A4314" s="6">
        <v>2026</v>
      </c>
      <c r="B4314" s="6">
        <f t="shared" si="549"/>
        <v>44</v>
      </c>
      <c r="C4314" s="13" t="s">
        <v>26</v>
      </c>
      <c r="D4314" s="2" t="s">
        <v>6</v>
      </c>
      <c r="E4314" s="14" t="s">
        <v>7</v>
      </c>
      <c r="F4314" s="22">
        <f t="shared" ref="F4314:F4319" si="555">F4215</f>
        <v>6</v>
      </c>
      <c r="H4314" s="5" t="str">
        <f ca="1">_xlfn.FORMULATEXT(표1[[#This Row],[Q''ty]])</f>
        <v>=F4215</v>
      </c>
    </row>
    <row r="4315" spans="1:8" ht="15" hidden="1" customHeight="1" x14ac:dyDescent="0.4">
      <c r="A4315" s="6">
        <v>2026</v>
      </c>
      <c r="B4315" s="6">
        <f t="shared" si="549"/>
        <v>44</v>
      </c>
      <c r="C4315" s="13" t="s">
        <v>26</v>
      </c>
      <c r="D4315" s="2" t="s">
        <v>6</v>
      </c>
      <c r="E4315" s="14" t="s">
        <v>8</v>
      </c>
      <c r="F4315" s="22">
        <f t="shared" si="555"/>
        <v>4</v>
      </c>
      <c r="H4315" s="5" t="str">
        <f ca="1">_xlfn.FORMULATEXT(표1[[#This Row],[Q''ty]])</f>
        <v>=F4216</v>
      </c>
    </row>
    <row r="4316" spans="1:8" ht="15" hidden="1" customHeight="1" x14ac:dyDescent="0.4">
      <c r="A4316" s="6">
        <v>2026</v>
      </c>
      <c r="B4316" s="6">
        <f t="shared" si="549"/>
        <v>44</v>
      </c>
      <c r="C4316" s="13" t="s">
        <v>26</v>
      </c>
      <c r="D4316" s="2" t="s">
        <v>6</v>
      </c>
      <c r="E4316" s="14" t="s">
        <v>9</v>
      </c>
      <c r="F4316" s="22">
        <f t="shared" si="555"/>
        <v>2</v>
      </c>
      <c r="H4316" s="5" t="str">
        <f ca="1">_xlfn.FORMULATEXT(표1[[#This Row],[Q''ty]])</f>
        <v>=F4217</v>
      </c>
    </row>
    <row r="4317" spans="1:8" ht="15" hidden="1" customHeight="1" x14ac:dyDescent="0.4">
      <c r="A4317" s="6">
        <v>2026</v>
      </c>
      <c r="B4317" s="6">
        <f t="shared" si="549"/>
        <v>44</v>
      </c>
      <c r="C4317" s="13" t="s">
        <v>26</v>
      </c>
      <c r="D4317" s="2" t="s">
        <v>6</v>
      </c>
      <c r="E4317" s="14" t="s">
        <v>27</v>
      </c>
      <c r="F4317" s="22">
        <f t="shared" si="555"/>
        <v>3</v>
      </c>
      <c r="H4317" s="5" t="str">
        <f ca="1">_xlfn.FORMULATEXT(표1[[#This Row],[Q''ty]])</f>
        <v>=F4218</v>
      </c>
    </row>
    <row r="4318" spans="1:8" ht="15" hidden="1" customHeight="1" x14ac:dyDescent="0.4">
      <c r="A4318" s="6">
        <v>2026</v>
      </c>
      <c r="B4318" s="6">
        <f t="shared" si="549"/>
        <v>44</v>
      </c>
      <c r="C4318" s="13" t="s">
        <v>26</v>
      </c>
      <c r="D4318" s="2" t="s">
        <v>6</v>
      </c>
      <c r="E4318" s="14" t="s">
        <v>10</v>
      </c>
      <c r="F4318" s="22">
        <f t="shared" si="555"/>
        <v>4</v>
      </c>
      <c r="H4318" s="5" t="str">
        <f ca="1">_xlfn.FORMULATEXT(표1[[#This Row],[Q''ty]])</f>
        <v>=F4219</v>
      </c>
    </row>
    <row r="4319" spans="1:8" ht="15" hidden="1" customHeight="1" x14ac:dyDescent="0.4">
      <c r="A4319" s="6">
        <v>2026</v>
      </c>
      <c r="B4319" s="6">
        <f t="shared" si="549"/>
        <v>44</v>
      </c>
      <c r="C4319" s="13" t="s">
        <v>26</v>
      </c>
      <c r="D4319" s="2" t="s">
        <v>6</v>
      </c>
      <c r="E4319" s="14" t="s">
        <v>11</v>
      </c>
      <c r="F4319" s="22">
        <f t="shared" si="555"/>
        <v>6</v>
      </c>
      <c r="H4319" s="5" t="str">
        <f ca="1">_xlfn.FORMULATEXT(표1[[#This Row],[Q''ty]])</f>
        <v>=F4220</v>
      </c>
    </row>
    <row r="4320" spans="1:8" ht="15" hidden="1" customHeight="1" x14ac:dyDescent="0.4">
      <c r="A4320" s="6">
        <v>2026</v>
      </c>
      <c r="B4320" s="6">
        <f t="shared" si="549"/>
        <v>44</v>
      </c>
      <c r="C4320" s="13" t="s">
        <v>26</v>
      </c>
      <c r="D4320" s="2" t="s">
        <v>12</v>
      </c>
      <c r="E4320" s="14" t="str">
        <f t="shared" ref="E4320:E4357" si="556">E4221</f>
        <v>BT GT</v>
      </c>
      <c r="F4320" s="22"/>
      <c r="H4320" s="5" t="e">
        <f ca="1">_xlfn.FORMULATEXT(표1[[#This Row],[Q''ty]])</f>
        <v>#N/A</v>
      </c>
    </row>
    <row r="4321" spans="1:8" ht="15" hidden="1" customHeight="1" x14ac:dyDescent="0.4">
      <c r="A4321" s="6">
        <v>2026</v>
      </c>
      <c r="B4321" s="6">
        <f t="shared" si="549"/>
        <v>44</v>
      </c>
      <c r="C4321" s="13" t="s">
        <v>26</v>
      </c>
      <c r="D4321" s="2" t="s">
        <v>12</v>
      </c>
      <c r="E4321" s="14" t="str">
        <f t="shared" si="556"/>
        <v>WT GT</v>
      </c>
      <c r="F4321" s="22"/>
      <c r="H4321" s="5" t="e">
        <f ca="1">_xlfn.FORMULATEXT(표1[[#This Row],[Q''ty]])</f>
        <v>#N/A</v>
      </c>
    </row>
    <row r="4322" spans="1:8" ht="15" hidden="1" customHeight="1" x14ac:dyDescent="0.4">
      <c r="A4322" s="6">
        <v>2026</v>
      </c>
      <c r="B4322" s="6">
        <f t="shared" si="549"/>
        <v>44</v>
      </c>
      <c r="C4322" s="13" t="s">
        <v>26</v>
      </c>
      <c r="D4322" s="2" t="s">
        <v>12</v>
      </c>
      <c r="E4322" s="14" t="str">
        <f t="shared" si="556"/>
        <v>Bending</v>
      </c>
      <c r="F4322" s="22"/>
      <c r="H4322" s="5" t="e">
        <f ca="1">_xlfn.FORMULATEXT(표1[[#This Row],[Q''ty]])</f>
        <v>#N/A</v>
      </c>
    </row>
    <row r="4323" spans="1:8" ht="15" hidden="1" customHeight="1" x14ac:dyDescent="0.4">
      <c r="A4323" s="6">
        <v>2026</v>
      </c>
      <c r="B4323" s="6">
        <f t="shared" si="549"/>
        <v>44</v>
      </c>
      <c r="C4323" s="13" t="s">
        <v>26</v>
      </c>
      <c r="D4323" s="2" t="s">
        <v>12</v>
      </c>
      <c r="E4323" s="14" t="str">
        <f t="shared" si="556"/>
        <v>L/W</v>
      </c>
      <c r="F4323" s="22"/>
      <c r="H4323" s="5" t="e">
        <f ca="1">_xlfn.FORMULATEXT(표1[[#This Row],[Q''ty]])</f>
        <v>#N/A</v>
      </c>
    </row>
    <row r="4324" spans="1:8" ht="15" hidden="1" customHeight="1" thickBot="1" x14ac:dyDescent="0.45">
      <c r="A4324" s="15">
        <v>2026</v>
      </c>
      <c r="B4324" s="15">
        <f t="shared" ref="B4324:B4357" si="557">B4225+1</f>
        <v>44</v>
      </c>
      <c r="C4324" s="16" t="s">
        <v>26</v>
      </c>
      <c r="D4324" s="17" t="s">
        <v>12</v>
      </c>
      <c r="E4324" s="18" t="str">
        <f t="shared" si="556"/>
        <v>C/W</v>
      </c>
      <c r="F4324" s="23"/>
      <c r="H4324" s="5" t="e">
        <f ca="1">_xlfn.FORMULATEXT(표1[[#This Row],[Q''ty]])</f>
        <v>#N/A</v>
      </c>
    </row>
    <row r="4325" spans="1:8" ht="15" hidden="1" customHeight="1" thickTop="1" x14ac:dyDescent="0.4">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hidden="1" customHeight="1" x14ac:dyDescent="0.4">
      <c r="A4326" s="6">
        <v>2026</v>
      </c>
      <c r="B4326" s="6">
        <f t="shared" si="557"/>
        <v>44</v>
      </c>
      <c r="C4326" s="13" t="s">
        <v>20</v>
      </c>
      <c r="D4326" s="2" t="s">
        <v>6</v>
      </c>
      <c r="E4326" s="14" t="str">
        <f t="shared" si="556"/>
        <v>Paint Booth</v>
      </c>
      <c r="F4326" s="22">
        <f t="shared" si="558"/>
        <v>16</v>
      </c>
      <c r="H4326" s="5" t="str">
        <f ca="1">_xlfn.FORMULATEXT(표1[[#This Row],[Q''ty]])</f>
        <v>=F4227</v>
      </c>
    </row>
    <row r="4327" spans="1:8" ht="15" hidden="1" customHeight="1" x14ac:dyDescent="0.4">
      <c r="A4327" s="6">
        <v>2026</v>
      </c>
      <c r="B4327" s="6">
        <f t="shared" si="557"/>
        <v>44</v>
      </c>
      <c r="C4327" s="13" t="s">
        <v>20</v>
      </c>
      <c r="D4327" s="2" t="s">
        <v>6</v>
      </c>
      <c r="E4327" s="14" t="str">
        <f t="shared" si="556"/>
        <v>Paint Line</v>
      </c>
      <c r="F4327" s="22">
        <f t="shared" si="558"/>
        <v>8</v>
      </c>
      <c r="H4327" s="5" t="str">
        <f ca="1">_xlfn.FORMULATEXT(표1[[#This Row],[Q''ty]])</f>
        <v>=F4228</v>
      </c>
    </row>
    <row r="4328" spans="1:8" ht="15" hidden="1" customHeight="1" x14ac:dyDescent="0.4">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hidden="1" customHeight="1" x14ac:dyDescent="0.4">
      <c r="A4329" s="6">
        <v>2026</v>
      </c>
      <c r="B4329" s="6">
        <f t="shared" si="557"/>
        <v>44</v>
      </c>
      <c r="C4329" s="13" t="s">
        <v>20</v>
      </c>
      <c r="D4329" s="2" t="s">
        <v>6</v>
      </c>
      <c r="E4329" s="14" t="str">
        <f t="shared" si="556"/>
        <v>L/W Machine</v>
      </c>
      <c r="F4329" s="22">
        <f t="shared" si="558"/>
        <v>11</v>
      </c>
      <c r="H4329" s="5" t="str">
        <f ca="1">_xlfn.FORMULATEXT(표1[[#This Row],[Q''ty]])</f>
        <v>=F4230</v>
      </c>
    </row>
    <row r="4330" spans="1:8" ht="15" hidden="1" customHeight="1" x14ac:dyDescent="0.4">
      <c r="A4330" s="6">
        <v>2026</v>
      </c>
      <c r="B4330" s="6">
        <f t="shared" si="557"/>
        <v>44</v>
      </c>
      <c r="C4330" s="13" t="s">
        <v>20</v>
      </c>
      <c r="D4330" s="2" t="s">
        <v>6</v>
      </c>
      <c r="E4330" s="14" t="str">
        <f t="shared" si="556"/>
        <v>C/W Machine</v>
      </c>
      <c r="F4330" s="22">
        <f t="shared" si="558"/>
        <v>15</v>
      </c>
      <c r="H4330" s="5" t="str">
        <f ca="1">_xlfn.FORMULATEXT(표1[[#This Row],[Q''ty]])</f>
        <v>=F4231</v>
      </c>
    </row>
    <row r="4331" spans="1:8" ht="15" hidden="1" customHeight="1" x14ac:dyDescent="0.4">
      <c r="A4331" s="6">
        <v>2026</v>
      </c>
      <c r="B4331" s="6">
        <f t="shared" si="557"/>
        <v>44</v>
      </c>
      <c r="C4331" s="13" t="s">
        <v>20</v>
      </c>
      <c r="D4331" s="2" t="s">
        <v>12</v>
      </c>
      <c r="E4331" s="14" t="str">
        <f t="shared" si="556"/>
        <v>BT GT</v>
      </c>
      <c r="F4331" s="22"/>
      <c r="H4331" s="5" t="e">
        <f ca="1">_xlfn.FORMULATEXT(표1[[#This Row],[Q''ty]])</f>
        <v>#N/A</v>
      </c>
    </row>
    <row r="4332" spans="1:8" ht="15" hidden="1" customHeight="1" x14ac:dyDescent="0.4">
      <c r="A4332" s="6">
        <v>2026</v>
      </c>
      <c r="B4332" s="6">
        <f t="shared" si="557"/>
        <v>44</v>
      </c>
      <c r="C4332" s="13" t="s">
        <v>20</v>
      </c>
      <c r="D4332" s="2" t="s">
        <v>12</v>
      </c>
      <c r="E4332" s="14" t="str">
        <f t="shared" si="556"/>
        <v>WT GT</v>
      </c>
      <c r="F4332" s="22"/>
      <c r="H4332" s="5" t="e">
        <f ca="1">_xlfn.FORMULATEXT(표1[[#This Row],[Q''ty]])</f>
        <v>#N/A</v>
      </c>
    </row>
    <row r="4333" spans="1:8" ht="15" hidden="1" customHeight="1" x14ac:dyDescent="0.4">
      <c r="A4333" s="6">
        <v>2026</v>
      </c>
      <c r="B4333" s="6">
        <f t="shared" si="557"/>
        <v>44</v>
      </c>
      <c r="C4333" s="13" t="s">
        <v>20</v>
      </c>
      <c r="D4333" s="2" t="s">
        <v>12</v>
      </c>
      <c r="E4333" s="14" t="str">
        <f t="shared" si="556"/>
        <v>Bending</v>
      </c>
      <c r="F4333" s="22"/>
      <c r="H4333" s="5" t="e">
        <f ca="1">_xlfn.FORMULATEXT(표1[[#This Row],[Q''ty]])</f>
        <v>#N/A</v>
      </c>
    </row>
    <row r="4334" spans="1:8" ht="15" hidden="1" customHeight="1" x14ac:dyDescent="0.4">
      <c r="A4334" s="6">
        <v>2026</v>
      </c>
      <c r="B4334" s="6">
        <f t="shared" si="557"/>
        <v>44</v>
      </c>
      <c r="C4334" s="13" t="s">
        <v>20</v>
      </c>
      <c r="D4334" s="2" t="s">
        <v>12</v>
      </c>
      <c r="E4334" s="14" t="str">
        <f t="shared" si="556"/>
        <v>L/W</v>
      </c>
      <c r="F4334" s="22"/>
      <c r="H4334" s="5" t="e">
        <f ca="1">_xlfn.FORMULATEXT(표1[[#This Row],[Q''ty]])</f>
        <v>#N/A</v>
      </c>
    </row>
    <row r="4335" spans="1:8" ht="15" hidden="1" customHeight="1" thickBot="1" x14ac:dyDescent="0.45">
      <c r="A4335" s="15">
        <v>2026</v>
      </c>
      <c r="B4335" s="15">
        <f t="shared" si="557"/>
        <v>44</v>
      </c>
      <c r="C4335" s="16" t="s">
        <v>20</v>
      </c>
      <c r="D4335" s="17" t="s">
        <v>12</v>
      </c>
      <c r="E4335" s="18" t="str">
        <f t="shared" si="556"/>
        <v>C/W</v>
      </c>
      <c r="F4335" s="23"/>
      <c r="H4335" s="5" t="e">
        <f ca="1">_xlfn.FORMULATEXT(표1[[#This Row],[Q''ty]])</f>
        <v>#N/A</v>
      </c>
    </row>
    <row r="4336" spans="1:8" ht="15" hidden="1" customHeight="1" thickTop="1" x14ac:dyDescent="0.4">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hidden="1" customHeight="1" x14ac:dyDescent="0.4">
      <c r="A4337" s="6">
        <v>2026</v>
      </c>
      <c r="B4337" s="6">
        <f t="shared" si="557"/>
        <v>44</v>
      </c>
      <c r="C4337" s="13" t="s">
        <v>21</v>
      </c>
      <c r="D4337" s="2" t="s">
        <v>6</v>
      </c>
      <c r="E4337" s="14" t="str">
        <f t="shared" si="556"/>
        <v>Paint Booth</v>
      </c>
      <c r="F4337" s="22">
        <f t="shared" si="559"/>
        <v>4</v>
      </c>
      <c r="H4337" s="5" t="str">
        <f ca="1">_xlfn.FORMULATEXT(표1[[#This Row],[Q''ty]])</f>
        <v>=F4238</v>
      </c>
    </row>
    <row r="4338" spans="1:8" ht="15" hidden="1" customHeight="1" x14ac:dyDescent="0.4">
      <c r="A4338" s="6">
        <v>2026</v>
      </c>
      <c r="B4338" s="6">
        <f t="shared" si="557"/>
        <v>44</v>
      </c>
      <c r="C4338" s="13" t="s">
        <v>21</v>
      </c>
      <c r="D4338" s="2" t="s">
        <v>6</v>
      </c>
      <c r="E4338" s="14" t="str">
        <f t="shared" si="556"/>
        <v>Paint Line</v>
      </c>
      <c r="F4338" s="22">
        <f t="shared" si="559"/>
        <v>4</v>
      </c>
      <c r="H4338" s="5" t="str">
        <f ca="1">_xlfn.FORMULATEXT(표1[[#This Row],[Q''ty]])</f>
        <v>=F4239</v>
      </c>
    </row>
    <row r="4339" spans="1:8" ht="15" hidden="1" customHeight="1" x14ac:dyDescent="0.4">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hidden="1" customHeight="1" x14ac:dyDescent="0.4">
      <c r="A4340" s="6">
        <v>2026</v>
      </c>
      <c r="B4340" s="6">
        <f t="shared" si="557"/>
        <v>44</v>
      </c>
      <c r="C4340" s="13" t="s">
        <v>21</v>
      </c>
      <c r="D4340" s="2" t="s">
        <v>6</v>
      </c>
      <c r="E4340" s="14" t="str">
        <f t="shared" si="556"/>
        <v>L/W Machine</v>
      </c>
      <c r="F4340" s="22">
        <f t="shared" si="559"/>
        <v>4</v>
      </c>
      <c r="H4340" s="5" t="str">
        <f ca="1">_xlfn.FORMULATEXT(표1[[#This Row],[Q''ty]])</f>
        <v>=F4241</v>
      </c>
    </row>
    <row r="4341" spans="1:8" ht="15" hidden="1" customHeight="1" x14ac:dyDescent="0.4">
      <c r="A4341" s="6">
        <v>2026</v>
      </c>
      <c r="B4341" s="6">
        <f t="shared" si="557"/>
        <v>44</v>
      </c>
      <c r="C4341" s="13" t="s">
        <v>21</v>
      </c>
      <c r="D4341" s="2" t="s">
        <v>6</v>
      </c>
      <c r="E4341" s="14" t="str">
        <f t="shared" si="556"/>
        <v>C/W Machine</v>
      </c>
      <c r="F4341" s="22">
        <f t="shared" si="559"/>
        <v>6.5</v>
      </c>
      <c r="H4341" s="5" t="str">
        <f ca="1">_xlfn.FORMULATEXT(표1[[#This Row],[Q''ty]])</f>
        <v>=F4242</v>
      </c>
    </row>
    <row r="4342" spans="1:8" ht="15" hidden="1" customHeight="1" x14ac:dyDescent="0.4">
      <c r="A4342" s="6">
        <v>2026</v>
      </c>
      <c r="B4342" s="6">
        <f t="shared" si="557"/>
        <v>44</v>
      </c>
      <c r="C4342" s="13" t="s">
        <v>21</v>
      </c>
      <c r="D4342" s="2" t="s">
        <v>12</v>
      </c>
      <c r="E4342" s="14" t="str">
        <f t="shared" si="556"/>
        <v>BT GT</v>
      </c>
      <c r="F4342" s="22"/>
      <c r="H4342" s="5" t="e">
        <f ca="1">_xlfn.FORMULATEXT(표1[[#This Row],[Q''ty]])</f>
        <v>#N/A</v>
      </c>
    </row>
    <row r="4343" spans="1:8" ht="15" hidden="1" customHeight="1" x14ac:dyDescent="0.4">
      <c r="A4343" s="6">
        <v>2026</v>
      </c>
      <c r="B4343" s="6">
        <f t="shared" si="557"/>
        <v>44</v>
      </c>
      <c r="C4343" s="13" t="s">
        <v>21</v>
      </c>
      <c r="D4343" s="2" t="s">
        <v>12</v>
      </c>
      <c r="E4343" s="14" t="str">
        <f t="shared" si="556"/>
        <v>WT GT</v>
      </c>
      <c r="F4343" s="22"/>
      <c r="H4343" s="5" t="e">
        <f ca="1">_xlfn.FORMULATEXT(표1[[#This Row],[Q''ty]])</f>
        <v>#N/A</v>
      </c>
    </row>
    <row r="4344" spans="1:8" ht="15" hidden="1" customHeight="1" x14ac:dyDescent="0.4">
      <c r="A4344" s="6">
        <v>2026</v>
      </c>
      <c r="B4344" s="6">
        <f t="shared" si="557"/>
        <v>44</v>
      </c>
      <c r="C4344" s="13" t="s">
        <v>21</v>
      </c>
      <c r="D4344" s="2" t="s">
        <v>12</v>
      </c>
      <c r="E4344" s="14" t="str">
        <f t="shared" si="556"/>
        <v>Bending</v>
      </c>
      <c r="F4344" s="22"/>
      <c r="H4344" s="5" t="e">
        <f ca="1">_xlfn.FORMULATEXT(표1[[#This Row],[Q''ty]])</f>
        <v>#N/A</v>
      </c>
    </row>
    <row r="4345" spans="1:8" ht="15" hidden="1" customHeight="1" x14ac:dyDescent="0.4">
      <c r="A4345" s="6">
        <v>2026</v>
      </c>
      <c r="B4345" s="6">
        <f t="shared" si="557"/>
        <v>44</v>
      </c>
      <c r="C4345" s="13" t="s">
        <v>21</v>
      </c>
      <c r="D4345" s="2" t="s">
        <v>12</v>
      </c>
      <c r="E4345" s="14" t="str">
        <f t="shared" si="556"/>
        <v>L/W</v>
      </c>
      <c r="F4345" s="22"/>
      <c r="H4345" s="5" t="e">
        <f ca="1">_xlfn.FORMULATEXT(표1[[#This Row],[Q''ty]])</f>
        <v>#N/A</v>
      </c>
    </row>
    <row r="4346" spans="1:8" ht="15" hidden="1" customHeight="1" thickBot="1" x14ac:dyDescent="0.45">
      <c r="A4346" s="15">
        <v>2026</v>
      </c>
      <c r="B4346" s="15">
        <f t="shared" si="557"/>
        <v>44</v>
      </c>
      <c r="C4346" s="16" t="s">
        <v>21</v>
      </c>
      <c r="D4346" s="17" t="s">
        <v>12</v>
      </c>
      <c r="E4346" s="18" t="str">
        <f t="shared" si="556"/>
        <v>C/W</v>
      </c>
      <c r="F4346" s="23"/>
      <c r="H4346" s="5" t="e">
        <f ca="1">_xlfn.FORMULATEXT(표1[[#This Row],[Q''ty]])</f>
        <v>#N/A</v>
      </c>
    </row>
    <row r="4347" spans="1:8" ht="15" hidden="1" customHeight="1" thickTop="1" x14ac:dyDescent="0.4">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hidden="1" customHeight="1" x14ac:dyDescent="0.4">
      <c r="A4348" s="6">
        <v>2026</v>
      </c>
      <c r="B4348" s="6">
        <f t="shared" si="557"/>
        <v>44</v>
      </c>
      <c r="C4348" s="13" t="s">
        <v>22</v>
      </c>
      <c r="D4348" s="2" t="s">
        <v>6</v>
      </c>
      <c r="E4348" s="14" t="str">
        <f t="shared" si="556"/>
        <v>Paint Booth</v>
      </c>
      <c r="F4348" s="22">
        <f t="shared" si="560"/>
        <v>6</v>
      </c>
      <c r="H4348" s="5" t="str">
        <f ca="1">_xlfn.FORMULATEXT(표1[[#This Row],[Q''ty]])</f>
        <v>=F4249</v>
      </c>
    </row>
    <row r="4349" spans="1:8" ht="15" hidden="1" customHeight="1" x14ac:dyDescent="0.4">
      <c r="A4349" s="6">
        <v>2026</v>
      </c>
      <c r="B4349" s="6">
        <f t="shared" si="557"/>
        <v>44</v>
      </c>
      <c r="C4349" s="13" t="s">
        <v>22</v>
      </c>
      <c r="D4349" s="2" t="s">
        <v>6</v>
      </c>
      <c r="E4349" s="14" t="str">
        <f t="shared" si="556"/>
        <v>Paint Line</v>
      </c>
      <c r="F4349" s="22">
        <f t="shared" si="560"/>
        <v>4</v>
      </c>
      <c r="H4349" s="5" t="str">
        <f ca="1">_xlfn.FORMULATEXT(표1[[#This Row],[Q''ty]])</f>
        <v>=F4250</v>
      </c>
    </row>
    <row r="4350" spans="1:8" ht="15" hidden="1" customHeight="1" x14ac:dyDescent="0.4">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hidden="1" customHeight="1" x14ac:dyDescent="0.4">
      <c r="A4351" s="6">
        <v>2026</v>
      </c>
      <c r="B4351" s="6">
        <f t="shared" si="557"/>
        <v>44</v>
      </c>
      <c r="C4351" s="13" t="s">
        <v>22</v>
      </c>
      <c r="D4351" s="2" t="s">
        <v>6</v>
      </c>
      <c r="E4351" s="14" t="str">
        <f t="shared" si="556"/>
        <v>L/W Machine</v>
      </c>
      <c r="F4351" s="22">
        <f t="shared" si="560"/>
        <v>7</v>
      </c>
      <c r="H4351" s="5" t="str">
        <f ca="1">_xlfn.FORMULATEXT(표1[[#This Row],[Q''ty]])</f>
        <v>=F4252</v>
      </c>
    </row>
    <row r="4352" spans="1:8" ht="15" hidden="1" customHeight="1" x14ac:dyDescent="0.4">
      <c r="A4352" s="6">
        <v>2026</v>
      </c>
      <c r="B4352" s="6">
        <f t="shared" si="557"/>
        <v>44</v>
      </c>
      <c r="C4352" s="13" t="s">
        <v>22</v>
      </c>
      <c r="D4352" s="2" t="s">
        <v>6</v>
      </c>
      <c r="E4352" s="14" t="str">
        <f t="shared" si="556"/>
        <v>C/W Machine</v>
      </c>
      <c r="F4352" s="22">
        <f t="shared" si="560"/>
        <v>12.5</v>
      </c>
      <c r="H4352" s="5" t="str">
        <f ca="1">_xlfn.FORMULATEXT(표1[[#This Row],[Q''ty]])</f>
        <v>=F4253</v>
      </c>
    </row>
    <row r="4353" spans="1:10" ht="15" hidden="1" customHeight="1" x14ac:dyDescent="0.4">
      <c r="A4353" s="6">
        <v>2026</v>
      </c>
      <c r="B4353" s="6">
        <f t="shared" si="557"/>
        <v>44</v>
      </c>
      <c r="C4353" s="13" t="s">
        <v>22</v>
      </c>
      <c r="D4353" s="2" t="s">
        <v>12</v>
      </c>
      <c r="E4353" s="14" t="str">
        <f t="shared" si="556"/>
        <v>BT GT</v>
      </c>
      <c r="F4353" s="22"/>
      <c r="H4353" s="5" t="e">
        <f ca="1">_xlfn.FORMULATEXT(표1[[#This Row],[Q''ty]])</f>
        <v>#N/A</v>
      </c>
    </row>
    <row r="4354" spans="1:10" ht="15" hidden="1" customHeight="1" x14ac:dyDescent="0.4">
      <c r="A4354" s="6">
        <v>2026</v>
      </c>
      <c r="B4354" s="6">
        <f t="shared" si="557"/>
        <v>44</v>
      </c>
      <c r="C4354" s="13" t="s">
        <v>22</v>
      </c>
      <c r="D4354" s="2" t="s">
        <v>12</v>
      </c>
      <c r="E4354" s="14" t="str">
        <f t="shared" si="556"/>
        <v>WT GT</v>
      </c>
      <c r="F4354" s="22"/>
      <c r="H4354" s="5" t="e">
        <f ca="1">_xlfn.FORMULATEXT(표1[[#This Row],[Q''ty]])</f>
        <v>#N/A</v>
      </c>
    </row>
    <row r="4355" spans="1:10" ht="15" hidden="1" customHeight="1" x14ac:dyDescent="0.4">
      <c r="A4355" s="6">
        <v>2026</v>
      </c>
      <c r="B4355" s="6">
        <f t="shared" si="557"/>
        <v>44</v>
      </c>
      <c r="C4355" s="13" t="s">
        <v>22</v>
      </c>
      <c r="D4355" s="2" t="s">
        <v>12</v>
      </c>
      <c r="E4355" s="14" t="str">
        <f t="shared" si="556"/>
        <v>Bending</v>
      </c>
      <c r="F4355" s="22"/>
      <c r="H4355" s="5" t="e">
        <f ca="1">_xlfn.FORMULATEXT(표1[[#This Row],[Q''ty]])</f>
        <v>#N/A</v>
      </c>
    </row>
    <row r="4356" spans="1:10" ht="15" hidden="1" customHeight="1" x14ac:dyDescent="0.4">
      <c r="A4356" s="6">
        <v>2026</v>
      </c>
      <c r="B4356" s="6">
        <f t="shared" si="557"/>
        <v>44</v>
      </c>
      <c r="C4356" s="13" t="s">
        <v>22</v>
      </c>
      <c r="D4356" s="2" t="s">
        <v>12</v>
      </c>
      <c r="E4356" s="14" t="str">
        <f t="shared" si="556"/>
        <v>L/W</v>
      </c>
      <c r="F4356" s="22"/>
      <c r="H4356" s="5" t="e">
        <f ca="1">_xlfn.FORMULATEXT(표1[[#This Row],[Q''ty]])</f>
        <v>#N/A</v>
      </c>
    </row>
    <row r="4357" spans="1:10" ht="15" hidden="1" customHeight="1" thickBot="1" x14ac:dyDescent="0.45">
      <c r="A4357" s="6">
        <v>2026</v>
      </c>
      <c r="B4357" s="6">
        <f t="shared" si="557"/>
        <v>44</v>
      </c>
      <c r="C4357" s="13" t="s">
        <v>22</v>
      </c>
      <c r="D4357" s="2" t="s">
        <v>12</v>
      </c>
      <c r="E4357" s="14" t="str">
        <f t="shared" si="556"/>
        <v>C/W</v>
      </c>
      <c r="F4357" s="22"/>
      <c r="H4357" s="5" t="e">
        <f ca="1">_xlfn.FORMULATEXT(표1[[#This Row],[Q''ty]])</f>
        <v>#N/A</v>
      </c>
    </row>
    <row r="4358" spans="1:10" ht="15" hidden="1" customHeight="1" thickTop="1" x14ac:dyDescent="0.4">
      <c r="A4358" s="9">
        <v>2026</v>
      </c>
      <c r="B4358" s="9">
        <f>B4259+1</f>
        <v>45</v>
      </c>
      <c r="C4358" s="10" t="s">
        <v>28</v>
      </c>
      <c r="D4358" s="11" t="s">
        <v>6</v>
      </c>
      <c r="E4358" s="12" t="s">
        <v>7</v>
      </c>
      <c r="F4358" s="21">
        <f t="shared" ref="F4358:F4363" si="561">F4259</f>
        <v>15</v>
      </c>
      <c r="H4358" s="5" t="str">
        <f ca="1">_xlfn.FORMULATEXT(표1[[#This Row],[Q''ty]])</f>
        <v>=F4259</v>
      </c>
    </row>
    <row r="4359" spans="1:10" s="2" customFormat="1" ht="15" hidden="1" customHeight="1" x14ac:dyDescent="0.4">
      <c r="A4359" s="6">
        <v>2026</v>
      </c>
      <c r="B4359" s="6">
        <f t="shared" ref="B4359:B4422" si="562">B4260+1</f>
        <v>45</v>
      </c>
      <c r="C4359" s="13" t="s">
        <v>23</v>
      </c>
      <c r="D4359" s="2" t="s">
        <v>6</v>
      </c>
      <c r="E4359" s="14" t="s">
        <v>8</v>
      </c>
      <c r="F4359" s="22">
        <f t="shared" si="561"/>
        <v>10</v>
      </c>
      <c r="H4359" s="5" t="str">
        <f ca="1">_xlfn.FORMULATEXT(표1[[#This Row],[Q''ty]])</f>
        <v>=F4260</v>
      </c>
      <c r="I4359" s="26"/>
      <c r="J4359" s="26"/>
    </row>
    <row r="4360" spans="1:10" s="2" customFormat="1" ht="15" hidden="1" customHeight="1" x14ac:dyDescent="0.4">
      <c r="A4360" s="6">
        <v>2026</v>
      </c>
      <c r="B4360" s="6">
        <f t="shared" si="562"/>
        <v>45</v>
      </c>
      <c r="C4360" s="13" t="s">
        <v>23</v>
      </c>
      <c r="D4360" s="2" t="s">
        <v>6</v>
      </c>
      <c r="E4360" s="14" t="s">
        <v>9</v>
      </c>
      <c r="F4360" s="22">
        <f t="shared" si="561"/>
        <v>5</v>
      </c>
      <c r="H4360" s="5" t="str">
        <f ca="1">_xlfn.FORMULATEXT(표1[[#This Row],[Q''ty]])</f>
        <v>=F4261</v>
      </c>
      <c r="I4360" s="26"/>
      <c r="J4360" s="26"/>
    </row>
    <row r="4361" spans="1:10" ht="15" hidden="1" customHeight="1" x14ac:dyDescent="0.4">
      <c r="A4361" s="6">
        <v>2026</v>
      </c>
      <c r="B4361" s="6">
        <f t="shared" si="562"/>
        <v>45</v>
      </c>
      <c r="C4361" s="13" t="s">
        <v>23</v>
      </c>
      <c r="D4361" s="2" t="s">
        <v>6</v>
      </c>
      <c r="E4361" s="14" t="s">
        <v>27</v>
      </c>
      <c r="F4361" s="22">
        <f t="shared" si="561"/>
        <v>6</v>
      </c>
      <c r="H4361" s="5" t="str">
        <f ca="1">_xlfn.FORMULATEXT(표1[[#This Row],[Q''ty]])</f>
        <v>=F4262</v>
      </c>
    </row>
    <row r="4362" spans="1:10" ht="15" hidden="1" customHeight="1" x14ac:dyDescent="0.4">
      <c r="A4362" s="6">
        <v>2026</v>
      </c>
      <c r="B4362" s="6">
        <f t="shared" si="562"/>
        <v>45</v>
      </c>
      <c r="C4362" s="13" t="s">
        <v>23</v>
      </c>
      <c r="D4362" s="2" t="s">
        <v>6</v>
      </c>
      <c r="E4362" s="14" t="s">
        <v>10</v>
      </c>
      <c r="F4362" s="22">
        <f t="shared" si="561"/>
        <v>10</v>
      </c>
      <c r="H4362" s="5" t="str">
        <f ca="1">_xlfn.FORMULATEXT(표1[[#This Row],[Q''ty]])</f>
        <v>=F4263</v>
      </c>
    </row>
    <row r="4363" spans="1:10" ht="15" hidden="1" customHeight="1" x14ac:dyDescent="0.4">
      <c r="A4363" s="6">
        <v>2026</v>
      </c>
      <c r="B4363" s="6">
        <f t="shared" si="562"/>
        <v>45</v>
      </c>
      <c r="C4363" s="13" t="s">
        <v>23</v>
      </c>
      <c r="D4363" s="2" t="s">
        <v>6</v>
      </c>
      <c r="E4363" s="14" t="s">
        <v>11</v>
      </c>
      <c r="F4363" s="22">
        <f t="shared" si="561"/>
        <v>10</v>
      </c>
      <c r="H4363" s="5" t="str">
        <f ca="1">_xlfn.FORMULATEXT(표1[[#This Row],[Q''ty]])</f>
        <v>=F4264</v>
      </c>
    </row>
    <row r="4364" spans="1:10" ht="15" hidden="1" customHeight="1" x14ac:dyDescent="0.4">
      <c r="A4364" s="6">
        <v>2026</v>
      </c>
      <c r="B4364" s="6">
        <f t="shared" si="562"/>
        <v>45</v>
      </c>
      <c r="C4364" s="13" t="s">
        <v>23</v>
      </c>
      <c r="D4364" s="2" t="s">
        <v>12</v>
      </c>
      <c r="E4364" s="14" t="s">
        <v>13</v>
      </c>
      <c r="F4364" s="22"/>
      <c r="H4364" s="5" t="e">
        <f ca="1">_xlfn.FORMULATEXT(표1[[#This Row],[Q''ty]])</f>
        <v>#N/A</v>
      </c>
    </row>
    <row r="4365" spans="1:10" s="2" customFormat="1" ht="15" hidden="1" customHeight="1" x14ac:dyDescent="0.4">
      <c r="A4365" s="6">
        <v>2026</v>
      </c>
      <c r="B4365" s="6">
        <f t="shared" si="562"/>
        <v>45</v>
      </c>
      <c r="C4365" s="13" t="s">
        <v>23</v>
      </c>
      <c r="D4365" s="2" t="s">
        <v>12</v>
      </c>
      <c r="E4365" s="14" t="s">
        <v>14</v>
      </c>
      <c r="F4365" s="22"/>
      <c r="H4365" s="5" t="e">
        <f ca="1">_xlfn.FORMULATEXT(표1[[#This Row],[Q''ty]])</f>
        <v>#N/A</v>
      </c>
      <c r="I4365" s="26"/>
      <c r="J4365" s="26"/>
    </row>
    <row r="4366" spans="1:10" ht="15" hidden="1" customHeight="1" x14ac:dyDescent="0.4">
      <c r="A4366" s="6">
        <v>2026</v>
      </c>
      <c r="B4366" s="6">
        <f t="shared" si="562"/>
        <v>45</v>
      </c>
      <c r="C4366" s="13" t="s">
        <v>23</v>
      </c>
      <c r="D4366" s="2" t="s">
        <v>12</v>
      </c>
      <c r="E4366" s="14" t="s">
        <v>15</v>
      </c>
      <c r="F4366" s="22"/>
      <c r="H4366" s="5" t="e">
        <f ca="1">_xlfn.FORMULATEXT(표1[[#This Row],[Q''ty]])</f>
        <v>#N/A</v>
      </c>
    </row>
    <row r="4367" spans="1:10" ht="15" hidden="1" customHeight="1" x14ac:dyDescent="0.4">
      <c r="A4367" s="6">
        <v>2026</v>
      </c>
      <c r="B4367" s="6">
        <f t="shared" si="562"/>
        <v>45</v>
      </c>
      <c r="C4367" s="13" t="s">
        <v>23</v>
      </c>
      <c r="D4367" s="2" t="s">
        <v>12</v>
      </c>
      <c r="E4367" s="14" t="s">
        <v>16</v>
      </c>
      <c r="F4367" s="22"/>
      <c r="H4367" s="5" t="e">
        <f ca="1">_xlfn.FORMULATEXT(표1[[#This Row],[Q''ty]])</f>
        <v>#N/A</v>
      </c>
    </row>
    <row r="4368" spans="1:10" ht="15" hidden="1" customHeight="1" thickBot="1" x14ac:dyDescent="0.45">
      <c r="A4368" s="15">
        <v>2026</v>
      </c>
      <c r="B4368" s="15">
        <f t="shared" si="562"/>
        <v>45</v>
      </c>
      <c r="C4368" s="16" t="s">
        <v>23</v>
      </c>
      <c r="D4368" s="17" t="s">
        <v>12</v>
      </c>
      <c r="E4368" s="18" t="s">
        <v>17</v>
      </c>
      <c r="F4368" s="23"/>
      <c r="H4368" s="5" t="e">
        <f ca="1">_xlfn.FORMULATEXT(표1[[#This Row],[Q''ty]])</f>
        <v>#N/A</v>
      </c>
    </row>
    <row r="4369" spans="1:10" ht="15" hidden="1" customHeight="1" thickTop="1" x14ac:dyDescent="0.4">
      <c r="A4369" s="9">
        <v>2026</v>
      </c>
      <c r="B4369" s="9">
        <f t="shared" si="562"/>
        <v>45</v>
      </c>
      <c r="C4369" s="10" t="s">
        <v>29</v>
      </c>
      <c r="D4369" s="11" t="s">
        <v>6</v>
      </c>
      <c r="E4369" s="12" t="s">
        <v>7</v>
      </c>
      <c r="F4369" s="21">
        <f t="shared" ref="F4369:F4374" si="563">F4270</f>
        <v>14</v>
      </c>
      <c r="H4369" s="5" t="str">
        <f ca="1">_xlfn.FORMULATEXT(표1[[#This Row],[Q''ty]])</f>
        <v>=F4270</v>
      </c>
    </row>
    <row r="4370" spans="1:10" s="2" customFormat="1" ht="15" hidden="1" customHeight="1" x14ac:dyDescent="0.4">
      <c r="A4370" s="6">
        <v>2026</v>
      </c>
      <c r="B4370" s="6">
        <f t="shared" si="562"/>
        <v>45</v>
      </c>
      <c r="C4370" s="13" t="s">
        <v>24</v>
      </c>
      <c r="D4370" s="2" t="s">
        <v>6</v>
      </c>
      <c r="E4370" s="14" t="s">
        <v>8</v>
      </c>
      <c r="F4370" s="22">
        <f t="shared" si="563"/>
        <v>8</v>
      </c>
      <c r="H4370" s="5" t="str">
        <f ca="1">_xlfn.FORMULATEXT(표1[[#This Row],[Q''ty]])</f>
        <v>=F4271</v>
      </c>
      <c r="I4370" s="26"/>
      <c r="J4370" s="26"/>
    </row>
    <row r="4371" spans="1:10" s="2" customFormat="1" ht="15" hidden="1" customHeight="1" x14ac:dyDescent="0.4">
      <c r="A4371" s="6">
        <v>2026</v>
      </c>
      <c r="B4371" s="6">
        <f t="shared" si="562"/>
        <v>45</v>
      </c>
      <c r="C4371" s="13" t="s">
        <v>24</v>
      </c>
      <c r="D4371" s="2" t="s">
        <v>6</v>
      </c>
      <c r="E4371" s="14" t="s">
        <v>9</v>
      </c>
      <c r="F4371" s="22">
        <f t="shared" si="563"/>
        <v>4</v>
      </c>
      <c r="H4371" s="5" t="str">
        <f ca="1">_xlfn.FORMULATEXT(표1[[#This Row],[Q''ty]])</f>
        <v>=F4272</v>
      </c>
      <c r="I4371" s="26"/>
      <c r="J4371" s="26"/>
    </row>
    <row r="4372" spans="1:10" ht="15" hidden="1" customHeight="1" x14ac:dyDescent="0.4">
      <c r="A4372" s="6">
        <v>2026</v>
      </c>
      <c r="B4372" s="6">
        <f t="shared" si="562"/>
        <v>45</v>
      </c>
      <c r="C4372" s="13" t="s">
        <v>24</v>
      </c>
      <c r="D4372" s="2" t="s">
        <v>6</v>
      </c>
      <c r="E4372" s="14" t="s">
        <v>27</v>
      </c>
      <c r="F4372" s="22">
        <f t="shared" si="563"/>
        <v>3</v>
      </c>
      <c r="H4372" s="5" t="str">
        <f ca="1">_xlfn.FORMULATEXT(표1[[#This Row],[Q''ty]])</f>
        <v>=F4273</v>
      </c>
    </row>
    <row r="4373" spans="1:10" ht="15" hidden="1" customHeight="1" x14ac:dyDescent="0.4">
      <c r="A4373" s="6">
        <v>2026</v>
      </c>
      <c r="B4373" s="6">
        <f t="shared" si="562"/>
        <v>45</v>
      </c>
      <c r="C4373" s="13" t="s">
        <v>24</v>
      </c>
      <c r="D4373" s="2" t="s">
        <v>6</v>
      </c>
      <c r="E4373" s="14" t="s">
        <v>10</v>
      </c>
      <c r="F4373" s="22">
        <f t="shared" si="563"/>
        <v>6</v>
      </c>
      <c r="H4373" s="5" t="str">
        <f ca="1">_xlfn.FORMULATEXT(표1[[#This Row],[Q''ty]])</f>
        <v>=F4274</v>
      </c>
    </row>
    <row r="4374" spans="1:10" ht="15" hidden="1" customHeight="1" x14ac:dyDescent="0.4">
      <c r="A4374" s="6">
        <v>2026</v>
      </c>
      <c r="B4374" s="6">
        <f t="shared" si="562"/>
        <v>45</v>
      </c>
      <c r="C4374" s="13" t="s">
        <v>24</v>
      </c>
      <c r="D4374" s="2" t="s">
        <v>6</v>
      </c>
      <c r="E4374" s="14" t="s">
        <v>11</v>
      </c>
      <c r="F4374" s="22">
        <f t="shared" si="563"/>
        <v>8.8000000000000007</v>
      </c>
      <c r="H4374" s="5" t="str">
        <f ca="1">_xlfn.FORMULATEXT(표1[[#This Row],[Q''ty]])</f>
        <v>=F4275</v>
      </c>
    </row>
    <row r="4375" spans="1:10" ht="15" hidden="1" customHeight="1" x14ac:dyDescent="0.4">
      <c r="A4375" s="6">
        <v>2026</v>
      </c>
      <c r="B4375" s="6">
        <f t="shared" si="562"/>
        <v>45</v>
      </c>
      <c r="C4375" s="13" t="s">
        <v>24</v>
      </c>
      <c r="D4375" s="2" t="s">
        <v>12</v>
      </c>
      <c r="E4375" s="14" t="s">
        <v>13</v>
      </c>
      <c r="F4375" s="22"/>
      <c r="H4375" s="5" t="e">
        <f ca="1">_xlfn.FORMULATEXT(표1[[#This Row],[Q''ty]])</f>
        <v>#N/A</v>
      </c>
    </row>
    <row r="4376" spans="1:10" s="2" customFormat="1" ht="15" hidden="1" customHeight="1" x14ac:dyDescent="0.4">
      <c r="A4376" s="6">
        <v>2026</v>
      </c>
      <c r="B4376" s="6">
        <f t="shared" si="562"/>
        <v>45</v>
      </c>
      <c r="C4376" s="13" t="s">
        <v>24</v>
      </c>
      <c r="D4376" s="2" t="s">
        <v>12</v>
      </c>
      <c r="E4376" s="14" t="s">
        <v>14</v>
      </c>
      <c r="F4376" s="22"/>
      <c r="H4376" s="5" t="e">
        <f ca="1">_xlfn.FORMULATEXT(표1[[#This Row],[Q''ty]])</f>
        <v>#N/A</v>
      </c>
      <c r="I4376" s="26"/>
      <c r="J4376" s="26"/>
    </row>
    <row r="4377" spans="1:10" ht="15" hidden="1" customHeight="1" x14ac:dyDescent="0.4">
      <c r="A4377" s="6">
        <v>2026</v>
      </c>
      <c r="B4377" s="6">
        <f t="shared" si="562"/>
        <v>45</v>
      </c>
      <c r="C4377" s="13" t="s">
        <v>24</v>
      </c>
      <c r="D4377" s="2" t="s">
        <v>12</v>
      </c>
      <c r="E4377" s="14" t="s">
        <v>15</v>
      </c>
      <c r="F4377" s="22"/>
      <c r="H4377" s="5" t="e">
        <f ca="1">_xlfn.FORMULATEXT(표1[[#This Row],[Q''ty]])</f>
        <v>#N/A</v>
      </c>
    </row>
    <row r="4378" spans="1:10" ht="15" hidden="1" customHeight="1" x14ac:dyDescent="0.4">
      <c r="A4378" s="6">
        <v>2026</v>
      </c>
      <c r="B4378" s="6">
        <f t="shared" si="562"/>
        <v>45</v>
      </c>
      <c r="C4378" s="13" t="s">
        <v>24</v>
      </c>
      <c r="D4378" s="2" t="s">
        <v>12</v>
      </c>
      <c r="E4378" s="14" t="s">
        <v>16</v>
      </c>
      <c r="F4378" s="22"/>
      <c r="H4378" s="5" t="e">
        <f ca="1">_xlfn.FORMULATEXT(표1[[#This Row],[Q''ty]])</f>
        <v>#N/A</v>
      </c>
    </row>
    <row r="4379" spans="1:10" ht="15" hidden="1" customHeight="1" thickBot="1" x14ac:dyDescent="0.45">
      <c r="A4379" s="15">
        <v>2026</v>
      </c>
      <c r="B4379" s="15">
        <f t="shared" si="562"/>
        <v>45</v>
      </c>
      <c r="C4379" s="16" t="s">
        <v>24</v>
      </c>
      <c r="D4379" s="17" t="s">
        <v>12</v>
      </c>
      <c r="E4379" s="18" t="s">
        <v>17</v>
      </c>
      <c r="F4379" s="23"/>
      <c r="H4379" s="5" t="e">
        <f ca="1">_xlfn.FORMULATEXT(표1[[#This Row],[Q''ty]])</f>
        <v>#N/A</v>
      </c>
    </row>
    <row r="4380" spans="1:10" ht="15" hidden="1" customHeight="1" thickTop="1" x14ac:dyDescent="0.4">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10" ht="15" hidden="1" customHeight="1" x14ac:dyDescent="0.4">
      <c r="A4381" s="6">
        <v>2026</v>
      </c>
      <c r="B4381" s="6">
        <f t="shared" si="562"/>
        <v>45</v>
      </c>
      <c r="C4381" s="13" t="s">
        <v>18</v>
      </c>
      <c r="D4381" s="2" t="s">
        <v>6</v>
      </c>
      <c r="E4381" s="14" t="str">
        <f t="shared" si="564"/>
        <v>Paint Booth</v>
      </c>
      <c r="F4381" s="22">
        <f t="shared" si="564"/>
        <v>3</v>
      </c>
      <c r="H4381" s="5" t="str">
        <f ca="1">_xlfn.FORMULATEXT(표1[[#This Row],[Q''ty]])</f>
        <v>=F4282</v>
      </c>
    </row>
    <row r="4382" spans="1:10" ht="15" hidden="1" customHeight="1" x14ac:dyDescent="0.4">
      <c r="A4382" s="6">
        <v>2026</v>
      </c>
      <c r="B4382" s="6">
        <f t="shared" si="562"/>
        <v>45</v>
      </c>
      <c r="C4382" s="13" t="s">
        <v>18</v>
      </c>
      <c r="D4382" s="2" t="s">
        <v>6</v>
      </c>
      <c r="E4382" s="14" t="str">
        <f t="shared" si="564"/>
        <v>Paint Line</v>
      </c>
      <c r="F4382" s="22">
        <f t="shared" si="564"/>
        <v>2</v>
      </c>
      <c r="H4382" s="5" t="str">
        <f ca="1">_xlfn.FORMULATEXT(표1[[#This Row],[Q''ty]])</f>
        <v>=F4283</v>
      </c>
    </row>
    <row r="4383" spans="1:10" ht="15" hidden="1" customHeight="1" x14ac:dyDescent="0.4">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10" ht="15" hidden="1" customHeight="1" x14ac:dyDescent="0.4">
      <c r="A4384" s="6">
        <v>2026</v>
      </c>
      <c r="B4384" s="6">
        <f t="shared" si="562"/>
        <v>45</v>
      </c>
      <c r="C4384" s="13" t="s">
        <v>18</v>
      </c>
      <c r="D4384" s="2" t="s">
        <v>6</v>
      </c>
      <c r="E4384" s="14" t="str">
        <f t="shared" si="564"/>
        <v>L/W Machine</v>
      </c>
      <c r="F4384" s="22">
        <f t="shared" si="564"/>
        <v>2</v>
      </c>
      <c r="H4384" s="5" t="str">
        <f ca="1">_xlfn.FORMULATEXT(표1[[#This Row],[Q''ty]])</f>
        <v>=F4285</v>
      </c>
    </row>
    <row r="4385" spans="1:8" ht="15" hidden="1" customHeight="1" x14ac:dyDescent="0.4">
      <c r="A4385" s="6">
        <v>2026</v>
      </c>
      <c r="B4385" s="6">
        <f t="shared" si="562"/>
        <v>45</v>
      </c>
      <c r="C4385" s="13" t="s">
        <v>18</v>
      </c>
      <c r="D4385" s="2" t="s">
        <v>6</v>
      </c>
      <c r="E4385" s="14" t="str">
        <f t="shared" si="564"/>
        <v>C/W Machine</v>
      </c>
      <c r="F4385" s="22">
        <f t="shared" si="564"/>
        <v>3</v>
      </c>
      <c r="H4385" s="5" t="str">
        <f ca="1">_xlfn.FORMULATEXT(표1[[#This Row],[Q''ty]])</f>
        <v>=F4286</v>
      </c>
    </row>
    <row r="4386" spans="1:8" ht="15" hidden="1" customHeight="1" x14ac:dyDescent="0.4">
      <c r="A4386" s="6">
        <v>2026</v>
      </c>
      <c r="B4386" s="6">
        <f t="shared" si="562"/>
        <v>45</v>
      </c>
      <c r="C4386" s="13" t="s">
        <v>18</v>
      </c>
      <c r="D4386" s="2" t="s">
        <v>12</v>
      </c>
      <c r="E4386" s="14" t="str">
        <f t="shared" ref="E4386:E4401" si="565">E4287</f>
        <v>BT GT</v>
      </c>
      <c r="F4386" s="22"/>
      <c r="H4386" s="5" t="e">
        <f ca="1">_xlfn.FORMULATEXT(표1[[#This Row],[Q''ty]])</f>
        <v>#N/A</v>
      </c>
    </row>
    <row r="4387" spans="1:8" ht="15" hidden="1" customHeight="1" x14ac:dyDescent="0.4">
      <c r="A4387" s="6">
        <v>2026</v>
      </c>
      <c r="B4387" s="6">
        <f t="shared" si="562"/>
        <v>45</v>
      </c>
      <c r="C4387" s="13" t="s">
        <v>18</v>
      </c>
      <c r="D4387" s="2" t="s">
        <v>12</v>
      </c>
      <c r="E4387" s="14" t="str">
        <f t="shared" si="565"/>
        <v>WT GT</v>
      </c>
      <c r="F4387" s="22"/>
      <c r="H4387" s="5" t="e">
        <f ca="1">_xlfn.FORMULATEXT(표1[[#This Row],[Q''ty]])</f>
        <v>#N/A</v>
      </c>
    </row>
    <row r="4388" spans="1:8" ht="15" hidden="1" customHeight="1" x14ac:dyDescent="0.4">
      <c r="A4388" s="6">
        <v>2026</v>
      </c>
      <c r="B4388" s="6">
        <f t="shared" si="562"/>
        <v>45</v>
      </c>
      <c r="C4388" s="13" t="s">
        <v>18</v>
      </c>
      <c r="D4388" s="2" t="s">
        <v>12</v>
      </c>
      <c r="E4388" s="14" t="str">
        <f t="shared" si="565"/>
        <v>Bending</v>
      </c>
      <c r="F4388" s="22"/>
      <c r="H4388" s="5" t="e">
        <f ca="1">_xlfn.FORMULATEXT(표1[[#This Row],[Q''ty]])</f>
        <v>#N/A</v>
      </c>
    </row>
    <row r="4389" spans="1:8" ht="15" hidden="1" customHeight="1" x14ac:dyDescent="0.4">
      <c r="A4389" s="6">
        <v>2026</v>
      </c>
      <c r="B4389" s="6">
        <f t="shared" si="562"/>
        <v>45</v>
      </c>
      <c r="C4389" s="13" t="s">
        <v>18</v>
      </c>
      <c r="D4389" s="2" t="s">
        <v>12</v>
      </c>
      <c r="E4389" s="14" t="str">
        <f t="shared" si="565"/>
        <v>L/W</v>
      </c>
      <c r="F4389" s="22"/>
      <c r="H4389" s="5" t="e">
        <f ca="1">_xlfn.FORMULATEXT(표1[[#This Row],[Q''ty]])</f>
        <v>#N/A</v>
      </c>
    </row>
    <row r="4390" spans="1:8" ht="15" hidden="1" customHeight="1" thickBot="1" x14ac:dyDescent="0.45">
      <c r="A4390" s="15">
        <v>2026</v>
      </c>
      <c r="B4390" s="15">
        <f t="shared" si="562"/>
        <v>45</v>
      </c>
      <c r="C4390" s="16" t="s">
        <v>18</v>
      </c>
      <c r="D4390" s="17" t="s">
        <v>12</v>
      </c>
      <c r="E4390" s="18" t="str">
        <f t="shared" si="565"/>
        <v>C/W</v>
      </c>
      <c r="F4390" s="23"/>
      <c r="H4390" s="5" t="e">
        <f ca="1">_xlfn.FORMULATEXT(표1[[#This Row],[Q''ty]])</f>
        <v>#N/A</v>
      </c>
    </row>
    <row r="4391" spans="1:8" ht="15" hidden="1" customHeight="1" thickTop="1" x14ac:dyDescent="0.4">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hidden="1" customHeight="1" x14ac:dyDescent="0.4">
      <c r="A4392" s="6">
        <v>2026</v>
      </c>
      <c r="B4392" s="6">
        <f t="shared" si="562"/>
        <v>45</v>
      </c>
      <c r="C4392" s="13" t="s">
        <v>19</v>
      </c>
      <c r="D4392" s="2" t="s">
        <v>6</v>
      </c>
      <c r="E4392" s="14" t="str">
        <f t="shared" si="565"/>
        <v>Paint Booth</v>
      </c>
      <c r="F4392" s="22">
        <f t="shared" si="566"/>
        <v>22</v>
      </c>
      <c r="H4392" s="5" t="str">
        <f ca="1">_xlfn.FORMULATEXT(표1[[#This Row],[Q''ty]])</f>
        <v>=F4293</v>
      </c>
    </row>
    <row r="4393" spans="1:8" ht="15" hidden="1" customHeight="1" x14ac:dyDescent="0.4">
      <c r="A4393" s="6">
        <v>2026</v>
      </c>
      <c r="B4393" s="6">
        <f t="shared" si="562"/>
        <v>45</v>
      </c>
      <c r="C4393" s="13" t="s">
        <v>19</v>
      </c>
      <c r="D4393" s="2" t="s">
        <v>6</v>
      </c>
      <c r="E4393" s="14" t="str">
        <f t="shared" si="565"/>
        <v>Paint Line</v>
      </c>
      <c r="F4393" s="22">
        <f t="shared" si="566"/>
        <v>6</v>
      </c>
      <c r="H4393" s="5" t="str">
        <f ca="1">_xlfn.FORMULATEXT(표1[[#This Row],[Q''ty]])</f>
        <v>=F4294</v>
      </c>
    </row>
    <row r="4394" spans="1:8" ht="15" hidden="1" customHeight="1" x14ac:dyDescent="0.4">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hidden="1" customHeight="1" x14ac:dyDescent="0.4">
      <c r="A4395" s="6">
        <v>2026</v>
      </c>
      <c r="B4395" s="6">
        <f t="shared" si="562"/>
        <v>45</v>
      </c>
      <c r="C4395" s="13" t="s">
        <v>19</v>
      </c>
      <c r="D4395" s="2" t="s">
        <v>6</v>
      </c>
      <c r="E4395" s="14" t="str">
        <f t="shared" si="565"/>
        <v>L/W Machine</v>
      </c>
      <c r="F4395" s="22">
        <f t="shared" si="566"/>
        <v>10</v>
      </c>
      <c r="H4395" s="5" t="str">
        <f ca="1">_xlfn.FORMULATEXT(표1[[#This Row],[Q''ty]])</f>
        <v>=F4296</v>
      </c>
    </row>
    <row r="4396" spans="1:8" ht="15" hidden="1" customHeight="1" x14ac:dyDescent="0.4">
      <c r="A4396" s="6">
        <v>2026</v>
      </c>
      <c r="B4396" s="6">
        <f t="shared" si="562"/>
        <v>45</v>
      </c>
      <c r="C4396" s="13" t="s">
        <v>19</v>
      </c>
      <c r="D4396" s="2" t="s">
        <v>6</v>
      </c>
      <c r="E4396" s="14" t="str">
        <f t="shared" si="565"/>
        <v>C/W Machine</v>
      </c>
      <c r="F4396" s="22">
        <f t="shared" si="566"/>
        <v>12</v>
      </c>
      <c r="H4396" s="5" t="str">
        <f ca="1">_xlfn.FORMULATEXT(표1[[#This Row],[Q''ty]])</f>
        <v>=F4297</v>
      </c>
    </row>
    <row r="4397" spans="1:8" ht="15" hidden="1" customHeight="1" x14ac:dyDescent="0.4">
      <c r="A4397" s="6">
        <v>2026</v>
      </c>
      <c r="B4397" s="6">
        <f t="shared" si="562"/>
        <v>45</v>
      </c>
      <c r="C4397" s="13" t="s">
        <v>19</v>
      </c>
      <c r="D4397" s="2" t="s">
        <v>12</v>
      </c>
      <c r="E4397" s="14" t="str">
        <f t="shared" si="565"/>
        <v>BT GT</v>
      </c>
      <c r="F4397" s="22"/>
      <c r="H4397" s="5" t="e">
        <f ca="1">_xlfn.FORMULATEXT(표1[[#This Row],[Q''ty]])</f>
        <v>#N/A</v>
      </c>
    </row>
    <row r="4398" spans="1:8" ht="15" hidden="1" customHeight="1" x14ac:dyDescent="0.4">
      <c r="A4398" s="6">
        <v>2026</v>
      </c>
      <c r="B4398" s="6">
        <f t="shared" si="562"/>
        <v>45</v>
      </c>
      <c r="C4398" s="13" t="s">
        <v>19</v>
      </c>
      <c r="D4398" s="2" t="s">
        <v>12</v>
      </c>
      <c r="E4398" s="14" t="str">
        <f t="shared" si="565"/>
        <v>WT GT</v>
      </c>
      <c r="F4398" s="22"/>
      <c r="H4398" s="5" t="e">
        <f ca="1">_xlfn.FORMULATEXT(표1[[#This Row],[Q''ty]])</f>
        <v>#N/A</v>
      </c>
    </row>
    <row r="4399" spans="1:8" ht="15" hidden="1" customHeight="1" x14ac:dyDescent="0.4">
      <c r="A4399" s="6">
        <v>2026</v>
      </c>
      <c r="B4399" s="6">
        <f t="shared" si="562"/>
        <v>45</v>
      </c>
      <c r="C4399" s="13" t="s">
        <v>19</v>
      </c>
      <c r="D4399" s="2" t="s">
        <v>12</v>
      </c>
      <c r="E4399" s="14" t="str">
        <f t="shared" si="565"/>
        <v>Bending</v>
      </c>
      <c r="F4399" s="22"/>
      <c r="H4399" s="5" t="e">
        <f ca="1">_xlfn.FORMULATEXT(표1[[#This Row],[Q''ty]])</f>
        <v>#N/A</v>
      </c>
    </row>
    <row r="4400" spans="1:8" ht="15" hidden="1" customHeight="1" x14ac:dyDescent="0.4">
      <c r="A4400" s="6">
        <v>2026</v>
      </c>
      <c r="B4400" s="6">
        <f t="shared" si="562"/>
        <v>45</v>
      </c>
      <c r="C4400" s="13" t="s">
        <v>19</v>
      </c>
      <c r="D4400" s="2" t="s">
        <v>12</v>
      </c>
      <c r="E4400" s="14" t="str">
        <f t="shared" si="565"/>
        <v>L/W</v>
      </c>
      <c r="F4400" s="22"/>
      <c r="H4400" s="5" t="e">
        <f ca="1">_xlfn.FORMULATEXT(표1[[#This Row],[Q''ty]])</f>
        <v>#N/A</v>
      </c>
    </row>
    <row r="4401" spans="1:8" ht="15" hidden="1" customHeight="1" thickBot="1" x14ac:dyDescent="0.45">
      <c r="A4401" s="15">
        <v>2026</v>
      </c>
      <c r="B4401" s="15">
        <f t="shared" si="562"/>
        <v>45</v>
      </c>
      <c r="C4401" s="16" t="s">
        <v>19</v>
      </c>
      <c r="D4401" s="17" t="s">
        <v>12</v>
      </c>
      <c r="E4401" s="18" t="str">
        <f t="shared" si="565"/>
        <v>C/W</v>
      </c>
      <c r="F4401" s="23"/>
      <c r="H4401" s="5" t="e">
        <f ca="1">_xlfn.FORMULATEXT(표1[[#This Row],[Q''ty]])</f>
        <v>#N/A</v>
      </c>
    </row>
    <row r="4402" spans="1:8" ht="15" hidden="1" customHeight="1" thickTop="1" x14ac:dyDescent="0.4">
      <c r="A4402" s="6">
        <v>2026</v>
      </c>
      <c r="B4402" s="6">
        <f t="shared" si="562"/>
        <v>45</v>
      </c>
      <c r="C4402" s="13" t="s">
        <v>25</v>
      </c>
      <c r="D4402" s="2" t="s">
        <v>6</v>
      </c>
      <c r="E4402" s="14" t="s">
        <v>7</v>
      </c>
      <c r="F4402" s="22">
        <f t="shared" ref="F4402:F4407" si="567">F4303</f>
        <v>3</v>
      </c>
      <c r="H4402" s="5" t="str">
        <f ca="1">_xlfn.FORMULATEXT(표1[[#This Row],[Q''ty]])</f>
        <v>=F4303</v>
      </c>
    </row>
    <row r="4403" spans="1:8" ht="15" hidden="1" customHeight="1" x14ac:dyDescent="0.4">
      <c r="A4403" s="6">
        <v>2026</v>
      </c>
      <c r="B4403" s="6">
        <f t="shared" si="562"/>
        <v>45</v>
      </c>
      <c r="C4403" s="13" t="s">
        <v>25</v>
      </c>
      <c r="D4403" s="2" t="s">
        <v>6</v>
      </c>
      <c r="E4403" s="14" t="s">
        <v>8</v>
      </c>
      <c r="F4403" s="22">
        <f t="shared" si="567"/>
        <v>3</v>
      </c>
      <c r="H4403" s="5" t="str">
        <f ca="1">_xlfn.FORMULATEXT(표1[[#This Row],[Q''ty]])</f>
        <v>=F4304</v>
      </c>
    </row>
    <row r="4404" spans="1:8" ht="15" hidden="1" customHeight="1" x14ac:dyDescent="0.4">
      <c r="A4404" s="6">
        <v>2026</v>
      </c>
      <c r="B4404" s="6">
        <f t="shared" si="562"/>
        <v>45</v>
      </c>
      <c r="C4404" s="13" t="s">
        <v>25</v>
      </c>
      <c r="D4404" s="2" t="s">
        <v>6</v>
      </c>
      <c r="E4404" s="14" t="s">
        <v>9</v>
      </c>
      <c r="F4404" s="22">
        <f t="shared" si="567"/>
        <v>2</v>
      </c>
      <c r="H4404" s="5" t="str">
        <f ca="1">_xlfn.FORMULATEXT(표1[[#This Row],[Q''ty]])</f>
        <v>=F4305</v>
      </c>
    </row>
    <row r="4405" spans="1:8" ht="15" hidden="1" customHeight="1" x14ac:dyDescent="0.4">
      <c r="A4405" s="6">
        <v>2026</v>
      </c>
      <c r="B4405" s="6">
        <f t="shared" si="562"/>
        <v>45</v>
      </c>
      <c r="C4405" s="13" t="s">
        <v>25</v>
      </c>
      <c r="D4405" s="2" t="s">
        <v>6</v>
      </c>
      <c r="E4405" s="14" t="s">
        <v>27</v>
      </c>
      <c r="F4405" s="22">
        <f t="shared" si="567"/>
        <v>2</v>
      </c>
      <c r="H4405" s="5" t="str">
        <f ca="1">_xlfn.FORMULATEXT(표1[[#This Row],[Q''ty]])</f>
        <v>=F4306</v>
      </c>
    </row>
    <row r="4406" spans="1:8" ht="15" hidden="1" customHeight="1" x14ac:dyDescent="0.4">
      <c r="A4406" s="6">
        <v>2026</v>
      </c>
      <c r="B4406" s="6">
        <f t="shared" si="562"/>
        <v>45</v>
      </c>
      <c r="C4406" s="13" t="s">
        <v>25</v>
      </c>
      <c r="D4406" s="2" t="s">
        <v>6</v>
      </c>
      <c r="E4406" s="14" t="s">
        <v>10</v>
      </c>
      <c r="F4406" s="22">
        <f t="shared" si="567"/>
        <v>3</v>
      </c>
      <c r="H4406" s="5" t="str">
        <f ca="1">_xlfn.FORMULATEXT(표1[[#This Row],[Q''ty]])</f>
        <v>=F4307</v>
      </c>
    </row>
    <row r="4407" spans="1:8" ht="15" hidden="1" customHeight="1" x14ac:dyDescent="0.4">
      <c r="A4407" s="6">
        <v>2026</v>
      </c>
      <c r="B4407" s="6">
        <f t="shared" si="562"/>
        <v>45</v>
      </c>
      <c r="C4407" s="13" t="s">
        <v>25</v>
      </c>
      <c r="D4407" s="2" t="s">
        <v>6</v>
      </c>
      <c r="E4407" s="14" t="s">
        <v>11</v>
      </c>
      <c r="F4407" s="22">
        <f t="shared" si="567"/>
        <v>4</v>
      </c>
      <c r="H4407" s="5" t="str">
        <f ca="1">_xlfn.FORMULATEXT(표1[[#This Row],[Q''ty]])</f>
        <v>=F4308</v>
      </c>
    </row>
    <row r="4408" spans="1:8" ht="15" hidden="1" customHeight="1" x14ac:dyDescent="0.4">
      <c r="A4408" s="6">
        <v>2026</v>
      </c>
      <c r="B4408" s="6">
        <f t="shared" si="562"/>
        <v>45</v>
      </c>
      <c r="C4408" s="13" t="s">
        <v>25</v>
      </c>
      <c r="D4408" s="2" t="s">
        <v>12</v>
      </c>
      <c r="E4408" s="14" t="s">
        <v>13</v>
      </c>
      <c r="F4408" s="22"/>
      <c r="H4408" s="5" t="e">
        <f ca="1">_xlfn.FORMULATEXT(표1[[#This Row],[Q''ty]])</f>
        <v>#N/A</v>
      </c>
    </row>
    <row r="4409" spans="1:8" ht="15" hidden="1" customHeight="1" x14ac:dyDescent="0.4">
      <c r="A4409" s="6">
        <v>2026</v>
      </c>
      <c r="B4409" s="6">
        <f t="shared" si="562"/>
        <v>45</v>
      </c>
      <c r="C4409" s="13" t="s">
        <v>25</v>
      </c>
      <c r="D4409" s="2" t="s">
        <v>12</v>
      </c>
      <c r="E4409" s="14" t="s">
        <v>14</v>
      </c>
      <c r="F4409" s="22"/>
      <c r="H4409" s="5" t="e">
        <f ca="1">_xlfn.FORMULATEXT(표1[[#This Row],[Q''ty]])</f>
        <v>#N/A</v>
      </c>
    </row>
    <row r="4410" spans="1:8" ht="15" hidden="1" customHeight="1" x14ac:dyDescent="0.4">
      <c r="A4410" s="6">
        <v>2026</v>
      </c>
      <c r="B4410" s="6">
        <f t="shared" si="562"/>
        <v>45</v>
      </c>
      <c r="C4410" s="13" t="s">
        <v>25</v>
      </c>
      <c r="D4410" s="2" t="s">
        <v>12</v>
      </c>
      <c r="E4410" s="14" t="s">
        <v>15</v>
      </c>
      <c r="F4410" s="22"/>
      <c r="H4410" s="5" t="e">
        <f ca="1">_xlfn.FORMULATEXT(표1[[#This Row],[Q''ty]])</f>
        <v>#N/A</v>
      </c>
    </row>
    <row r="4411" spans="1:8" ht="15" hidden="1" customHeight="1" x14ac:dyDescent="0.4">
      <c r="A4411" s="6">
        <v>2026</v>
      </c>
      <c r="B4411" s="6">
        <f t="shared" si="562"/>
        <v>45</v>
      </c>
      <c r="C4411" s="13" t="s">
        <v>25</v>
      </c>
      <c r="D4411" s="2" t="s">
        <v>12</v>
      </c>
      <c r="E4411" s="14" t="s">
        <v>16</v>
      </c>
      <c r="F4411" s="22"/>
      <c r="H4411" s="5" t="e">
        <f ca="1">_xlfn.FORMULATEXT(표1[[#This Row],[Q''ty]])</f>
        <v>#N/A</v>
      </c>
    </row>
    <row r="4412" spans="1:8" ht="15" hidden="1" customHeight="1" thickBot="1" x14ac:dyDescent="0.45">
      <c r="A4412" s="15">
        <v>2026</v>
      </c>
      <c r="B4412" s="15">
        <f t="shared" si="562"/>
        <v>45</v>
      </c>
      <c r="C4412" s="16" t="s">
        <v>25</v>
      </c>
      <c r="D4412" s="17" t="s">
        <v>12</v>
      </c>
      <c r="E4412" s="18" t="s">
        <v>17</v>
      </c>
      <c r="F4412" s="23"/>
      <c r="H4412" s="5" t="e">
        <f ca="1">_xlfn.FORMULATEXT(표1[[#This Row],[Q''ty]])</f>
        <v>#N/A</v>
      </c>
    </row>
    <row r="4413" spans="1:8" ht="15" hidden="1" customHeight="1" thickTop="1" x14ac:dyDescent="0.4">
      <c r="A4413" s="6">
        <v>2026</v>
      </c>
      <c r="B4413" s="6">
        <f t="shared" si="562"/>
        <v>45</v>
      </c>
      <c r="C4413" s="13" t="s">
        <v>26</v>
      </c>
      <c r="D4413" s="2" t="s">
        <v>6</v>
      </c>
      <c r="E4413" s="14" t="s">
        <v>7</v>
      </c>
      <c r="F4413" s="22">
        <f t="shared" ref="F4413:F4418" si="568">F4314</f>
        <v>6</v>
      </c>
      <c r="H4413" s="5" t="str">
        <f ca="1">_xlfn.FORMULATEXT(표1[[#This Row],[Q''ty]])</f>
        <v>=F4314</v>
      </c>
    </row>
    <row r="4414" spans="1:8" ht="15" hidden="1" customHeight="1" x14ac:dyDescent="0.4">
      <c r="A4414" s="6">
        <v>2026</v>
      </c>
      <c r="B4414" s="6">
        <f t="shared" si="562"/>
        <v>45</v>
      </c>
      <c r="C4414" s="13" t="s">
        <v>26</v>
      </c>
      <c r="D4414" s="2" t="s">
        <v>6</v>
      </c>
      <c r="E4414" s="14" t="s">
        <v>8</v>
      </c>
      <c r="F4414" s="22">
        <f t="shared" si="568"/>
        <v>4</v>
      </c>
      <c r="H4414" s="5" t="str">
        <f ca="1">_xlfn.FORMULATEXT(표1[[#This Row],[Q''ty]])</f>
        <v>=F4315</v>
      </c>
    </row>
    <row r="4415" spans="1:8" ht="15" hidden="1" customHeight="1" x14ac:dyDescent="0.4">
      <c r="A4415" s="6">
        <v>2026</v>
      </c>
      <c r="B4415" s="6">
        <f t="shared" si="562"/>
        <v>45</v>
      </c>
      <c r="C4415" s="13" t="s">
        <v>26</v>
      </c>
      <c r="D4415" s="2" t="s">
        <v>6</v>
      </c>
      <c r="E4415" s="14" t="s">
        <v>9</v>
      </c>
      <c r="F4415" s="22">
        <f t="shared" si="568"/>
        <v>2</v>
      </c>
      <c r="H4415" s="5" t="str">
        <f ca="1">_xlfn.FORMULATEXT(표1[[#This Row],[Q''ty]])</f>
        <v>=F4316</v>
      </c>
    </row>
    <row r="4416" spans="1:8" ht="15" hidden="1" customHeight="1" x14ac:dyDescent="0.4">
      <c r="A4416" s="6">
        <v>2026</v>
      </c>
      <c r="B4416" s="6">
        <f t="shared" si="562"/>
        <v>45</v>
      </c>
      <c r="C4416" s="13" t="s">
        <v>26</v>
      </c>
      <c r="D4416" s="2" t="s">
        <v>6</v>
      </c>
      <c r="E4416" s="14" t="s">
        <v>27</v>
      </c>
      <c r="F4416" s="22">
        <f t="shared" si="568"/>
        <v>3</v>
      </c>
      <c r="H4416" s="5" t="str">
        <f ca="1">_xlfn.FORMULATEXT(표1[[#This Row],[Q''ty]])</f>
        <v>=F4317</v>
      </c>
    </row>
    <row r="4417" spans="1:8" ht="15" hidden="1" customHeight="1" x14ac:dyDescent="0.4">
      <c r="A4417" s="6">
        <v>2026</v>
      </c>
      <c r="B4417" s="6">
        <f t="shared" si="562"/>
        <v>45</v>
      </c>
      <c r="C4417" s="13" t="s">
        <v>26</v>
      </c>
      <c r="D4417" s="2" t="s">
        <v>6</v>
      </c>
      <c r="E4417" s="14" t="s">
        <v>10</v>
      </c>
      <c r="F4417" s="22">
        <f t="shared" si="568"/>
        <v>4</v>
      </c>
      <c r="H4417" s="5" t="str">
        <f ca="1">_xlfn.FORMULATEXT(표1[[#This Row],[Q''ty]])</f>
        <v>=F4318</v>
      </c>
    </row>
    <row r="4418" spans="1:8" ht="15" hidden="1" customHeight="1" x14ac:dyDescent="0.4">
      <c r="A4418" s="6">
        <v>2026</v>
      </c>
      <c r="B4418" s="6">
        <f t="shared" si="562"/>
        <v>45</v>
      </c>
      <c r="C4418" s="13" t="s">
        <v>26</v>
      </c>
      <c r="D4418" s="2" t="s">
        <v>6</v>
      </c>
      <c r="E4418" s="14" t="s">
        <v>11</v>
      </c>
      <c r="F4418" s="22">
        <f t="shared" si="568"/>
        <v>6</v>
      </c>
      <c r="H4418" s="5" t="str">
        <f ca="1">_xlfn.FORMULATEXT(표1[[#This Row],[Q''ty]])</f>
        <v>=F4319</v>
      </c>
    </row>
    <row r="4419" spans="1:8" ht="15" hidden="1" customHeight="1" x14ac:dyDescent="0.4">
      <c r="A4419" s="6">
        <v>2026</v>
      </c>
      <c r="B4419" s="6">
        <f t="shared" si="562"/>
        <v>45</v>
      </c>
      <c r="C4419" s="13" t="s">
        <v>26</v>
      </c>
      <c r="D4419" s="2" t="s">
        <v>12</v>
      </c>
      <c r="E4419" s="14" t="str">
        <f t="shared" ref="E4419:E4456" si="569">E4320</f>
        <v>BT GT</v>
      </c>
      <c r="F4419" s="22"/>
      <c r="H4419" s="5" t="e">
        <f ca="1">_xlfn.FORMULATEXT(표1[[#This Row],[Q''ty]])</f>
        <v>#N/A</v>
      </c>
    </row>
    <row r="4420" spans="1:8" ht="15" hidden="1" customHeight="1" x14ac:dyDescent="0.4">
      <c r="A4420" s="6">
        <v>2026</v>
      </c>
      <c r="B4420" s="6">
        <f t="shared" si="562"/>
        <v>45</v>
      </c>
      <c r="C4420" s="13" t="s">
        <v>26</v>
      </c>
      <c r="D4420" s="2" t="s">
        <v>12</v>
      </c>
      <c r="E4420" s="14" t="str">
        <f t="shared" si="569"/>
        <v>WT GT</v>
      </c>
      <c r="F4420" s="22"/>
      <c r="H4420" s="5" t="e">
        <f ca="1">_xlfn.FORMULATEXT(표1[[#This Row],[Q''ty]])</f>
        <v>#N/A</v>
      </c>
    </row>
    <row r="4421" spans="1:8" ht="15" hidden="1" customHeight="1" x14ac:dyDescent="0.4">
      <c r="A4421" s="6">
        <v>2026</v>
      </c>
      <c r="B4421" s="6">
        <f t="shared" si="562"/>
        <v>45</v>
      </c>
      <c r="C4421" s="13" t="s">
        <v>26</v>
      </c>
      <c r="D4421" s="2" t="s">
        <v>12</v>
      </c>
      <c r="E4421" s="14" t="str">
        <f t="shared" si="569"/>
        <v>Bending</v>
      </c>
      <c r="F4421" s="22"/>
      <c r="H4421" s="5" t="e">
        <f ca="1">_xlfn.FORMULATEXT(표1[[#This Row],[Q''ty]])</f>
        <v>#N/A</v>
      </c>
    </row>
    <row r="4422" spans="1:8" ht="15" hidden="1" customHeight="1" x14ac:dyDescent="0.4">
      <c r="A4422" s="6">
        <v>2026</v>
      </c>
      <c r="B4422" s="6">
        <f t="shared" si="562"/>
        <v>45</v>
      </c>
      <c r="C4422" s="13" t="s">
        <v>26</v>
      </c>
      <c r="D4422" s="2" t="s">
        <v>12</v>
      </c>
      <c r="E4422" s="14" t="str">
        <f t="shared" si="569"/>
        <v>L/W</v>
      </c>
      <c r="F4422" s="22"/>
      <c r="H4422" s="5" t="e">
        <f ca="1">_xlfn.FORMULATEXT(표1[[#This Row],[Q''ty]])</f>
        <v>#N/A</v>
      </c>
    </row>
    <row r="4423" spans="1:8" ht="15" hidden="1" customHeight="1" thickBot="1" x14ac:dyDescent="0.45">
      <c r="A4423" s="15">
        <v>2026</v>
      </c>
      <c r="B4423" s="15">
        <f t="shared" ref="B4423:B4456" si="570">B4324+1</f>
        <v>45</v>
      </c>
      <c r="C4423" s="16" t="s">
        <v>26</v>
      </c>
      <c r="D4423" s="17" t="s">
        <v>12</v>
      </c>
      <c r="E4423" s="18" t="str">
        <f t="shared" si="569"/>
        <v>C/W</v>
      </c>
      <c r="F4423" s="23"/>
      <c r="H4423" s="5" t="e">
        <f ca="1">_xlfn.FORMULATEXT(표1[[#This Row],[Q''ty]])</f>
        <v>#N/A</v>
      </c>
    </row>
    <row r="4424" spans="1:8" ht="15" hidden="1" customHeight="1" thickTop="1" x14ac:dyDescent="0.4">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hidden="1" customHeight="1" x14ac:dyDescent="0.4">
      <c r="A4425" s="6">
        <v>2026</v>
      </c>
      <c r="B4425" s="6">
        <f t="shared" si="570"/>
        <v>45</v>
      </c>
      <c r="C4425" s="13" t="s">
        <v>20</v>
      </c>
      <c r="D4425" s="2" t="s">
        <v>6</v>
      </c>
      <c r="E4425" s="14" t="str">
        <f t="shared" si="569"/>
        <v>Paint Booth</v>
      </c>
      <c r="F4425" s="22">
        <f t="shared" si="571"/>
        <v>16</v>
      </c>
      <c r="H4425" s="5" t="str">
        <f ca="1">_xlfn.FORMULATEXT(표1[[#This Row],[Q''ty]])</f>
        <v>=F4326</v>
      </c>
    </row>
    <row r="4426" spans="1:8" ht="15" hidden="1" customHeight="1" x14ac:dyDescent="0.4">
      <c r="A4426" s="6">
        <v>2026</v>
      </c>
      <c r="B4426" s="6">
        <f t="shared" si="570"/>
        <v>45</v>
      </c>
      <c r="C4426" s="13" t="s">
        <v>20</v>
      </c>
      <c r="D4426" s="2" t="s">
        <v>6</v>
      </c>
      <c r="E4426" s="14" t="str">
        <f t="shared" si="569"/>
        <v>Paint Line</v>
      </c>
      <c r="F4426" s="22">
        <f t="shared" si="571"/>
        <v>8</v>
      </c>
      <c r="H4426" s="5" t="str">
        <f ca="1">_xlfn.FORMULATEXT(표1[[#This Row],[Q''ty]])</f>
        <v>=F4327</v>
      </c>
    </row>
    <row r="4427" spans="1:8" ht="15" hidden="1" customHeight="1" x14ac:dyDescent="0.4">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hidden="1" customHeight="1" x14ac:dyDescent="0.4">
      <c r="A4428" s="6">
        <v>2026</v>
      </c>
      <c r="B4428" s="6">
        <f t="shared" si="570"/>
        <v>45</v>
      </c>
      <c r="C4428" s="13" t="s">
        <v>20</v>
      </c>
      <c r="D4428" s="2" t="s">
        <v>6</v>
      </c>
      <c r="E4428" s="14" t="str">
        <f t="shared" si="569"/>
        <v>L/W Machine</v>
      </c>
      <c r="F4428" s="22">
        <f t="shared" si="571"/>
        <v>11</v>
      </c>
      <c r="H4428" s="5" t="str">
        <f ca="1">_xlfn.FORMULATEXT(표1[[#This Row],[Q''ty]])</f>
        <v>=F4329</v>
      </c>
    </row>
    <row r="4429" spans="1:8" ht="15" hidden="1" customHeight="1" x14ac:dyDescent="0.4">
      <c r="A4429" s="6">
        <v>2026</v>
      </c>
      <c r="B4429" s="6">
        <f t="shared" si="570"/>
        <v>45</v>
      </c>
      <c r="C4429" s="13" t="s">
        <v>20</v>
      </c>
      <c r="D4429" s="2" t="s">
        <v>6</v>
      </c>
      <c r="E4429" s="14" t="str">
        <f t="shared" si="569"/>
        <v>C/W Machine</v>
      </c>
      <c r="F4429" s="22">
        <f t="shared" si="571"/>
        <v>15</v>
      </c>
      <c r="H4429" s="5" t="str">
        <f ca="1">_xlfn.FORMULATEXT(표1[[#This Row],[Q''ty]])</f>
        <v>=F4330</v>
      </c>
    </row>
    <row r="4430" spans="1:8" ht="15" hidden="1" customHeight="1" x14ac:dyDescent="0.4">
      <c r="A4430" s="6">
        <v>2026</v>
      </c>
      <c r="B4430" s="6">
        <f t="shared" si="570"/>
        <v>45</v>
      </c>
      <c r="C4430" s="13" t="s">
        <v>20</v>
      </c>
      <c r="D4430" s="2" t="s">
        <v>12</v>
      </c>
      <c r="E4430" s="14" t="str">
        <f t="shared" si="569"/>
        <v>BT GT</v>
      </c>
      <c r="F4430" s="22"/>
      <c r="H4430" s="5" t="e">
        <f ca="1">_xlfn.FORMULATEXT(표1[[#This Row],[Q''ty]])</f>
        <v>#N/A</v>
      </c>
    </row>
    <row r="4431" spans="1:8" ht="15" hidden="1" customHeight="1" x14ac:dyDescent="0.4">
      <c r="A4431" s="6">
        <v>2026</v>
      </c>
      <c r="B4431" s="6">
        <f t="shared" si="570"/>
        <v>45</v>
      </c>
      <c r="C4431" s="13" t="s">
        <v>20</v>
      </c>
      <c r="D4431" s="2" t="s">
        <v>12</v>
      </c>
      <c r="E4431" s="14" t="str">
        <f t="shared" si="569"/>
        <v>WT GT</v>
      </c>
      <c r="F4431" s="22"/>
      <c r="H4431" s="5" t="e">
        <f ca="1">_xlfn.FORMULATEXT(표1[[#This Row],[Q''ty]])</f>
        <v>#N/A</v>
      </c>
    </row>
    <row r="4432" spans="1:8" ht="15" hidden="1" customHeight="1" x14ac:dyDescent="0.4">
      <c r="A4432" s="6">
        <v>2026</v>
      </c>
      <c r="B4432" s="6">
        <f t="shared" si="570"/>
        <v>45</v>
      </c>
      <c r="C4432" s="13" t="s">
        <v>20</v>
      </c>
      <c r="D4432" s="2" t="s">
        <v>12</v>
      </c>
      <c r="E4432" s="14" t="str">
        <f t="shared" si="569"/>
        <v>Bending</v>
      </c>
      <c r="F4432" s="22"/>
      <c r="H4432" s="5" t="e">
        <f ca="1">_xlfn.FORMULATEXT(표1[[#This Row],[Q''ty]])</f>
        <v>#N/A</v>
      </c>
    </row>
    <row r="4433" spans="1:8" ht="15" hidden="1" customHeight="1" x14ac:dyDescent="0.4">
      <c r="A4433" s="6">
        <v>2026</v>
      </c>
      <c r="B4433" s="6">
        <f t="shared" si="570"/>
        <v>45</v>
      </c>
      <c r="C4433" s="13" t="s">
        <v>20</v>
      </c>
      <c r="D4433" s="2" t="s">
        <v>12</v>
      </c>
      <c r="E4433" s="14" t="str">
        <f t="shared" si="569"/>
        <v>L/W</v>
      </c>
      <c r="F4433" s="22"/>
      <c r="H4433" s="5" t="e">
        <f ca="1">_xlfn.FORMULATEXT(표1[[#This Row],[Q''ty]])</f>
        <v>#N/A</v>
      </c>
    </row>
    <row r="4434" spans="1:8" ht="15" hidden="1" customHeight="1" thickBot="1" x14ac:dyDescent="0.45">
      <c r="A4434" s="15">
        <v>2026</v>
      </c>
      <c r="B4434" s="15">
        <f t="shared" si="570"/>
        <v>45</v>
      </c>
      <c r="C4434" s="16" t="s">
        <v>20</v>
      </c>
      <c r="D4434" s="17" t="s">
        <v>12</v>
      </c>
      <c r="E4434" s="18" t="str">
        <f t="shared" si="569"/>
        <v>C/W</v>
      </c>
      <c r="F4434" s="23"/>
      <c r="H4434" s="5" t="e">
        <f ca="1">_xlfn.FORMULATEXT(표1[[#This Row],[Q''ty]])</f>
        <v>#N/A</v>
      </c>
    </row>
    <row r="4435" spans="1:8" ht="15" hidden="1" customHeight="1" thickTop="1" x14ac:dyDescent="0.4">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hidden="1" customHeight="1" x14ac:dyDescent="0.4">
      <c r="A4436" s="6">
        <v>2026</v>
      </c>
      <c r="B4436" s="6">
        <f t="shared" si="570"/>
        <v>45</v>
      </c>
      <c r="C4436" s="13" t="s">
        <v>21</v>
      </c>
      <c r="D4436" s="2" t="s">
        <v>6</v>
      </c>
      <c r="E4436" s="14" t="str">
        <f t="shared" si="569"/>
        <v>Paint Booth</v>
      </c>
      <c r="F4436" s="22">
        <f t="shared" si="572"/>
        <v>4</v>
      </c>
      <c r="H4436" s="5" t="str">
        <f ca="1">_xlfn.FORMULATEXT(표1[[#This Row],[Q''ty]])</f>
        <v>=F4337</v>
      </c>
    </row>
    <row r="4437" spans="1:8" ht="15" hidden="1" customHeight="1" x14ac:dyDescent="0.4">
      <c r="A4437" s="6">
        <v>2026</v>
      </c>
      <c r="B4437" s="6">
        <f t="shared" si="570"/>
        <v>45</v>
      </c>
      <c r="C4437" s="13" t="s">
        <v>21</v>
      </c>
      <c r="D4437" s="2" t="s">
        <v>6</v>
      </c>
      <c r="E4437" s="14" t="str">
        <f t="shared" si="569"/>
        <v>Paint Line</v>
      </c>
      <c r="F4437" s="22">
        <f t="shared" si="572"/>
        <v>4</v>
      </c>
      <c r="H4437" s="5" t="str">
        <f ca="1">_xlfn.FORMULATEXT(표1[[#This Row],[Q''ty]])</f>
        <v>=F4338</v>
      </c>
    </row>
    <row r="4438" spans="1:8" ht="15" hidden="1" customHeight="1" x14ac:dyDescent="0.4">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hidden="1" customHeight="1" x14ac:dyDescent="0.4">
      <c r="A4439" s="6">
        <v>2026</v>
      </c>
      <c r="B4439" s="6">
        <f t="shared" si="570"/>
        <v>45</v>
      </c>
      <c r="C4439" s="13" t="s">
        <v>21</v>
      </c>
      <c r="D4439" s="2" t="s">
        <v>6</v>
      </c>
      <c r="E4439" s="14" t="str">
        <f t="shared" si="569"/>
        <v>L/W Machine</v>
      </c>
      <c r="F4439" s="22">
        <f t="shared" si="572"/>
        <v>4</v>
      </c>
      <c r="H4439" s="5" t="str">
        <f ca="1">_xlfn.FORMULATEXT(표1[[#This Row],[Q''ty]])</f>
        <v>=F4340</v>
      </c>
    </row>
    <row r="4440" spans="1:8" ht="15" hidden="1" customHeight="1" x14ac:dyDescent="0.4">
      <c r="A4440" s="6">
        <v>2026</v>
      </c>
      <c r="B4440" s="6">
        <f t="shared" si="570"/>
        <v>45</v>
      </c>
      <c r="C4440" s="13" t="s">
        <v>21</v>
      </c>
      <c r="D4440" s="2" t="s">
        <v>6</v>
      </c>
      <c r="E4440" s="14" t="str">
        <f t="shared" si="569"/>
        <v>C/W Machine</v>
      </c>
      <c r="F4440" s="22">
        <f t="shared" si="572"/>
        <v>6.5</v>
      </c>
      <c r="H4440" s="5" t="str">
        <f ca="1">_xlfn.FORMULATEXT(표1[[#This Row],[Q''ty]])</f>
        <v>=F4341</v>
      </c>
    </row>
    <row r="4441" spans="1:8" ht="15" hidden="1" customHeight="1" x14ac:dyDescent="0.4">
      <c r="A4441" s="6">
        <v>2026</v>
      </c>
      <c r="B4441" s="6">
        <f t="shared" si="570"/>
        <v>45</v>
      </c>
      <c r="C4441" s="13" t="s">
        <v>21</v>
      </c>
      <c r="D4441" s="2" t="s">
        <v>12</v>
      </c>
      <c r="E4441" s="14" t="str">
        <f t="shared" si="569"/>
        <v>BT GT</v>
      </c>
      <c r="F4441" s="22"/>
      <c r="H4441" s="5" t="e">
        <f ca="1">_xlfn.FORMULATEXT(표1[[#This Row],[Q''ty]])</f>
        <v>#N/A</v>
      </c>
    </row>
    <row r="4442" spans="1:8" ht="15" hidden="1" customHeight="1" x14ac:dyDescent="0.4">
      <c r="A4442" s="6">
        <v>2026</v>
      </c>
      <c r="B4442" s="6">
        <f t="shared" si="570"/>
        <v>45</v>
      </c>
      <c r="C4442" s="13" t="s">
        <v>21</v>
      </c>
      <c r="D4442" s="2" t="s">
        <v>12</v>
      </c>
      <c r="E4442" s="14" t="str">
        <f t="shared" si="569"/>
        <v>WT GT</v>
      </c>
      <c r="F4442" s="22"/>
      <c r="H4442" s="5" t="e">
        <f ca="1">_xlfn.FORMULATEXT(표1[[#This Row],[Q''ty]])</f>
        <v>#N/A</v>
      </c>
    </row>
    <row r="4443" spans="1:8" ht="15" hidden="1" customHeight="1" x14ac:dyDescent="0.4">
      <c r="A4443" s="6">
        <v>2026</v>
      </c>
      <c r="B4443" s="6">
        <f t="shared" si="570"/>
        <v>45</v>
      </c>
      <c r="C4443" s="13" t="s">
        <v>21</v>
      </c>
      <c r="D4443" s="2" t="s">
        <v>12</v>
      </c>
      <c r="E4443" s="14" t="str">
        <f t="shared" si="569"/>
        <v>Bending</v>
      </c>
      <c r="F4443" s="22"/>
      <c r="H4443" s="5" t="e">
        <f ca="1">_xlfn.FORMULATEXT(표1[[#This Row],[Q''ty]])</f>
        <v>#N/A</v>
      </c>
    </row>
    <row r="4444" spans="1:8" ht="15" hidden="1" customHeight="1" x14ac:dyDescent="0.4">
      <c r="A4444" s="6">
        <v>2026</v>
      </c>
      <c r="B4444" s="6">
        <f t="shared" si="570"/>
        <v>45</v>
      </c>
      <c r="C4444" s="13" t="s">
        <v>21</v>
      </c>
      <c r="D4444" s="2" t="s">
        <v>12</v>
      </c>
      <c r="E4444" s="14" t="str">
        <f t="shared" si="569"/>
        <v>L/W</v>
      </c>
      <c r="F4444" s="22"/>
      <c r="H4444" s="5" t="e">
        <f ca="1">_xlfn.FORMULATEXT(표1[[#This Row],[Q''ty]])</f>
        <v>#N/A</v>
      </c>
    </row>
    <row r="4445" spans="1:8" ht="15" hidden="1" customHeight="1" thickBot="1" x14ac:dyDescent="0.45">
      <c r="A4445" s="15">
        <v>2026</v>
      </c>
      <c r="B4445" s="15">
        <f t="shared" si="570"/>
        <v>45</v>
      </c>
      <c r="C4445" s="16" t="s">
        <v>21</v>
      </c>
      <c r="D4445" s="17" t="s">
        <v>12</v>
      </c>
      <c r="E4445" s="18" t="str">
        <f t="shared" si="569"/>
        <v>C/W</v>
      </c>
      <c r="F4445" s="23"/>
      <c r="H4445" s="5" t="e">
        <f ca="1">_xlfn.FORMULATEXT(표1[[#This Row],[Q''ty]])</f>
        <v>#N/A</v>
      </c>
    </row>
    <row r="4446" spans="1:8" ht="15" hidden="1" customHeight="1" thickTop="1" x14ac:dyDescent="0.4">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hidden="1" customHeight="1" x14ac:dyDescent="0.4">
      <c r="A4447" s="6">
        <v>2026</v>
      </c>
      <c r="B4447" s="6">
        <f t="shared" si="570"/>
        <v>45</v>
      </c>
      <c r="C4447" s="13" t="s">
        <v>22</v>
      </c>
      <c r="D4447" s="2" t="s">
        <v>6</v>
      </c>
      <c r="E4447" s="14" t="str">
        <f t="shared" si="569"/>
        <v>Paint Booth</v>
      </c>
      <c r="F4447" s="22">
        <f t="shared" si="573"/>
        <v>6</v>
      </c>
      <c r="H4447" s="5" t="str">
        <f ca="1">_xlfn.FORMULATEXT(표1[[#This Row],[Q''ty]])</f>
        <v>=F4348</v>
      </c>
    </row>
    <row r="4448" spans="1:8" ht="15" hidden="1" customHeight="1" x14ac:dyDescent="0.4">
      <c r="A4448" s="6">
        <v>2026</v>
      </c>
      <c r="B4448" s="6">
        <f t="shared" si="570"/>
        <v>45</v>
      </c>
      <c r="C4448" s="13" t="s">
        <v>22</v>
      </c>
      <c r="D4448" s="2" t="s">
        <v>6</v>
      </c>
      <c r="E4448" s="14" t="str">
        <f t="shared" si="569"/>
        <v>Paint Line</v>
      </c>
      <c r="F4448" s="22">
        <f t="shared" si="573"/>
        <v>4</v>
      </c>
      <c r="H4448" s="5" t="str">
        <f ca="1">_xlfn.FORMULATEXT(표1[[#This Row],[Q''ty]])</f>
        <v>=F4349</v>
      </c>
    </row>
    <row r="4449" spans="1:10" ht="15" hidden="1" customHeight="1" x14ac:dyDescent="0.4">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10" ht="15" hidden="1" customHeight="1" x14ac:dyDescent="0.4">
      <c r="A4450" s="6">
        <v>2026</v>
      </c>
      <c r="B4450" s="6">
        <f t="shared" si="570"/>
        <v>45</v>
      </c>
      <c r="C4450" s="13" t="s">
        <v>22</v>
      </c>
      <c r="D4450" s="2" t="s">
        <v>6</v>
      </c>
      <c r="E4450" s="14" t="str">
        <f t="shared" si="569"/>
        <v>L/W Machine</v>
      </c>
      <c r="F4450" s="22">
        <f t="shared" si="573"/>
        <v>7</v>
      </c>
      <c r="H4450" s="5" t="str">
        <f ca="1">_xlfn.FORMULATEXT(표1[[#This Row],[Q''ty]])</f>
        <v>=F4351</v>
      </c>
    </row>
    <row r="4451" spans="1:10" ht="15" hidden="1" customHeight="1" x14ac:dyDescent="0.4">
      <c r="A4451" s="6">
        <v>2026</v>
      </c>
      <c r="B4451" s="6">
        <f t="shared" si="570"/>
        <v>45</v>
      </c>
      <c r="C4451" s="13" t="s">
        <v>22</v>
      </c>
      <c r="D4451" s="2" t="s">
        <v>6</v>
      </c>
      <c r="E4451" s="14" t="str">
        <f t="shared" si="569"/>
        <v>C/W Machine</v>
      </c>
      <c r="F4451" s="22">
        <f t="shared" si="573"/>
        <v>12.5</v>
      </c>
      <c r="H4451" s="5" t="str">
        <f ca="1">_xlfn.FORMULATEXT(표1[[#This Row],[Q''ty]])</f>
        <v>=F4352</v>
      </c>
    </row>
    <row r="4452" spans="1:10" ht="15" hidden="1" customHeight="1" x14ac:dyDescent="0.4">
      <c r="A4452" s="6">
        <v>2026</v>
      </c>
      <c r="B4452" s="6">
        <f t="shared" si="570"/>
        <v>45</v>
      </c>
      <c r="C4452" s="13" t="s">
        <v>22</v>
      </c>
      <c r="D4452" s="2" t="s">
        <v>12</v>
      </c>
      <c r="E4452" s="14" t="str">
        <f t="shared" si="569"/>
        <v>BT GT</v>
      </c>
      <c r="F4452" s="22"/>
      <c r="H4452" s="5" t="e">
        <f ca="1">_xlfn.FORMULATEXT(표1[[#This Row],[Q''ty]])</f>
        <v>#N/A</v>
      </c>
    </row>
    <row r="4453" spans="1:10" ht="15" hidden="1" customHeight="1" x14ac:dyDescent="0.4">
      <c r="A4453" s="6">
        <v>2026</v>
      </c>
      <c r="B4453" s="6">
        <f t="shared" si="570"/>
        <v>45</v>
      </c>
      <c r="C4453" s="13" t="s">
        <v>22</v>
      </c>
      <c r="D4453" s="2" t="s">
        <v>12</v>
      </c>
      <c r="E4453" s="14" t="str">
        <f t="shared" si="569"/>
        <v>WT GT</v>
      </c>
      <c r="F4453" s="22"/>
      <c r="H4453" s="5" t="e">
        <f ca="1">_xlfn.FORMULATEXT(표1[[#This Row],[Q''ty]])</f>
        <v>#N/A</v>
      </c>
    </row>
    <row r="4454" spans="1:10" ht="15" hidden="1" customHeight="1" x14ac:dyDescent="0.4">
      <c r="A4454" s="6">
        <v>2026</v>
      </c>
      <c r="B4454" s="6">
        <f t="shared" si="570"/>
        <v>45</v>
      </c>
      <c r="C4454" s="13" t="s">
        <v>22</v>
      </c>
      <c r="D4454" s="2" t="s">
        <v>12</v>
      </c>
      <c r="E4454" s="14" t="str">
        <f t="shared" si="569"/>
        <v>Bending</v>
      </c>
      <c r="F4454" s="22"/>
      <c r="H4454" s="5" t="e">
        <f ca="1">_xlfn.FORMULATEXT(표1[[#This Row],[Q''ty]])</f>
        <v>#N/A</v>
      </c>
    </row>
    <row r="4455" spans="1:10" ht="15" hidden="1" customHeight="1" x14ac:dyDescent="0.4">
      <c r="A4455" s="6">
        <v>2026</v>
      </c>
      <c r="B4455" s="6">
        <f t="shared" si="570"/>
        <v>45</v>
      </c>
      <c r="C4455" s="13" t="s">
        <v>22</v>
      </c>
      <c r="D4455" s="2" t="s">
        <v>12</v>
      </c>
      <c r="E4455" s="14" t="str">
        <f t="shared" si="569"/>
        <v>L/W</v>
      </c>
      <c r="F4455" s="22"/>
      <c r="H4455" s="5" t="e">
        <f ca="1">_xlfn.FORMULATEXT(표1[[#This Row],[Q''ty]])</f>
        <v>#N/A</v>
      </c>
    </row>
    <row r="4456" spans="1:10" ht="15" hidden="1" customHeight="1" thickBot="1" x14ac:dyDescent="0.45">
      <c r="A4456" s="6">
        <v>2026</v>
      </c>
      <c r="B4456" s="6">
        <f t="shared" si="570"/>
        <v>45</v>
      </c>
      <c r="C4456" s="13" t="s">
        <v>22</v>
      </c>
      <c r="D4456" s="2" t="s">
        <v>12</v>
      </c>
      <c r="E4456" s="14" t="str">
        <f t="shared" si="569"/>
        <v>C/W</v>
      </c>
      <c r="F4456" s="22"/>
      <c r="H4456" s="5" t="e">
        <f ca="1">_xlfn.FORMULATEXT(표1[[#This Row],[Q''ty]])</f>
        <v>#N/A</v>
      </c>
    </row>
    <row r="4457" spans="1:10" ht="15" hidden="1" customHeight="1" thickTop="1" x14ac:dyDescent="0.4">
      <c r="A4457" s="9">
        <v>2026</v>
      </c>
      <c r="B4457" s="9">
        <f>B4358+1</f>
        <v>46</v>
      </c>
      <c r="C4457" s="10" t="s">
        <v>28</v>
      </c>
      <c r="D4457" s="11" t="s">
        <v>6</v>
      </c>
      <c r="E4457" s="12" t="s">
        <v>7</v>
      </c>
      <c r="F4457" s="21">
        <f t="shared" ref="F4457:F4462" si="574">F4358</f>
        <v>15</v>
      </c>
      <c r="H4457" s="5" t="str">
        <f ca="1">_xlfn.FORMULATEXT(표1[[#This Row],[Q''ty]])</f>
        <v>=F4358</v>
      </c>
    </row>
    <row r="4458" spans="1:10" s="2" customFormat="1" ht="15" hidden="1" customHeight="1" x14ac:dyDescent="0.4">
      <c r="A4458" s="6">
        <v>2026</v>
      </c>
      <c r="B4458" s="6">
        <f t="shared" ref="B4458:B4521" si="575">B4359+1</f>
        <v>46</v>
      </c>
      <c r="C4458" s="13" t="s">
        <v>23</v>
      </c>
      <c r="D4458" s="2" t="s">
        <v>6</v>
      </c>
      <c r="E4458" s="14" t="s">
        <v>8</v>
      </c>
      <c r="F4458" s="22">
        <f t="shared" si="574"/>
        <v>10</v>
      </c>
      <c r="H4458" s="5" t="str">
        <f ca="1">_xlfn.FORMULATEXT(표1[[#This Row],[Q''ty]])</f>
        <v>=F4359</v>
      </c>
      <c r="I4458" s="26"/>
      <c r="J4458" s="26"/>
    </row>
    <row r="4459" spans="1:10" s="2" customFormat="1" ht="15" hidden="1" customHeight="1" x14ac:dyDescent="0.4">
      <c r="A4459" s="6">
        <v>2026</v>
      </c>
      <c r="B4459" s="6">
        <f t="shared" si="575"/>
        <v>46</v>
      </c>
      <c r="C4459" s="13" t="s">
        <v>23</v>
      </c>
      <c r="D4459" s="2" t="s">
        <v>6</v>
      </c>
      <c r="E4459" s="14" t="s">
        <v>9</v>
      </c>
      <c r="F4459" s="22">
        <f t="shared" si="574"/>
        <v>5</v>
      </c>
      <c r="H4459" s="5" t="str">
        <f ca="1">_xlfn.FORMULATEXT(표1[[#This Row],[Q''ty]])</f>
        <v>=F4360</v>
      </c>
      <c r="I4459" s="26"/>
      <c r="J4459" s="26"/>
    </row>
    <row r="4460" spans="1:10" ht="15" hidden="1" customHeight="1" x14ac:dyDescent="0.4">
      <c r="A4460" s="6">
        <v>2026</v>
      </c>
      <c r="B4460" s="6">
        <f t="shared" si="575"/>
        <v>46</v>
      </c>
      <c r="C4460" s="13" t="s">
        <v>23</v>
      </c>
      <c r="D4460" s="2" t="s">
        <v>6</v>
      </c>
      <c r="E4460" s="14" t="s">
        <v>27</v>
      </c>
      <c r="F4460" s="22">
        <f t="shared" si="574"/>
        <v>6</v>
      </c>
      <c r="H4460" s="5" t="str">
        <f ca="1">_xlfn.FORMULATEXT(표1[[#This Row],[Q''ty]])</f>
        <v>=F4361</v>
      </c>
    </row>
    <row r="4461" spans="1:10" ht="15" hidden="1" customHeight="1" x14ac:dyDescent="0.4">
      <c r="A4461" s="6">
        <v>2026</v>
      </c>
      <c r="B4461" s="6">
        <f t="shared" si="575"/>
        <v>46</v>
      </c>
      <c r="C4461" s="13" t="s">
        <v>23</v>
      </c>
      <c r="D4461" s="2" t="s">
        <v>6</v>
      </c>
      <c r="E4461" s="14" t="s">
        <v>10</v>
      </c>
      <c r="F4461" s="22">
        <f t="shared" si="574"/>
        <v>10</v>
      </c>
      <c r="H4461" s="5" t="str">
        <f ca="1">_xlfn.FORMULATEXT(표1[[#This Row],[Q''ty]])</f>
        <v>=F4362</v>
      </c>
    </row>
    <row r="4462" spans="1:10" ht="15" hidden="1" customHeight="1" x14ac:dyDescent="0.4">
      <c r="A4462" s="6">
        <v>2026</v>
      </c>
      <c r="B4462" s="6">
        <f t="shared" si="575"/>
        <v>46</v>
      </c>
      <c r="C4462" s="13" t="s">
        <v>23</v>
      </c>
      <c r="D4462" s="2" t="s">
        <v>6</v>
      </c>
      <c r="E4462" s="14" t="s">
        <v>11</v>
      </c>
      <c r="F4462" s="22">
        <f t="shared" si="574"/>
        <v>10</v>
      </c>
      <c r="H4462" s="5" t="str">
        <f ca="1">_xlfn.FORMULATEXT(표1[[#This Row],[Q''ty]])</f>
        <v>=F4363</v>
      </c>
    </row>
    <row r="4463" spans="1:10" ht="15" hidden="1" customHeight="1" x14ac:dyDescent="0.4">
      <c r="A4463" s="6">
        <v>2026</v>
      </c>
      <c r="B4463" s="6">
        <f t="shared" si="575"/>
        <v>46</v>
      </c>
      <c r="C4463" s="13" t="s">
        <v>23</v>
      </c>
      <c r="D4463" s="2" t="s">
        <v>12</v>
      </c>
      <c r="E4463" s="14" t="s">
        <v>13</v>
      </c>
      <c r="F4463" s="22"/>
      <c r="H4463" s="5" t="e">
        <f ca="1">_xlfn.FORMULATEXT(표1[[#This Row],[Q''ty]])</f>
        <v>#N/A</v>
      </c>
    </row>
    <row r="4464" spans="1:10" s="2" customFormat="1" ht="15" hidden="1" customHeight="1" x14ac:dyDescent="0.4">
      <c r="A4464" s="6">
        <v>2026</v>
      </c>
      <c r="B4464" s="6">
        <f t="shared" si="575"/>
        <v>46</v>
      </c>
      <c r="C4464" s="13" t="s">
        <v>23</v>
      </c>
      <c r="D4464" s="2" t="s">
        <v>12</v>
      </c>
      <c r="E4464" s="14" t="s">
        <v>14</v>
      </c>
      <c r="F4464" s="22"/>
      <c r="H4464" s="5" t="e">
        <f ca="1">_xlfn.FORMULATEXT(표1[[#This Row],[Q''ty]])</f>
        <v>#N/A</v>
      </c>
      <c r="I4464" s="26"/>
      <c r="J4464" s="26"/>
    </row>
    <row r="4465" spans="1:10" ht="15" hidden="1" customHeight="1" x14ac:dyDescent="0.4">
      <c r="A4465" s="6">
        <v>2026</v>
      </c>
      <c r="B4465" s="6">
        <f t="shared" si="575"/>
        <v>46</v>
      </c>
      <c r="C4465" s="13" t="s">
        <v>23</v>
      </c>
      <c r="D4465" s="2" t="s">
        <v>12</v>
      </c>
      <c r="E4465" s="14" t="s">
        <v>15</v>
      </c>
      <c r="F4465" s="22"/>
      <c r="H4465" s="5" t="e">
        <f ca="1">_xlfn.FORMULATEXT(표1[[#This Row],[Q''ty]])</f>
        <v>#N/A</v>
      </c>
    </row>
    <row r="4466" spans="1:10" ht="15" hidden="1" customHeight="1" x14ac:dyDescent="0.4">
      <c r="A4466" s="6">
        <v>2026</v>
      </c>
      <c r="B4466" s="6">
        <f t="shared" si="575"/>
        <v>46</v>
      </c>
      <c r="C4466" s="13" t="s">
        <v>23</v>
      </c>
      <c r="D4466" s="2" t="s">
        <v>12</v>
      </c>
      <c r="E4466" s="14" t="s">
        <v>16</v>
      </c>
      <c r="F4466" s="22"/>
      <c r="H4466" s="5" t="e">
        <f ca="1">_xlfn.FORMULATEXT(표1[[#This Row],[Q''ty]])</f>
        <v>#N/A</v>
      </c>
    </row>
    <row r="4467" spans="1:10" ht="15" hidden="1" customHeight="1" thickBot="1" x14ac:dyDescent="0.45">
      <c r="A4467" s="15">
        <v>2026</v>
      </c>
      <c r="B4467" s="15">
        <f t="shared" si="575"/>
        <v>46</v>
      </c>
      <c r="C4467" s="16" t="s">
        <v>23</v>
      </c>
      <c r="D4467" s="17" t="s">
        <v>12</v>
      </c>
      <c r="E4467" s="18" t="s">
        <v>17</v>
      </c>
      <c r="F4467" s="23"/>
      <c r="H4467" s="5" t="e">
        <f ca="1">_xlfn.FORMULATEXT(표1[[#This Row],[Q''ty]])</f>
        <v>#N/A</v>
      </c>
    </row>
    <row r="4468" spans="1:10" ht="15" hidden="1" customHeight="1" thickTop="1" x14ac:dyDescent="0.4">
      <c r="A4468" s="9">
        <v>2026</v>
      </c>
      <c r="B4468" s="9">
        <f t="shared" si="575"/>
        <v>46</v>
      </c>
      <c r="C4468" s="10" t="s">
        <v>29</v>
      </c>
      <c r="D4468" s="11" t="s">
        <v>6</v>
      </c>
      <c r="E4468" s="12" t="s">
        <v>7</v>
      </c>
      <c r="F4468" s="21">
        <f t="shared" ref="F4468:F4473" si="576">F4369</f>
        <v>14</v>
      </c>
      <c r="H4468" s="5" t="str">
        <f ca="1">_xlfn.FORMULATEXT(표1[[#This Row],[Q''ty]])</f>
        <v>=F4369</v>
      </c>
    </row>
    <row r="4469" spans="1:10" s="2" customFormat="1" ht="15" hidden="1" customHeight="1" x14ac:dyDescent="0.4">
      <c r="A4469" s="6">
        <v>2026</v>
      </c>
      <c r="B4469" s="6">
        <f t="shared" si="575"/>
        <v>46</v>
      </c>
      <c r="C4469" s="13" t="s">
        <v>24</v>
      </c>
      <c r="D4469" s="2" t="s">
        <v>6</v>
      </c>
      <c r="E4469" s="14" t="s">
        <v>8</v>
      </c>
      <c r="F4469" s="22">
        <f t="shared" si="576"/>
        <v>8</v>
      </c>
      <c r="H4469" s="5" t="str">
        <f ca="1">_xlfn.FORMULATEXT(표1[[#This Row],[Q''ty]])</f>
        <v>=F4370</v>
      </c>
      <c r="I4469" s="26"/>
      <c r="J4469" s="26"/>
    </row>
    <row r="4470" spans="1:10" s="2" customFormat="1" ht="15" hidden="1" customHeight="1" x14ac:dyDescent="0.4">
      <c r="A4470" s="6">
        <v>2026</v>
      </c>
      <c r="B4470" s="6">
        <f t="shared" si="575"/>
        <v>46</v>
      </c>
      <c r="C4470" s="13" t="s">
        <v>24</v>
      </c>
      <c r="D4470" s="2" t="s">
        <v>6</v>
      </c>
      <c r="E4470" s="14" t="s">
        <v>9</v>
      </c>
      <c r="F4470" s="22">
        <f t="shared" si="576"/>
        <v>4</v>
      </c>
      <c r="H4470" s="5" t="str">
        <f ca="1">_xlfn.FORMULATEXT(표1[[#This Row],[Q''ty]])</f>
        <v>=F4371</v>
      </c>
      <c r="I4470" s="26"/>
      <c r="J4470" s="26"/>
    </row>
    <row r="4471" spans="1:10" ht="15" hidden="1" customHeight="1" x14ac:dyDescent="0.4">
      <c r="A4471" s="6">
        <v>2026</v>
      </c>
      <c r="B4471" s="6">
        <f t="shared" si="575"/>
        <v>46</v>
      </c>
      <c r="C4471" s="13" t="s">
        <v>24</v>
      </c>
      <c r="D4471" s="2" t="s">
        <v>6</v>
      </c>
      <c r="E4471" s="14" t="s">
        <v>27</v>
      </c>
      <c r="F4471" s="22">
        <f t="shared" si="576"/>
        <v>3</v>
      </c>
      <c r="H4471" s="5" t="str">
        <f ca="1">_xlfn.FORMULATEXT(표1[[#This Row],[Q''ty]])</f>
        <v>=F4372</v>
      </c>
    </row>
    <row r="4472" spans="1:10" ht="15" hidden="1" customHeight="1" x14ac:dyDescent="0.4">
      <c r="A4472" s="6">
        <v>2026</v>
      </c>
      <c r="B4472" s="6">
        <f t="shared" si="575"/>
        <v>46</v>
      </c>
      <c r="C4472" s="13" t="s">
        <v>24</v>
      </c>
      <c r="D4472" s="2" t="s">
        <v>6</v>
      </c>
      <c r="E4472" s="14" t="s">
        <v>10</v>
      </c>
      <c r="F4472" s="22">
        <f t="shared" si="576"/>
        <v>6</v>
      </c>
      <c r="H4472" s="5" t="str">
        <f ca="1">_xlfn.FORMULATEXT(표1[[#This Row],[Q''ty]])</f>
        <v>=F4373</v>
      </c>
    </row>
    <row r="4473" spans="1:10" ht="15" hidden="1" customHeight="1" x14ac:dyDescent="0.4">
      <c r="A4473" s="6">
        <v>2026</v>
      </c>
      <c r="B4473" s="6">
        <f t="shared" si="575"/>
        <v>46</v>
      </c>
      <c r="C4473" s="13" t="s">
        <v>24</v>
      </c>
      <c r="D4473" s="2" t="s">
        <v>6</v>
      </c>
      <c r="E4473" s="14" t="s">
        <v>11</v>
      </c>
      <c r="F4473" s="22">
        <f t="shared" si="576"/>
        <v>8.8000000000000007</v>
      </c>
      <c r="H4473" s="5" t="str">
        <f ca="1">_xlfn.FORMULATEXT(표1[[#This Row],[Q''ty]])</f>
        <v>=F4374</v>
      </c>
    </row>
    <row r="4474" spans="1:10" ht="15" hidden="1" customHeight="1" x14ac:dyDescent="0.4">
      <c r="A4474" s="6">
        <v>2026</v>
      </c>
      <c r="B4474" s="6">
        <f t="shared" si="575"/>
        <v>46</v>
      </c>
      <c r="C4474" s="13" t="s">
        <v>24</v>
      </c>
      <c r="D4474" s="2" t="s">
        <v>12</v>
      </c>
      <c r="E4474" s="14" t="s">
        <v>13</v>
      </c>
      <c r="F4474" s="22"/>
      <c r="H4474" s="5" t="e">
        <f ca="1">_xlfn.FORMULATEXT(표1[[#This Row],[Q''ty]])</f>
        <v>#N/A</v>
      </c>
    </row>
    <row r="4475" spans="1:10" s="2" customFormat="1" ht="15" hidden="1" customHeight="1" x14ac:dyDescent="0.4">
      <c r="A4475" s="6">
        <v>2026</v>
      </c>
      <c r="B4475" s="6">
        <f t="shared" si="575"/>
        <v>46</v>
      </c>
      <c r="C4475" s="13" t="s">
        <v>24</v>
      </c>
      <c r="D4475" s="2" t="s">
        <v>12</v>
      </c>
      <c r="E4475" s="14" t="s">
        <v>14</v>
      </c>
      <c r="F4475" s="22"/>
      <c r="H4475" s="5" t="e">
        <f ca="1">_xlfn.FORMULATEXT(표1[[#This Row],[Q''ty]])</f>
        <v>#N/A</v>
      </c>
      <c r="I4475" s="26"/>
      <c r="J4475" s="26"/>
    </row>
    <row r="4476" spans="1:10" ht="15" hidden="1" customHeight="1" x14ac:dyDescent="0.4">
      <c r="A4476" s="6">
        <v>2026</v>
      </c>
      <c r="B4476" s="6">
        <f t="shared" si="575"/>
        <v>46</v>
      </c>
      <c r="C4476" s="13" t="s">
        <v>24</v>
      </c>
      <c r="D4476" s="2" t="s">
        <v>12</v>
      </c>
      <c r="E4476" s="14" t="s">
        <v>15</v>
      </c>
      <c r="F4476" s="22"/>
      <c r="H4476" s="5" t="e">
        <f ca="1">_xlfn.FORMULATEXT(표1[[#This Row],[Q''ty]])</f>
        <v>#N/A</v>
      </c>
    </row>
    <row r="4477" spans="1:10" ht="15" hidden="1" customHeight="1" x14ac:dyDescent="0.4">
      <c r="A4477" s="6">
        <v>2026</v>
      </c>
      <c r="B4477" s="6">
        <f t="shared" si="575"/>
        <v>46</v>
      </c>
      <c r="C4477" s="13" t="s">
        <v>24</v>
      </c>
      <c r="D4477" s="2" t="s">
        <v>12</v>
      </c>
      <c r="E4477" s="14" t="s">
        <v>16</v>
      </c>
      <c r="F4477" s="22"/>
      <c r="H4477" s="5" t="e">
        <f ca="1">_xlfn.FORMULATEXT(표1[[#This Row],[Q''ty]])</f>
        <v>#N/A</v>
      </c>
    </row>
    <row r="4478" spans="1:10" ht="15" hidden="1" customHeight="1" thickBot="1" x14ac:dyDescent="0.45">
      <c r="A4478" s="15">
        <v>2026</v>
      </c>
      <c r="B4478" s="15">
        <f t="shared" si="575"/>
        <v>46</v>
      </c>
      <c r="C4478" s="16" t="s">
        <v>24</v>
      </c>
      <c r="D4478" s="17" t="s">
        <v>12</v>
      </c>
      <c r="E4478" s="18" t="s">
        <v>17</v>
      </c>
      <c r="F4478" s="23"/>
      <c r="H4478" s="5" t="e">
        <f ca="1">_xlfn.FORMULATEXT(표1[[#This Row],[Q''ty]])</f>
        <v>#N/A</v>
      </c>
    </row>
    <row r="4479" spans="1:10" ht="15" hidden="1" customHeight="1" thickTop="1" x14ac:dyDescent="0.4">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10" ht="15" hidden="1" customHeight="1" x14ac:dyDescent="0.4">
      <c r="A4480" s="6">
        <v>2026</v>
      </c>
      <c r="B4480" s="6">
        <f t="shared" si="575"/>
        <v>46</v>
      </c>
      <c r="C4480" s="13" t="s">
        <v>18</v>
      </c>
      <c r="D4480" s="2" t="s">
        <v>6</v>
      </c>
      <c r="E4480" s="14" t="str">
        <f t="shared" si="577"/>
        <v>Paint Booth</v>
      </c>
      <c r="F4480" s="22">
        <f t="shared" si="577"/>
        <v>3</v>
      </c>
      <c r="H4480" s="5" t="str">
        <f ca="1">_xlfn.FORMULATEXT(표1[[#This Row],[Q''ty]])</f>
        <v>=F4381</v>
      </c>
    </row>
    <row r="4481" spans="1:8" ht="15" hidden="1" customHeight="1" x14ac:dyDescent="0.4">
      <c r="A4481" s="6">
        <v>2026</v>
      </c>
      <c r="B4481" s="6">
        <f t="shared" si="575"/>
        <v>46</v>
      </c>
      <c r="C4481" s="13" t="s">
        <v>18</v>
      </c>
      <c r="D4481" s="2" t="s">
        <v>6</v>
      </c>
      <c r="E4481" s="14" t="str">
        <f t="shared" si="577"/>
        <v>Paint Line</v>
      </c>
      <c r="F4481" s="22">
        <f t="shared" si="577"/>
        <v>2</v>
      </c>
      <c r="H4481" s="5" t="str">
        <f ca="1">_xlfn.FORMULATEXT(표1[[#This Row],[Q''ty]])</f>
        <v>=F4382</v>
      </c>
    </row>
    <row r="4482" spans="1:8" ht="15" hidden="1" customHeight="1" x14ac:dyDescent="0.4">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hidden="1" customHeight="1" x14ac:dyDescent="0.4">
      <c r="A4483" s="6">
        <v>2026</v>
      </c>
      <c r="B4483" s="6">
        <f t="shared" si="575"/>
        <v>46</v>
      </c>
      <c r="C4483" s="13" t="s">
        <v>18</v>
      </c>
      <c r="D4483" s="2" t="s">
        <v>6</v>
      </c>
      <c r="E4483" s="14" t="str">
        <f t="shared" si="577"/>
        <v>L/W Machine</v>
      </c>
      <c r="F4483" s="22">
        <f t="shared" si="577"/>
        <v>2</v>
      </c>
      <c r="H4483" s="5" t="str">
        <f ca="1">_xlfn.FORMULATEXT(표1[[#This Row],[Q''ty]])</f>
        <v>=F4384</v>
      </c>
    </row>
    <row r="4484" spans="1:8" ht="15" hidden="1" customHeight="1" x14ac:dyDescent="0.4">
      <c r="A4484" s="6">
        <v>2026</v>
      </c>
      <c r="B4484" s="6">
        <f t="shared" si="575"/>
        <v>46</v>
      </c>
      <c r="C4484" s="13" t="s">
        <v>18</v>
      </c>
      <c r="D4484" s="2" t="s">
        <v>6</v>
      </c>
      <c r="E4484" s="14" t="str">
        <f t="shared" si="577"/>
        <v>C/W Machine</v>
      </c>
      <c r="F4484" s="22">
        <f t="shared" si="577"/>
        <v>3</v>
      </c>
      <c r="H4484" s="5" t="str">
        <f ca="1">_xlfn.FORMULATEXT(표1[[#This Row],[Q''ty]])</f>
        <v>=F4385</v>
      </c>
    </row>
    <row r="4485" spans="1:8" ht="15" hidden="1" customHeight="1" x14ac:dyDescent="0.4">
      <c r="A4485" s="6">
        <v>2026</v>
      </c>
      <c r="B4485" s="6">
        <f t="shared" si="575"/>
        <v>46</v>
      </c>
      <c r="C4485" s="13" t="s">
        <v>18</v>
      </c>
      <c r="D4485" s="2" t="s">
        <v>12</v>
      </c>
      <c r="E4485" s="14" t="str">
        <f t="shared" ref="E4485:E4500" si="578">E4386</f>
        <v>BT GT</v>
      </c>
      <c r="F4485" s="22"/>
      <c r="H4485" s="5" t="e">
        <f ca="1">_xlfn.FORMULATEXT(표1[[#This Row],[Q''ty]])</f>
        <v>#N/A</v>
      </c>
    </row>
    <row r="4486" spans="1:8" ht="15" hidden="1" customHeight="1" x14ac:dyDescent="0.4">
      <c r="A4486" s="6">
        <v>2026</v>
      </c>
      <c r="B4486" s="6">
        <f t="shared" si="575"/>
        <v>46</v>
      </c>
      <c r="C4486" s="13" t="s">
        <v>18</v>
      </c>
      <c r="D4486" s="2" t="s">
        <v>12</v>
      </c>
      <c r="E4486" s="14" t="str">
        <f t="shared" si="578"/>
        <v>WT GT</v>
      </c>
      <c r="F4486" s="22"/>
      <c r="H4486" s="5" t="e">
        <f ca="1">_xlfn.FORMULATEXT(표1[[#This Row],[Q''ty]])</f>
        <v>#N/A</v>
      </c>
    </row>
    <row r="4487" spans="1:8" ht="15" hidden="1" customHeight="1" x14ac:dyDescent="0.4">
      <c r="A4487" s="6">
        <v>2026</v>
      </c>
      <c r="B4487" s="6">
        <f t="shared" si="575"/>
        <v>46</v>
      </c>
      <c r="C4487" s="13" t="s">
        <v>18</v>
      </c>
      <c r="D4487" s="2" t="s">
        <v>12</v>
      </c>
      <c r="E4487" s="14" t="str">
        <f t="shared" si="578"/>
        <v>Bending</v>
      </c>
      <c r="F4487" s="22"/>
      <c r="H4487" s="5" t="e">
        <f ca="1">_xlfn.FORMULATEXT(표1[[#This Row],[Q''ty]])</f>
        <v>#N/A</v>
      </c>
    </row>
    <row r="4488" spans="1:8" ht="15" hidden="1" customHeight="1" x14ac:dyDescent="0.4">
      <c r="A4488" s="6">
        <v>2026</v>
      </c>
      <c r="B4488" s="6">
        <f t="shared" si="575"/>
        <v>46</v>
      </c>
      <c r="C4488" s="13" t="s">
        <v>18</v>
      </c>
      <c r="D4488" s="2" t="s">
        <v>12</v>
      </c>
      <c r="E4488" s="14" t="str">
        <f t="shared" si="578"/>
        <v>L/W</v>
      </c>
      <c r="F4488" s="22"/>
      <c r="H4488" s="5" t="e">
        <f ca="1">_xlfn.FORMULATEXT(표1[[#This Row],[Q''ty]])</f>
        <v>#N/A</v>
      </c>
    </row>
    <row r="4489" spans="1:8" ht="15" hidden="1" customHeight="1" thickBot="1" x14ac:dyDescent="0.45">
      <c r="A4489" s="15">
        <v>2026</v>
      </c>
      <c r="B4489" s="15">
        <f t="shared" si="575"/>
        <v>46</v>
      </c>
      <c r="C4489" s="16" t="s">
        <v>18</v>
      </c>
      <c r="D4489" s="17" t="s">
        <v>12</v>
      </c>
      <c r="E4489" s="18" t="str">
        <f t="shared" si="578"/>
        <v>C/W</v>
      </c>
      <c r="F4489" s="23"/>
      <c r="H4489" s="5" t="e">
        <f ca="1">_xlfn.FORMULATEXT(표1[[#This Row],[Q''ty]])</f>
        <v>#N/A</v>
      </c>
    </row>
    <row r="4490" spans="1:8" ht="15" hidden="1" customHeight="1" thickTop="1" x14ac:dyDescent="0.4">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hidden="1" customHeight="1" x14ac:dyDescent="0.4">
      <c r="A4491" s="6">
        <v>2026</v>
      </c>
      <c r="B4491" s="6">
        <f t="shared" si="575"/>
        <v>46</v>
      </c>
      <c r="C4491" s="13" t="s">
        <v>19</v>
      </c>
      <c r="D4491" s="2" t="s">
        <v>6</v>
      </c>
      <c r="E4491" s="14" t="str">
        <f t="shared" si="578"/>
        <v>Paint Booth</v>
      </c>
      <c r="F4491" s="22">
        <f t="shared" si="579"/>
        <v>22</v>
      </c>
      <c r="H4491" s="5" t="str">
        <f ca="1">_xlfn.FORMULATEXT(표1[[#This Row],[Q''ty]])</f>
        <v>=F4392</v>
      </c>
    </row>
    <row r="4492" spans="1:8" ht="15" hidden="1" customHeight="1" x14ac:dyDescent="0.4">
      <c r="A4492" s="6">
        <v>2026</v>
      </c>
      <c r="B4492" s="6">
        <f t="shared" si="575"/>
        <v>46</v>
      </c>
      <c r="C4492" s="13" t="s">
        <v>19</v>
      </c>
      <c r="D4492" s="2" t="s">
        <v>6</v>
      </c>
      <c r="E4492" s="14" t="str">
        <f t="shared" si="578"/>
        <v>Paint Line</v>
      </c>
      <c r="F4492" s="22">
        <f t="shared" si="579"/>
        <v>6</v>
      </c>
      <c r="H4492" s="5" t="str">
        <f ca="1">_xlfn.FORMULATEXT(표1[[#This Row],[Q''ty]])</f>
        <v>=F4393</v>
      </c>
    </row>
    <row r="4493" spans="1:8" ht="15" hidden="1" customHeight="1" x14ac:dyDescent="0.4">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hidden="1" customHeight="1" x14ac:dyDescent="0.4">
      <c r="A4494" s="6">
        <v>2026</v>
      </c>
      <c r="B4494" s="6">
        <f t="shared" si="575"/>
        <v>46</v>
      </c>
      <c r="C4494" s="13" t="s">
        <v>19</v>
      </c>
      <c r="D4494" s="2" t="s">
        <v>6</v>
      </c>
      <c r="E4494" s="14" t="str">
        <f t="shared" si="578"/>
        <v>L/W Machine</v>
      </c>
      <c r="F4494" s="22">
        <f t="shared" si="579"/>
        <v>10</v>
      </c>
      <c r="H4494" s="5" t="str">
        <f ca="1">_xlfn.FORMULATEXT(표1[[#This Row],[Q''ty]])</f>
        <v>=F4395</v>
      </c>
    </row>
    <row r="4495" spans="1:8" ht="15" hidden="1" customHeight="1" x14ac:dyDescent="0.4">
      <c r="A4495" s="6">
        <v>2026</v>
      </c>
      <c r="B4495" s="6">
        <f t="shared" si="575"/>
        <v>46</v>
      </c>
      <c r="C4495" s="13" t="s">
        <v>19</v>
      </c>
      <c r="D4495" s="2" t="s">
        <v>6</v>
      </c>
      <c r="E4495" s="14" t="str">
        <f t="shared" si="578"/>
        <v>C/W Machine</v>
      </c>
      <c r="F4495" s="22">
        <f t="shared" si="579"/>
        <v>12</v>
      </c>
      <c r="H4495" s="5" t="str">
        <f ca="1">_xlfn.FORMULATEXT(표1[[#This Row],[Q''ty]])</f>
        <v>=F4396</v>
      </c>
    </row>
    <row r="4496" spans="1:8" ht="15" hidden="1" customHeight="1" x14ac:dyDescent="0.4">
      <c r="A4496" s="6">
        <v>2026</v>
      </c>
      <c r="B4496" s="6">
        <f t="shared" si="575"/>
        <v>46</v>
      </c>
      <c r="C4496" s="13" t="s">
        <v>19</v>
      </c>
      <c r="D4496" s="2" t="s">
        <v>12</v>
      </c>
      <c r="E4496" s="14" t="str">
        <f t="shared" si="578"/>
        <v>BT GT</v>
      </c>
      <c r="F4496" s="22"/>
      <c r="H4496" s="5" t="e">
        <f ca="1">_xlfn.FORMULATEXT(표1[[#This Row],[Q''ty]])</f>
        <v>#N/A</v>
      </c>
    </row>
    <row r="4497" spans="1:8" ht="15" hidden="1" customHeight="1" x14ac:dyDescent="0.4">
      <c r="A4497" s="6">
        <v>2026</v>
      </c>
      <c r="B4497" s="6">
        <f t="shared" si="575"/>
        <v>46</v>
      </c>
      <c r="C4497" s="13" t="s">
        <v>19</v>
      </c>
      <c r="D4497" s="2" t="s">
        <v>12</v>
      </c>
      <c r="E4497" s="14" t="str">
        <f t="shared" si="578"/>
        <v>WT GT</v>
      </c>
      <c r="F4497" s="22"/>
      <c r="H4497" s="5" t="e">
        <f ca="1">_xlfn.FORMULATEXT(표1[[#This Row],[Q''ty]])</f>
        <v>#N/A</v>
      </c>
    </row>
    <row r="4498" spans="1:8" ht="15" hidden="1" customHeight="1" x14ac:dyDescent="0.4">
      <c r="A4498" s="6">
        <v>2026</v>
      </c>
      <c r="B4498" s="6">
        <f t="shared" si="575"/>
        <v>46</v>
      </c>
      <c r="C4498" s="13" t="s">
        <v>19</v>
      </c>
      <c r="D4498" s="2" t="s">
        <v>12</v>
      </c>
      <c r="E4498" s="14" t="str">
        <f t="shared" si="578"/>
        <v>Bending</v>
      </c>
      <c r="F4498" s="22"/>
      <c r="H4498" s="5" t="e">
        <f ca="1">_xlfn.FORMULATEXT(표1[[#This Row],[Q''ty]])</f>
        <v>#N/A</v>
      </c>
    </row>
    <row r="4499" spans="1:8" ht="15" hidden="1" customHeight="1" x14ac:dyDescent="0.4">
      <c r="A4499" s="6">
        <v>2026</v>
      </c>
      <c r="B4499" s="6">
        <f t="shared" si="575"/>
        <v>46</v>
      </c>
      <c r="C4499" s="13" t="s">
        <v>19</v>
      </c>
      <c r="D4499" s="2" t="s">
        <v>12</v>
      </c>
      <c r="E4499" s="14" t="str">
        <f t="shared" si="578"/>
        <v>L/W</v>
      </c>
      <c r="F4499" s="22"/>
      <c r="H4499" s="5" t="e">
        <f ca="1">_xlfn.FORMULATEXT(표1[[#This Row],[Q''ty]])</f>
        <v>#N/A</v>
      </c>
    </row>
    <row r="4500" spans="1:8" ht="15" hidden="1" customHeight="1" thickBot="1" x14ac:dyDescent="0.45">
      <c r="A4500" s="15">
        <v>2026</v>
      </c>
      <c r="B4500" s="15">
        <f t="shared" si="575"/>
        <v>46</v>
      </c>
      <c r="C4500" s="16" t="s">
        <v>19</v>
      </c>
      <c r="D4500" s="17" t="s">
        <v>12</v>
      </c>
      <c r="E4500" s="18" t="str">
        <f t="shared" si="578"/>
        <v>C/W</v>
      </c>
      <c r="F4500" s="23"/>
      <c r="H4500" s="5" t="e">
        <f ca="1">_xlfn.FORMULATEXT(표1[[#This Row],[Q''ty]])</f>
        <v>#N/A</v>
      </c>
    </row>
    <row r="4501" spans="1:8" ht="15" hidden="1" customHeight="1" thickTop="1" x14ac:dyDescent="0.4">
      <c r="A4501" s="6">
        <v>2026</v>
      </c>
      <c r="B4501" s="6">
        <f t="shared" si="575"/>
        <v>46</v>
      </c>
      <c r="C4501" s="13" t="s">
        <v>25</v>
      </c>
      <c r="D4501" s="2" t="s">
        <v>6</v>
      </c>
      <c r="E4501" s="14" t="s">
        <v>7</v>
      </c>
      <c r="F4501" s="22">
        <f t="shared" ref="F4501:F4506" si="580">F4402</f>
        <v>3</v>
      </c>
      <c r="H4501" s="5" t="str">
        <f ca="1">_xlfn.FORMULATEXT(표1[[#This Row],[Q''ty]])</f>
        <v>=F4402</v>
      </c>
    </row>
    <row r="4502" spans="1:8" ht="15" hidden="1" customHeight="1" x14ac:dyDescent="0.4">
      <c r="A4502" s="6">
        <v>2026</v>
      </c>
      <c r="B4502" s="6">
        <f t="shared" si="575"/>
        <v>46</v>
      </c>
      <c r="C4502" s="13" t="s">
        <v>25</v>
      </c>
      <c r="D4502" s="2" t="s">
        <v>6</v>
      </c>
      <c r="E4502" s="14" t="s">
        <v>8</v>
      </c>
      <c r="F4502" s="22">
        <f t="shared" si="580"/>
        <v>3</v>
      </c>
      <c r="H4502" s="5" t="str">
        <f ca="1">_xlfn.FORMULATEXT(표1[[#This Row],[Q''ty]])</f>
        <v>=F4403</v>
      </c>
    </row>
    <row r="4503" spans="1:8" ht="15" hidden="1" customHeight="1" x14ac:dyDescent="0.4">
      <c r="A4503" s="6">
        <v>2026</v>
      </c>
      <c r="B4503" s="6">
        <f t="shared" si="575"/>
        <v>46</v>
      </c>
      <c r="C4503" s="13" t="s">
        <v>25</v>
      </c>
      <c r="D4503" s="2" t="s">
        <v>6</v>
      </c>
      <c r="E4503" s="14" t="s">
        <v>9</v>
      </c>
      <c r="F4503" s="22">
        <f t="shared" si="580"/>
        <v>2</v>
      </c>
      <c r="H4503" s="5" t="str">
        <f ca="1">_xlfn.FORMULATEXT(표1[[#This Row],[Q''ty]])</f>
        <v>=F4404</v>
      </c>
    </row>
    <row r="4504" spans="1:8" ht="15" hidden="1" customHeight="1" x14ac:dyDescent="0.4">
      <c r="A4504" s="6">
        <v>2026</v>
      </c>
      <c r="B4504" s="6">
        <f t="shared" si="575"/>
        <v>46</v>
      </c>
      <c r="C4504" s="13" t="s">
        <v>25</v>
      </c>
      <c r="D4504" s="2" t="s">
        <v>6</v>
      </c>
      <c r="E4504" s="14" t="s">
        <v>27</v>
      </c>
      <c r="F4504" s="22">
        <f t="shared" si="580"/>
        <v>2</v>
      </c>
      <c r="H4504" s="5" t="str">
        <f ca="1">_xlfn.FORMULATEXT(표1[[#This Row],[Q''ty]])</f>
        <v>=F4405</v>
      </c>
    </row>
    <row r="4505" spans="1:8" ht="15" hidden="1" customHeight="1" x14ac:dyDescent="0.4">
      <c r="A4505" s="6">
        <v>2026</v>
      </c>
      <c r="B4505" s="6">
        <f t="shared" si="575"/>
        <v>46</v>
      </c>
      <c r="C4505" s="13" t="s">
        <v>25</v>
      </c>
      <c r="D4505" s="2" t="s">
        <v>6</v>
      </c>
      <c r="E4505" s="14" t="s">
        <v>10</v>
      </c>
      <c r="F4505" s="22">
        <f t="shared" si="580"/>
        <v>3</v>
      </c>
      <c r="H4505" s="5" t="str">
        <f ca="1">_xlfn.FORMULATEXT(표1[[#This Row],[Q''ty]])</f>
        <v>=F4406</v>
      </c>
    </row>
    <row r="4506" spans="1:8" ht="15" hidden="1" customHeight="1" x14ac:dyDescent="0.4">
      <c r="A4506" s="6">
        <v>2026</v>
      </c>
      <c r="B4506" s="6">
        <f t="shared" si="575"/>
        <v>46</v>
      </c>
      <c r="C4506" s="13" t="s">
        <v>25</v>
      </c>
      <c r="D4506" s="2" t="s">
        <v>6</v>
      </c>
      <c r="E4506" s="14" t="s">
        <v>11</v>
      </c>
      <c r="F4506" s="22">
        <f t="shared" si="580"/>
        <v>4</v>
      </c>
      <c r="H4506" s="5" t="str">
        <f ca="1">_xlfn.FORMULATEXT(표1[[#This Row],[Q''ty]])</f>
        <v>=F4407</v>
      </c>
    </row>
    <row r="4507" spans="1:8" ht="15" hidden="1" customHeight="1" x14ac:dyDescent="0.4">
      <c r="A4507" s="6">
        <v>2026</v>
      </c>
      <c r="B4507" s="6">
        <f t="shared" si="575"/>
        <v>46</v>
      </c>
      <c r="C4507" s="13" t="s">
        <v>25</v>
      </c>
      <c r="D4507" s="2" t="s">
        <v>12</v>
      </c>
      <c r="E4507" s="14" t="s">
        <v>13</v>
      </c>
      <c r="F4507" s="22"/>
      <c r="H4507" s="5" t="e">
        <f ca="1">_xlfn.FORMULATEXT(표1[[#This Row],[Q''ty]])</f>
        <v>#N/A</v>
      </c>
    </row>
    <row r="4508" spans="1:8" ht="15" hidden="1" customHeight="1" x14ac:dyDescent="0.4">
      <c r="A4508" s="6">
        <v>2026</v>
      </c>
      <c r="B4508" s="6">
        <f t="shared" si="575"/>
        <v>46</v>
      </c>
      <c r="C4508" s="13" t="s">
        <v>25</v>
      </c>
      <c r="D4508" s="2" t="s">
        <v>12</v>
      </c>
      <c r="E4508" s="14" t="s">
        <v>14</v>
      </c>
      <c r="F4508" s="22"/>
      <c r="H4508" s="5" t="e">
        <f ca="1">_xlfn.FORMULATEXT(표1[[#This Row],[Q''ty]])</f>
        <v>#N/A</v>
      </c>
    </row>
    <row r="4509" spans="1:8" ht="15" hidden="1" customHeight="1" x14ac:dyDescent="0.4">
      <c r="A4509" s="6">
        <v>2026</v>
      </c>
      <c r="B4509" s="6">
        <f t="shared" si="575"/>
        <v>46</v>
      </c>
      <c r="C4509" s="13" t="s">
        <v>25</v>
      </c>
      <c r="D4509" s="2" t="s">
        <v>12</v>
      </c>
      <c r="E4509" s="14" t="s">
        <v>15</v>
      </c>
      <c r="F4509" s="22"/>
      <c r="H4509" s="5" t="e">
        <f ca="1">_xlfn.FORMULATEXT(표1[[#This Row],[Q''ty]])</f>
        <v>#N/A</v>
      </c>
    </row>
    <row r="4510" spans="1:8" ht="15" hidden="1" customHeight="1" x14ac:dyDescent="0.4">
      <c r="A4510" s="6">
        <v>2026</v>
      </c>
      <c r="B4510" s="6">
        <f t="shared" si="575"/>
        <v>46</v>
      </c>
      <c r="C4510" s="13" t="s">
        <v>25</v>
      </c>
      <c r="D4510" s="2" t="s">
        <v>12</v>
      </c>
      <c r="E4510" s="14" t="s">
        <v>16</v>
      </c>
      <c r="F4510" s="22"/>
      <c r="H4510" s="5" t="e">
        <f ca="1">_xlfn.FORMULATEXT(표1[[#This Row],[Q''ty]])</f>
        <v>#N/A</v>
      </c>
    </row>
    <row r="4511" spans="1:8" ht="15" hidden="1" customHeight="1" thickBot="1" x14ac:dyDescent="0.45">
      <c r="A4511" s="15">
        <v>2026</v>
      </c>
      <c r="B4511" s="15">
        <f t="shared" si="575"/>
        <v>46</v>
      </c>
      <c r="C4511" s="16" t="s">
        <v>25</v>
      </c>
      <c r="D4511" s="17" t="s">
        <v>12</v>
      </c>
      <c r="E4511" s="18" t="s">
        <v>17</v>
      </c>
      <c r="F4511" s="23"/>
      <c r="H4511" s="5" t="e">
        <f ca="1">_xlfn.FORMULATEXT(표1[[#This Row],[Q''ty]])</f>
        <v>#N/A</v>
      </c>
    </row>
    <row r="4512" spans="1:8" ht="15" hidden="1" customHeight="1" thickTop="1" x14ac:dyDescent="0.4">
      <c r="A4512" s="6">
        <v>2026</v>
      </c>
      <c r="B4512" s="6">
        <f t="shared" si="575"/>
        <v>46</v>
      </c>
      <c r="C4512" s="13" t="s">
        <v>26</v>
      </c>
      <c r="D4512" s="2" t="s">
        <v>6</v>
      </c>
      <c r="E4512" s="14" t="s">
        <v>7</v>
      </c>
      <c r="F4512" s="22">
        <f t="shared" ref="F4512:F4517" si="581">F4413</f>
        <v>6</v>
      </c>
      <c r="H4512" s="5" t="str">
        <f ca="1">_xlfn.FORMULATEXT(표1[[#This Row],[Q''ty]])</f>
        <v>=F4413</v>
      </c>
    </row>
    <row r="4513" spans="1:8" ht="15" hidden="1" customHeight="1" x14ac:dyDescent="0.4">
      <c r="A4513" s="6">
        <v>2026</v>
      </c>
      <c r="B4513" s="6">
        <f t="shared" si="575"/>
        <v>46</v>
      </c>
      <c r="C4513" s="13" t="s">
        <v>26</v>
      </c>
      <c r="D4513" s="2" t="s">
        <v>6</v>
      </c>
      <c r="E4513" s="14" t="s">
        <v>8</v>
      </c>
      <c r="F4513" s="22">
        <f t="shared" si="581"/>
        <v>4</v>
      </c>
      <c r="H4513" s="5" t="str">
        <f ca="1">_xlfn.FORMULATEXT(표1[[#This Row],[Q''ty]])</f>
        <v>=F4414</v>
      </c>
    </row>
    <row r="4514" spans="1:8" ht="15" hidden="1" customHeight="1" x14ac:dyDescent="0.4">
      <c r="A4514" s="6">
        <v>2026</v>
      </c>
      <c r="B4514" s="6">
        <f t="shared" si="575"/>
        <v>46</v>
      </c>
      <c r="C4514" s="13" t="s">
        <v>26</v>
      </c>
      <c r="D4514" s="2" t="s">
        <v>6</v>
      </c>
      <c r="E4514" s="14" t="s">
        <v>9</v>
      </c>
      <c r="F4514" s="22">
        <f t="shared" si="581"/>
        <v>2</v>
      </c>
      <c r="H4514" s="5" t="str">
        <f ca="1">_xlfn.FORMULATEXT(표1[[#This Row],[Q''ty]])</f>
        <v>=F4415</v>
      </c>
    </row>
    <row r="4515" spans="1:8" ht="15" hidden="1" customHeight="1" x14ac:dyDescent="0.4">
      <c r="A4515" s="6">
        <v>2026</v>
      </c>
      <c r="B4515" s="6">
        <f t="shared" si="575"/>
        <v>46</v>
      </c>
      <c r="C4515" s="13" t="s">
        <v>26</v>
      </c>
      <c r="D4515" s="2" t="s">
        <v>6</v>
      </c>
      <c r="E4515" s="14" t="s">
        <v>27</v>
      </c>
      <c r="F4515" s="22">
        <f t="shared" si="581"/>
        <v>3</v>
      </c>
      <c r="H4515" s="5" t="str">
        <f ca="1">_xlfn.FORMULATEXT(표1[[#This Row],[Q''ty]])</f>
        <v>=F4416</v>
      </c>
    </row>
    <row r="4516" spans="1:8" ht="15" hidden="1" customHeight="1" x14ac:dyDescent="0.4">
      <c r="A4516" s="6">
        <v>2026</v>
      </c>
      <c r="B4516" s="6">
        <f t="shared" si="575"/>
        <v>46</v>
      </c>
      <c r="C4516" s="13" t="s">
        <v>26</v>
      </c>
      <c r="D4516" s="2" t="s">
        <v>6</v>
      </c>
      <c r="E4516" s="14" t="s">
        <v>10</v>
      </c>
      <c r="F4516" s="22">
        <f t="shared" si="581"/>
        <v>4</v>
      </c>
      <c r="H4516" s="5" t="str">
        <f ca="1">_xlfn.FORMULATEXT(표1[[#This Row],[Q''ty]])</f>
        <v>=F4417</v>
      </c>
    </row>
    <row r="4517" spans="1:8" ht="15" hidden="1" customHeight="1" x14ac:dyDescent="0.4">
      <c r="A4517" s="6">
        <v>2026</v>
      </c>
      <c r="B4517" s="6">
        <f t="shared" si="575"/>
        <v>46</v>
      </c>
      <c r="C4517" s="13" t="s">
        <v>26</v>
      </c>
      <c r="D4517" s="2" t="s">
        <v>6</v>
      </c>
      <c r="E4517" s="14" t="s">
        <v>11</v>
      </c>
      <c r="F4517" s="22">
        <f t="shared" si="581"/>
        <v>6</v>
      </c>
      <c r="H4517" s="5" t="str">
        <f ca="1">_xlfn.FORMULATEXT(표1[[#This Row],[Q''ty]])</f>
        <v>=F4418</v>
      </c>
    </row>
    <row r="4518" spans="1:8" ht="15" hidden="1" customHeight="1" x14ac:dyDescent="0.4">
      <c r="A4518" s="6">
        <v>2026</v>
      </c>
      <c r="B4518" s="6">
        <f t="shared" si="575"/>
        <v>46</v>
      </c>
      <c r="C4518" s="13" t="s">
        <v>26</v>
      </c>
      <c r="D4518" s="2" t="s">
        <v>12</v>
      </c>
      <c r="E4518" s="14" t="str">
        <f t="shared" ref="E4518:E4555" si="582">E4419</f>
        <v>BT GT</v>
      </c>
      <c r="F4518" s="22"/>
      <c r="H4518" s="5" t="e">
        <f ca="1">_xlfn.FORMULATEXT(표1[[#This Row],[Q''ty]])</f>
        <v>#N/A</v>
      </c>
    </row>
    <row r="4519" spans="1:8" ht="15" hidden="1" customHeight="1" x14ac:dyDescent="0.4">
      <c r="A4519" s="6">
        <v>2026</v>
      </c>
      <c r="B4519" s="6">
        <f t="shared" si="575"/>
        <v>46</v>
      </c>
      <c r="C4519" s="13" t="s">
        <v>26</v>
      </c>
      <c r="D4519" s="2" t="s">
        <v>12</v>
      </c>
      <c r="E4519" s="14" t="str">
        <f t="shared" si="582"/>
        <v>WT GT</v>
      </c>
      <c r="F4519" s="22"/>
      <c r="H4519" s="5" t="e">
        <f ca="1">_xlfn.FORMULATEXT(표1[[#This Row],[Q''ty]])</f>
        <v>#N/A</v>
      </c>
    </row>
    <row r="4520" spans="1:8" ht="15" hidden="1" customHeight="1" x14ac:dyDescent="0.4">
      <c r="A4520" s="6">
        <v>2026</v>
      </c>
      <c r="B4520" s="6">
        <f t="shared" si="575"/>
        <v>46</v>
      </c>
      <c r="C4520" s="13" t="s">
        <v>26</v>
      </c>
      <c r="D4520" s="2" t="s">
        <v>12</v>
      </c>
      <c r="E4520" s="14" t="str">
        <f t="shared" si="582"/>
        <v>Bending</v>
      </c>
      <c r="F4520" s="22"/>
      <c r="H4520" s="5" t="e">
        <f ca="1">_xlfn.FORMULATEXT(표1[[#This Row],[Q''ty]])</f>
        <v>#N/A</v>
      </c>
    </row>
    <row r="4521" spans="1:8" ht="15" hidden="1" customHeight="1" x14ac:dyDescent="0.4">
      <c r="A4521" s="6">
        <v>2026</v>
      </c>
      <c r="B4521" s="6">
        <f t="shared" si="575"/>
        <v>46</v>
      </c>
      <c r="C4521" s="13" t="s">
        <v>26</v>
      </c>
      <c r="D4521" s="2" t="s">
        <v>12</v>
      </c>
      <c r="E4521" s="14" t="str">
        <f t="shared" si="582"/>
        <v>L/W</v>
      </c>
      <c r="F4521" s="22"/>
      <c r="H4521" s="5" t="e">
        <f ca="1">_xlfn.FORMULATEXT(표1[[#This Row],[Q''ty]])</f>
        <v>#N/A</v>
      </c>
    </row>
    <row r="4522" spans="1:8" ht="15" hidden="1" customHeight="1" thickBot="1" x14ac:dyDescent="0.45">
      <c r="A4522" s="15">
        <v>2026</v>
      </c>
      <c r="B4522" s="15">
        <f t="shared" ref="B4522:B4555" si="583">B4423+1</f>
        <v>46</v>
      </c>
      <c r="C4522" s="16" t="s">
        <v>26</v>
      </c>
      <c r="D4522" s="17" t="s">
        <v>12</v>
      </c>
      <c r="E4522" s="18" t="str">
        <f t="shared" si="582"/>
        <v>C/W</v>
      </c>
      <c r="F4522" s="23"/>
      <c r="H4522" s="5" t="e">
        <f ca="1">_xlfn.FORMULATEXT(표1[[#This Row],[Q''ty]])</f>
        <v>#N/A</v>
      </c>
    </row>
    <row r="4523" spans="1:8" ht="15" hidden="1" customHeight="1" thickTop="1" x14ac:dyDescent="0.4">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hidden="1" customHeight="1" x14ac:dyDescent="0.4">
      <c r="A4524" s="6">
        <v>2026</v>
      </c>
      <c r="B4524" s="6">
        <f t="shared" si="583"/>
        <v>46</v>
      </c>
      <c r="C4524" s="13" t="s">
        <v>20</v>
      </c>
      <c r="D4524" s="2" t="s">
        <v>6</v>
      </c>
      <c r="E4524" s="14" t="str">
        <f t="shared" si="582"/>
        <v>Paint Booth</v>
      </c>
      <c r="F4524" s="22">
        <f t="shared" si="584"/>
        <v>16</v>
      </c>
      <c r="H4524" s="5" t="str">
        <f ca="1">_xlfn.FORMULATEXT(표1[[#This Row],[Q''ty]])</f>
        <v>=F4425</v>
      </c>
    </row>
    <row r="4525" spans="1:8" ht="15" hidden="1" customHeight="1" x14ac:dyDescent="0.4">
      <c r="A4525" s="6">
        <v>2026</v>
      </c>
      <c r="B4525" s="6">
        <f t="shared" si="583"/>
        <v>46</v>
      </c>
      <c r="C4525" s="13" t="s">
        <v>20</v>
      </c>
      <c r="D4525" s="2" t="s">
        <v>6</v>
      </c>
      <c r="E4525" s="14" t="str">
        <f t="shared" si="582"/>
        <v>Paint Line</v>
      </c>
      <c r="F4525" s="22">
        <f t="shared" si="584"/>
        <v>8</v>
      </c>
      <c r="H4525" s="5" t="str">
        <f ca="1">_xlfn.FORMULATEXT(표1[[#This Row],[Q''ty]])</f>
        <v>=F4426</v>
      </c>
    </row>
    <row r="4526" spans="1:8" ht="15" hidden="1" customHeight="1" x14ac:dyDescent="0.4">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hidden="1" customHeight="1" x14ac:dyDescent="0.4">
      <c r="A4527" s="6">
        <v>2026</v>
      </c>
      <c r="B4527" s="6">
        <f t="shared" si="583"/>
        <v>46</v>
      </c>
      <c r="C4527" s="13" t="s">
        <v>20</v>
      </c>
      <c r="D4527" s="2" t="s">
        <v>6</v>
      </c>
      <c r="E4527" s="14" t="str">
        <f t="shared" si="582"/>
        <v>L/W Machine</v>
      </c>
      <c r="F4527" s="22">
        <f t="shared" si="584"/>
        <v>11</v>
      </c>
      <c r="H4527" s="5" t="str">
        <f ca="1">_xlfn.FORMULATEXT(표1[[#This Row],[Q''ty]])</f>
        <v>=F4428</v>
      </c>
    </row>
    <row r="4528" spans="1:8" ht="15" hidden="1" customHeight="1" x14ac:dyDescent="0.4">
      <c r="A4528" s="6">
        <v>2026</v>
      </c>
      <c r="B4528" s="6">
        <f t="shared" si="583"/>
        <v>46</v>
      </c>
      <c r="C4528" s="13" t="s">
        <v>20</v>
      </c>
      <c r="D4528" s="2" t="s">
        <v>6</v>
      </c>
      <c r="E4528" s="14" t="str">
        <f t="shared" si="582"/>
        <v>C/W Machine</v>
      </c>
      <c r="F4528" s="22">
        <f t="shared" si="584"/>
        <v>15</v>
      </c>
      <c r="H4528" s="5" t="str">
        <f ca="1">_xlfn.FORMULATEXT(표1[[#This Row],[Q''ty]])</f>
        <v>=F4429</v>
      </c>
    </row>
    <row r="4529" spans="1:8" ht="15" hidden="1" customHeight="1" x14ac:dyDescent="0.4">
      <c r="A4529" s="6">
        <v>2026</v>
      </c>
      <c r="B4529" s="6">
        <f t="shared" si="583"/>
        <v>46</v>
      </c>
      <c r="C4529" s="13" t="s">
        <v>20</v>
      </c>
      <c r="D4529" s="2" t="s">
        <v>12</v>
      </c>
      <c r="E4529" s="14" t="str">
        <f t="shared" si="582"/>
        <v>BT GT</v>
      </c>
      <c r="F4529" s="22"/>
      <c r="H4529" s="5" t="e">
        <f ca="1">_xlfn.FORMULATEXT(표1[[#This Row],[Q''ty]])</f>
        <v>#N/A</v>
      </c>
    </row>
    <row r="4530" spans="1:8" ht="15" hidden="1" customHeight="1" x14ac:dyDescent="0.4">
      <c r="A4530" s="6">
        <v>2026</v>
      </c>
      <c r="B4530" s="6">
        <f t="shared" si="583"/>
        <v>46</v>
      </c>
      <c r="C4530" s="13" t="s">
        <v>20</v>
      </c>
      <c r="D4530" s="2" t="s">
        <v>12</v>
      </c>
      <c r="E4530" s="14" t="str">
        <f t="shared" si="582"/>
        <v>WT GT</v>
      </c>
      <c r="F4530" s="22"/>
      <c r="H4530" s="5" t="e">
        <f ca="1">_xlfn.FORMULATEXT(표1[[#This Row],[Q''ty]])</f>
        <v>#N/A</v>
      </c>
    </row>
    <row r="4531" spans="1:8" ht="15" hidden="1" customHeight="1" x14ac:dyDescent="0.4">
      <c r="A4531" s="6">
        <v>2026</v>
      </c>
      <c r="B4531" s="6">
        <f t="shared" si="583"/>
        <v>46</v>
      </c>
      <c r="C4531" s="13" t="s">
        <v>20</v>
      </c>
      <c r="D4531" s="2" t="s">
        <v>12</v>
      </c>
      <c r="E4531" s="14" t="str">
        <f t="shared" si="582"/>
        <v>Bending</v>
      </c>
      <c r="F4531" s="22"/>
      <c r="H4531" s="5" t="e">
        <f ca="1">_xlfn.FORMULATEXT(표1[[#This Row],[Q''ty]])</f>
        <v>#N/A</v>
      </c>
    </row>
    <row r="4532" spans="1:8" ht="15" hidden="1" customHeight="1" x14ac:dyDescent="0.4">
      <c r="A4532" s="6">
        <v>2026</v>
      </c>
      <c r="B4532" s="6">
        <f t="shared" si="583"/>
        <v>46</v>
      </c>
      <c r="C4532" s="13" t="s">
        <v>20</v>
      </c>
      <c r="D4532" s="2" t="s">
        <v>12</v>
      </c>
      <c r="E4532" s="14" t="str">
        <f t="shared" si="582"/>
        <v>L/W</v>
      </c>
      <c r="F4532" s="22"/>
      <c r="H4532" s="5" t="e">
        <f ca="1">_xlfn.FORMULATEXT(표1[[#This Row],[Q''ty]])</f>
        <v>#N/A</v>
      </c>
    </row>
    <row r="4533" spans="1:8" ht="15" hidden="1" customHeight="1" thickBot="1" x14ac:dyDescent="0.45">
      <c r="A4533" s="15">
        <v>2026</v>
      </c>
      <c r="B4533" s="15">
        <f t="shared" si="583"/>
        <v>46</v>
      </c>
      <c r="C4533" s="16" t="s">
        <v>20</v>
      </c>
      <c r="D4533" s="17" t="s">
        <v>12</v>
      </c>
      <c r="E4533" s="18" t="str">
        <f t="shared" si="582"/>
        <v>C/W</v>
      </c>
      <c r="F4533" s="23"/>
      <c r="H4533" s="5" t="e">
        <f ca="1">_xlfn.FORMULATEXT(표1[[#This Row],[Q''ty]])</f>
        <v>#N/A</v>
      </c>
    </row>
    <row r="4534" spans="1:8" ht="15" hidden="1" customHeight="1" thickTop="1" x14ac:dyDescent="0.4">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hidden="1" customHeight="1" x14ac:dyDescent="0.4">
      <c r="A4535" s="6">
        <v>2026</v>
      </c>
      <c r="B4535" s="6">
        <f t="shared" si="583"/>
        <v>46</v>
      </c>
      <c r="C4535" s="13" t="s">
        <v>21</v>
      </c>
      <c r="D4535" s="2" t="s">
        <v>6</v>
      </c>
      <c r="E4535" s="14" t="str">
        <f t="shared" si="582"/>
        <v>Paint Booth</v>
      </c>
      <c r="F4535" s="22">
        <f t="shared" si="585"/>
        <v>4</v>
      </c>
      <c r="H4535" s="5" t="str">
        <f ca="1">_xlfn.FORMULATEXT(표1[[#This Row],[Q''ty]])</f>
        <v>=F4436</v>
      </c>
    </row>
    <row r="4536" spans="1:8" ht="15" hidden="1" customHeight="1" x14ac:dyDescent="0.4">
      <c r="A4536" s="6">
        <v>2026</v>
      </c>
      <c r="B4536" s="6">
        <f t="shared" si="583"/>
        <v>46</v>
      </c>
      <c r="C4536" s="13" t="s">
        <v>21</v>
      </c>
      <c r="D4536" s="2" t="s">
        <v>6</v>
      </c>
      <c r="E4536" s="14" t="str">
        <f t="shared" si="582"/>
        <v>Paint Line</v>
      </c>
      <c r="F4536" s="22">
        <f t="shared" si="585"/>
        <v>4</v>
      </c>
      <c r="H4536" s="5" t="str">
        <f ca="1">_xlfn.FORMULATEXT(표1[[#This Row],[Q''ty]])</f>
        <v>=F4437</v>
      </c>
    </row>
    <row r="4537" spans="1:8" ht="15" hidden="1" customHeight="1" x14ac:dyDescent="0.4">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hidden="1" customHeight="1" x14ac:dyDescent="0.4">
      <c r="A4538" s="6">
        <v>2026</v>
      </c>
      <c r="B4538" s="6">
        <f t="shared" si="583"/>
        <v>46</v>
      </c>
      <c r="C4538" s="13" t="s">
        <v>21</v>
      </c>
      <c r="D4538" s="2" t="s">
        <v>6</v>
      </c>
      <c r="E4538" s="14" t="str">
        <f t="shared" si="582"/>
        <v>L/W Machine</v>
      </c>
      <c r="F4538" s="22">
        <f t="shared" si="585"/>
        <v>4</v>
      </c>
      <c r="H4538" s="5" t="str">
        <f ca="1">_xlfn.FORMULATEXT(표1[[#This Row],[Q''ty]])</f>
        <v>=F4439</v>
      </c>
    </row>
    <row r="4539" spans="1:8" ht="15" hidden="1" customHeight="1" x14ac:dyDescent="0.4">
      <c r="A4539" s="6">
        <v>2026</v>
      </c>
      <c r="B4539" s="6">
        <f t="shared" si="583"/>
        <v>46</v>
      </c>
      <c r="C4539" s="13" t="s">
        <v>21</v>
      </c>
      <c r="D4539" s="2" t="s">
        <v>6</v>
      </c>
      <c r="E4539" s="14" t="str">
        <f t="shared" si="582"/>
        <v>C/W Machine</v>
      </c>
      <c r="F4539" s="22">
        <f t="shared" si="585"/>
        <v>6.5</v>
      </c>
      <c r="H4539" s="5" t="str">
        <f ca="1">_xlfn.FORMULATEXT(표1[[#This Row],[Q''ty]])</f>
        <v>=F4440</v>
      </c>
    </row>
    <row r="4540" spans="1:8" ht="15" hidden="1" customHeight="1" x14ac:dyDescent="0.4">
      <c r="A4540" s="6">
        <v>2026</v>
      </c>
      <c r="B4540" s="6">
        <f t="shared" si="583"/>
        <v>46</v>
      </c>
      <c r="C4540" s="13" t="s">
        <v>21</v>
      </c>
      <c r="D4540" s="2" t="s">
        <v>12</v>
      </c>
      <c r="E4540" s="14" t="str">
        <f t="shared" si="582"/>
        <v>BT GT</v>
      </c>
      <c r="F4540" s="22"/>
      <c r="H4540" s="5" t="e">
        <f ca="1">_xlfn.FORMULATEXT(표1[[#This Row],[Q''ty]])</f>
        <v>#N/A</v>
      </c>
    </row>
    <row r="4541" spans="1:8" ht="15" hidden="1" customHeight="1" x14ac:dyDescent="0.4">
      <c r="A4541" s="6">
        <v>2026</v>
      </c>
      <c r="B4541" s="6">
        <f t="shared" si="583"/>
        <v>46</v>
      </c>
      <c r="C4541" s="13" t="s">
        <v>21</v>
      </c>
      <c r="D4541" s="2" t="s">
        <v>12</v>
      </c>
      <c r="E4541" s="14" t="str">
        <f t="shared" si="582"/>
        <v>WT GT</v>
      </c>
      <c r="F4541" s="22"/>
      <c r="H4541" s="5" t="e">
        <f ca="1">_xlfn.FORMULATEXT(표1[[#This Row],[Q''ty]])</f>
        <v>#N/A</v>
      </c>
    </row>
    <row r="4542" spans="1:8" ht="15" hidden="1" customHeight="1" x14ac:dyDescent="0.4">
      <c r="A4542" s="6">
        <v>2026</v>
      </c>
      <c r="B4542" s="6">
        <f t="shared" si="583"/>
        <v>46</v>
      </c>
      <c r="C4542" s="13" t="s">
        <v>21</v>
      </c>
      <c r="D4542" s="2" t="s">
        <v>12</v>
      </c>
      <c r="E4542" s="14" t="str">
        <f t="shared" si="582"/>
        <v>Bending</v>
      </c>
      <c r="F4542" s="22"/>
      <c r="H4542" s="5" t="e">
        <f ca="1">_xlfn.FORMULATEXT(표1[[#This Row],[Q''ty]])</f>
        <v>#N/A</v>
      </c>
    </row>
    <row r="4543" spans="1:8" ht="15" hidden="1" customHeight="1" x14ac:dyDescent="0.4">
      <c r="A4543" s="6">
        <v>2026</v>
      </c>
      <c r="B4543" s="6">
        <f t="shared" si="583"/>
        <v>46</v>
      </c>
      <c r="C4543" s="13" t="s">
        <v>21</v>
      </c>
      <c r="D4543" s="2" t="s">
        <v>12</v>
      </c>
      <c r="E4543" s="14" t="str">
        <f t="shared" si="582"/>
        <v>L/W</v>
      </c>
      <c r="F4543" s="22"/>
      <c r="H4543" s="5" t="e">
        <f ca="1">_xlfn.FORMULATEXT(표1[[#This Row],[Q''ty]])</f>
        <v>#N/A</v>
      </c>
    </row>
    <row r="4544" spans="1:8" ht="15" hidden="1" customHeight="1" thickBot="1" x14ac:dyDescent="0.45">
      <c r="A4544" s="15">
        <v>2026</v>
      </c>
      <c r="B4544" s="15">
        <f t="shared" si="583"/>
        <v>46</v>
      </c>
      <c r="C4544" s="16" t="s">
        <v>21</v>
      </c>
      <c r="D4544" s="17" t="s">
        <v>12</v>
      </c>
      <c r="E4544" s="18" t="str">
        <f t="shared" si="582"/>
        <v>C/W</v>
      </c>
      <c r="F4544" s="23"/>
      <c r="H4544" s="5" t="e">
        <f ca="1">_xlfn.FORMULATEXT(표1[[#This Row],[Q''ty]])</f>
        <v>#N/A</v>
      </c>
    </row>
    <row r="4545" spans="1:10" ht="15" hidden="1" customHeight="1" thickTop="1" x14ac:dyDescent="0.4">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10" ht="15" hidden="1" customHeight="1" x14ac:dyDescent="0.4">
      <c r="A4546" s="6">
        <v>2026</v>
      </c>
      <c r="B4546" s="6">
        <f t="shared" si="583"/>
        <v>46</v>
      </c>
      <c r="C4546" s="13" t="s">
        <v>22</v>
      </c>
      <c r="D4546" s="2" t="s">
        <v>6</v>
      </c>
      <c r="E4546" s="14" t="str">
        <f t="shared" si="582"/>
        <v>Paint Booth</v>
      </c>
      <c r="F4546" s="22">
        <f t="shared" si="586"/>
        <v>6</v>
      </c>
      <c r="H4546" s="5" t="str">
        <f ca="1">_xlfn.FORMULATEXT(표1[[#This Row],[Q''ty]])</f>
        <v>=F4447</v>
      </c>
    </row>
    <row r="4547" spans="1:10" ht="15" hidden="1" customHeight="1" x14ac:dyDescent="0.4">
      <c r="A4547" s="6">
        <v>2026</v>
      </c>
      <c r="B4547" s="6">
        <f t="shared" si="583"/>
        <v>46</v>
      </c>
      <c r="C4547" s="13" t="s">
        <v>22</v>
      </c>
      <c r="D4547" s="2" t="s">
        <v>6</v>
      </c>
      <c r="E4547" s="14" t="str">
        <f t="shared" si="582"/>
        <v>Paint Line</v>
      </c>
      <c r="F4547" s="22">
        <f t="shared" si="586"/>
        <v>4</v>
      </c>
      <c r="H4547" s="5" t="str">
        <f ca="1">_xlfn.FORMULATEXT(표1[[#This Row],[Q''ty]])</f>
        <v>=F4448</v>
      </c>
    </row>
    <row r="4548" spans="1:10" ht="15" hidden="1" customHeight="1" x14ac:dyDescent="0.4">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10" ht="15" hidden="1" customHeight="1" x14ac:dyDescent="0.4">
      <c r="A4549" s="6">
        <v>2026</v>
      </c>
      <c r="B4549" s="6">
        <f t="shared" si="583"/>
        <v>46</v>
      </c>
      <c r="C4549" s="13" t="s">
        <v>22</v>
      </c>
      <c r="D4549" s="2" t="s">
        <v>6</v>
      </c>
      <c r="E4549" s="14" t="str">
        <f t="shared" si="582"/>
        <v>L/W Machine</v>
      </c>
      <c r="F4549" s="22">
        <f t="shared" si="586"/>
        <v>7</v>
      </c>
      <c r="H4549" s="5" t="str">
        <f ca="1">_xlfn.FORMULATEXT(표1[[#This Row],[Q''ty]])</f>
        <v>=F4450</v>
      </c>
    </row>
    <row r="4550" spans="1:10" ht="15" hidden="1" customHeight="1" x14ac:dyDescent="0.4">
      <c r="A4550" s="6">
        <v>2026</v>
      </c>
      <c r="B4550" s="6">
        <f t="shared" si="583"/>
        <v>46</v>
      </c>
      <c r="C4550" s="13" t="s">
        <v>22</v>
      </c>
      <c r="D4550" s="2" t="s">
        <v>6</v>
      </c>
      <c r="E4550" s="14" t="str">
        <f t="shared" si="582"/>
        <v>C/W Machine</v>
      </c>
      <c r="F4550" s="22">
        <f t="shared" si="586"/>
        <v>12.5</v>
      </c>
      <c r="H4550" s="5" t="str">
        <f ca="1">_xlfn.FORMULATEXT(표1[[#This Row],[Q''ty]])</f>
        <v>=F4451</v>
      </c>
    </row>
    <row r="4551" spans="1:10" ht="15" hidden="1" customHeight="1" x14ac:dyDescent="0.4">
      <c r="A4551" s="6">
        <v>2026</v>
      </c>
      <c r="B4551" s="6">
        <f t="shared" si="583"/>
        <v>46</v>
      </c>
      <c r="C4551" s="13" t="s">
        <v>22</v>
      </c>
      <c r="D4551" s="2" t="s">
        <v>12</v>
      </c>
      <c r="E4551" s="14" t="str">
        <f t="shared" si="582"/>
        <v>BT GT</v>
      </c>
      <c r="F4551" s="22"/>
      <c r="H4551" s="5" t="e">
        <f ca="1">_xlfn.FORMULATEXT(표1[[#This Row],[Q''ty]])</f>
        <v>#N/A</v>
      </c>
    </row>
    <row r="4552" spans="1:10" ht="15" hidden="1" customHeight="1" x14ac:dyDescent="0.4">
      <c r="A4552" s="6">
        <v>2026</v>
      </c>
      <c r="B4552" s="6">
        <f t="shared" si="583"/>
        <v>46</v>
      </c>
      <c r="C4552" s="13" t="s">
        <v>22</v>
      </c>
      <c r="D4552" s="2" t="s">
        <v>12</v>
      </c>
      <c r="E4552" s="14" t="str">
        <f t="shared" si="582"/>
        <v>WT GT</v>
      </c>
      <c r="F4552" s="22"/>
      <c r="H4552" s="5" t="e">
        <f ca="1">_xlfn.FORMULATEXT(표1[[#This Row],[Q''ty]])</f>
        <v>#N/A</v>
      </c>
    </row>
    <row r="4553" spans="1:10" ht="15" hidden="1" customHeight="1" x14ac:dyDescent="0.4">
      <c r="A4553" s="6">
        <v>2026</v>
      </c>
      <c r="B4553" s="6">
        <f t="shared" si="583"/>
        <v>46</v>
      </c>
      <c r="C4553" s="13" t="s">
        <v>22</v>
      </c>
      <c r="D4553" s="2" t="s">
        <v>12</v>
      </c>
      <c r="E4553" s="14" t="str">
        <f t="shared" si="582"/>
        <v>Bending</v>
      </c>
      <c r="F4553" s="22"/>
      <c r="H4553" s="5" t="e">
        <f ca="1">_xlfn.FORMULATEXT(표1[[#This Row],[Q''ty]])</f>
        <v>#N/A</v>
      </c>
    </row>
    <row r="4554" spans="1:10" ht="15" hidden="1" customHeight="1" x14ac:dyDescent="0.4">
      <c r="A4554" s="6">
        <v>2026</v>
      </c>
      <c r="B4554" s="6">
        <f t="shared" si="583"/>
        <v>46</v>
      </c>
      <c r="C4554" s="13" t="s">
        <v>22</v>
      </c>
      <c r="D4554" s="2" t="s">
        <v>12</v>
      </c>
      <c r="E4554" s="14" t="str">
        <f t="shared" si="582"/>
        <v>L/W</v>
      </c>
      <c r="F4554" s="22"/>
      <c r="H4554" s="5" t="e">
        <f ca="1">_xlfn.FORMULATEXT(표1[[#This Row],[Q''ty]])</f>
        <v>#N/A</v>
      </c>
    </row>
    <row r="4555" spans="1:10" ht="15" hidden="1" customHeight="1" thickBot="1" x14ac:dyDescent="0.45">
      <c r="A4555" s="6">
        <v>2026</v>
      </c>
      <c r="B4555" s="6">
        <f t="shared" si="583"/>
        <v>46</v>
      </c>
      <c r="C4555" s="13" t="s">
        <v>22</v>
      </c>
      <c r="D4555" s="2" t="s">
        <v>12</v>
      </c>
      <c r="E4555" s="14" t="str">
        <f t="shared" si="582"/>
        <v>C/W</v>
      </c>
      <c r="F4555" s="22"/>
      <c r="H4555" s="5" t="e">
        <f ca="1">_xlfn.FORMULATEXT(표1[[#This Row],[Q''ty]])</f>
        <v>#N/A</v>
      </c>
    </row>
    <row r="4556" spans="1:10" ht="15" hidden="1" customHeight="1" thickTop="1" x14ac:dyDescent="0.4">
      <c r="A4556" s="9">
        <v>2026</v>
      </c>
      <c r="B4556" s="9">
        <f>B4457+1</f>
        <v>47</v>
      </c>
      <c r="C4556" s="10" t="s">
        <v>28</v>
      </c>
      <c r="D4556" s="11" t="s">
        <v>6</v>
      </c>
      <c r="E4556" s="12" t="s">
        <v>7</v>
      </c>
      <c r="F4556" s="21">
        <f t="shared" ref="F4556:F4561" si="587">F4457</f>
        <v>15</v>
      </c>
      <c r="H4556" s="5" t="str">
        <f ca="1">_xlfn.FORMULATEXT(표1[[#This Row],[Q''ty]])</f>
        <v>=F4457</v>
      </c>
    </row>
    <row r="4557" spans="1:10" s="2" customFormat="1" ht="15" hidden="1" customHeight="1" x14ac:dyDescent="0.4">
      <c r="A4557" s="6">
        <v>2026</v>
      </c>
      <c r="B4557" s="6">
        <f t="shared" ref="B4557:B4620" si="588">B4458+1</f>
        <v>47</v>
      </c>
      <c r="C4557" s="13" t="s">
        <v>23</v>
      </c>
      <c r="D4557" s="2" t="s">
        <v>6</v>
      </c>
      <c r="E4557" s="14" t="s">
        <v>8</v>
      </c>
      <c r="F4557" s="22">
        <f t="shared" si="587"/>
        <v>10</v>
      </c>
      <c r="H4557" s="5" t="str">
        <f ca="1">_xlfn.FORMULATEXT(표1[[#This Row],[Q''ty]])</f>
        <v>=F4458</v>
      </c>
      <c r="I4557" s="26"/>
      <c r="J4557" s="26"/>
    </row>
    <row r="4558" spans="1:10" s="2" customFormat="1" ht="15" hidden="1" customHeight="1" x14ac:dyDescent="0.4">
      <c r="A4558" s="6">
        <v>2026</v>
      </c>
      <c r="B4558" s="6">
        <f t="shared" si="588"/>
        <v>47</v>
      </c>
      <c r="C4558" s="13" t="s">
        <v>23</v>
      </c>
      <c r="D4558" s="2" t="s">
        <v>6</v>
      </c>
      <c r="E4558" s="14" t="s">
        <v>9</v>
      </c>
      <c r="F4558" s="22">
        <f t="shared" si="587"/>
        <v>5</v>
      </c>
      <c r="H4558" s="5" t="str">
        <f ca="1">_xlfn.FORMULATEXT(표1[[#This Row],[Q''ty]])</f>
        <v>=F4459</v>
      </c>
      <c r="I4558" s="26"/>
      <c r="J4558" s="26"/>
    </row>
    <row r="4559" spans="1:10" ht="15" hidden="1" customHeight="1" x14ac:dyDescent="0.4">
      <c r="A4559" s="6">
        <v>2026</v>
      </c>
      <c r="B4559" s="6">
        <f t="shared" si="588"/>
        <v>47</v>
      </c>
      <c r="C4559" s="13" t="s">
        <v>23</v>
      </c>
      <c r="D4559" s="2" t="s">
        <v>6</v>
      </c>
      <c r="E4559" s="14" t="s">
        <v>27</v>
      </c>
      <c r="F4559" s="22">
        <f t="shared" si="587"/>
        <v>6</v>
      </c>
      <c r="H4559" s="5" t="str">
        <f ca="1">_xlfn.FORMULATEXT(표1[[#This Row],[Q''ty]])</f>
        <v>=F4460</v>
      </c>
    </row>
    <row r="4560" spans="1:10" ht="15" hidden="1" customHeight="1" x14ac:dyDescent="0.4">
      <c r="A4560" s="6">
        <v>2026</v>
      </c>
      <c r="B4560" s="6">
        <f t="shared" si="588"/>
        <v>47</v>
      </c>
      <c r="C4560" s="13" t="s">
        <v>23</v>
      </c>
      <c r="D4560" s="2" t="s">
        <v>6</v>
      </c>
      <c r="E4560" s="14" t="s">
        <v>10</v>
      </c>
      <c r="F4560" s="22">
        <f t="shared" si="587"/>
        <v>10</v>
      </c>
      <c r="H4560" s="5" t="str">
        <f ca="1">_xlfn.FORMULATEXT(표1[[#This Row],[Q''ty]])</f>
        <v>=F4461</v>
      </c>
    </row>
    <row r="4561" spans="1:10" ht="15" hidden="1" customHeight="1" x14ac:dyDescent="0.4">
      <c r="A4561" s="6">
        <v>2026</v>
      </c>
      <c r="B4561" s="6">
        <f t="shared" si="588"/>
        <v>47</v>
      </c>
      <c r="C4561" s="13" t="s">
        <v>23</v>
      </c>
      <c r="D4561" s="2" t="s">
        <v>6</v>
      </c>
      <c r="E4561" s="14" t="s">
        <v>11</v>
      </c>
      <c r="F4561" s="22">
        <f t="shared" si="587"/>
        <v>10</v>
      </c>
      <c r="H4561" s="5" t="str">
        <f ca="1">_xlfn.FORMULATEXT(표1[[#This Row],[Q''ty]])</f>
        <v>=F4462</v>
      </c>
    </row>
    <row r="4562" spans="1:10" ht="15" hidden="1" customHeight="1" x14ac:dyDescent="0.4">
      <c r="A4562" s="6">
        <v>2026</v>
      </c>
      <c r="B4562" s="6">
        <f t="shared" si="588"/>
        <v>47</v>
      </c>
      <c r="C4562" s="13" t="s">
        <v>23</v>
      </c>
      <c r="D4562" s="2" t="s">
        <v>12</v>
      </c>
      <c r="E4562" s="14" t="s">
        <v>13</v>
      </c>
      <c r="F4562" s="22"/>
      <c r="H4562" s="5" t="e">
        <f ca="1">_xlfn.FORMULATEXT(표1[[#This Row],[Q''ty]])</f>
        <v>#N/A</v>
      </c>
    </row>
    <row r="4563" spans="1:10" s="2" customFormat="1" ht="15" hidden="1" customHeight="1" x14ac:dyDescent="0.4">
      <c r="A4563" s="6">
        <v>2026</v>
      </c>
      <c r="B4563" s="6">
        <f t="shared" si="588"/>
        <v>47</v>
      </c>
      <c r="C4563" s="13" t="s">
        <v>23</v>
      </c>
      <c r="D4563" s="2" t="s">
        <v>12</v>
      </c>
      <c r="E4563" s="14" t="s">
        <v>14</v>
      </c>
      <c r="F4563" s="22"/>
      <c r="H4563" s="5" t="e">
        <f ca="1">_xlfn.FORMULATEXT(표1[[#This Row],[Q''ty]])</f>
        <v>#N/A</v>
      </c>
      <c r="I4563" s="26"/>
      <c r="J4563" s="26"/>
    </row>
    <row r="4564" spans="1:10" ht="15" hidden="1" customHeight="1" x14ac:dyDescent="0.4">
      <c r="A4564" s="6">
        <v>2026</v>
      </c>
      <c r="B4564" s="6">
        <f t="shared" si="588"/>
        <v>47</v>
      </c>
      <c r="C4564" s="13" t="s">
        <v>23</v>
      </c>
      <c r="D4564" s="2" t="s">
        <v>12</v>
      </c>
      <c r="E4564" s="14" t="s">
        <v>15</v>
      </c>
      <c r="F4564" s="22"/>
      <c r="H4564" s="5" t="e">
        <f ca="1">_xlfn.FORMULATEXT(표1[[#This Row],[Q''ty]])</f>
        <v>#N/A</v>
      </c>
    </row>
    <row r="4565" spans="1:10" ht="15" hidden="1" customHeight="1" x14ac:dyDescent="0.4">
      <c r="A4565" s="6">
        <v>2026</v>
      </c>
      <c r="B4565" s="6">
        <f t="shared" si="588"/>
        <v>47</v>
      </c>
      <c r="C4565" s="13" t="s">
        <v>23</v>
      </c>
      <c r="D4565" s="2" t="s">
        <v>12</v>
      </c>
      <c r="E4565" s="14" t="s">
        <v>16</v>
      </c>
      <c r="F4565" s="22"/>
      <c r="H4565" s="5" t="e">
        <f ca="1">_xlfn.FORMULATEXT(표1[[#This Row],[Q''ty]])</f>
        <v>#N/A</v>
      </c>
    </row>
    <row r="4566" spans="1:10" ht="15" hidden="1" customHeight="1" thickBot="1" x14ac:dyDescent="0.45">
      <c r="A4566" s="15">
        <v>2026</v>
      </c>
      <c r="B4566" s="15">
        <f t="shared" si="588"/>
        <v>47</v>
      </c>
      <c r="C4566" s="16" t="s">
        <v>23</v>
      </c>
      <c r="D4566" s="17" t="s">
        <v>12</v>
      </c>
      <c r="E4566" s="18" t="s">
        <v>17</v>
      </c>
      <c r="F4566" s="23"/>
      <c r="H4566" s="5" t="e">
        <f ca="1">_xlfn.FORMULATEXT(표1[[#This Row],[Q''ty]])</f>
        <v>#N/A</v>
      </c>
    </row>
    <row r="4567" spans="1:10" ht="15" hidden="1" customHeight="1" thickTop="1" x14ac:dyDescent="0.4">
      <c r="A4567" s="9">
        <v>2026</v>
      </c>
      <c r="B4567" s="9">
        <f t="shared" si="588"/>
        <v>47</v>
      </c>
      <c r="C4567" s="10" t="s">
        <v>29</v>
      </c>
      <c r="D4567" s="11" t="s">
        <v>6</v>
      </c>
      <c r="E4567" s="12" t="s">
        <v>7</v>
      </c>
      <c r="F4567" s="21">
        <f t="shared" ref="F4567:F4572" si="589">F4468</f>
        <v>14</v>
      </c>
      <c r="H4567" s="5" t="str">
        <f ca="1">_xlfn.FORMULATEXT(표1[[#This Row],[Q''ty]])</f>
        <v>=F4468</v>
      </c>
    </row>
    <row r="4568" spans="1:10" s="2" customFormat="1" ht="15" hidden="1" customHeight="1" x14ac:dyDescent="0.4">
      <c r="A4568" s="6">
        <v>2026</v>
      </c>
      <c r="B4568" s="6">
        <f t="shared" si="588"/>
        <v>47</v>
      </c>
      <c r="C4568" s="13" t="s">
        <v>24</v>
      </c>
      <c r="D4568" s="2" t="s">
        <v>6</v>
      </c>
      <c r="E4568" s="14" t="s">
        <v>8</v>
      </c>
      <c r="F4568" s="22">
        <f t="shared" si="589"/>
        <v>8</v>
      </c>
      <c r="H4568" s="5" t="str">
        <f ca="1">_xlfn.FORMULATEXT(표1[[#This Row],[Q''ty]])</f>
        <v>=F4469</v>
      </c>
      <c r="I4568" s="26"/>
      <c r="J4568" s="26"/>
    </row>
    <row r="4569" spans="1:10" s="2" customFormat="1" ht="15" hidden="1" customHeight="1" x14ac:dyDescent="0.4">
      <c r="A4569" s="6">
        <v>2026</v>
      </c>
      <c r="B4569" s="6">
        <f t="shared" si="588"/>
        <v>47</v>
      </c>
      <c r="C4569" s="13" t="s">
        <v>24</v>
      </c>
      <c r="D4569" s="2" t="s">
        <v>6</v>
      </c>
      <c r="E4569" s="14" t="s">
        <v>9</v>
      </c>
      <c r="F4569" s="22">
        <f t="shared" si="589"/>
        <v>4</v>
      </c>
      <c r="H4569" s="5" t="str">
        <f ca="1">_xlfn.FORMULATEXT(표1[[#This Row],[Q''ty]])</f>
        <v>=F4470</v>
      </c>
      <c r="I4569" s="26"/>
      <c r="J4569" s="26"/>
    </row>
    <row r="4570" spans="1:10" ht="15" hidden="1" customHeight="1" x14ac:dyDescent="0.4">
      <c r="A4570" s="6">
        <v>2026</v>
      </c>
      <c r="B4570" s="6">
        <f t="shared" si="588"/>
        <v>47</v>
      </c>
      <c r="C4570" s="13" t="s">
        <v>24</v>
      </c>
      <c r="D4570" s="2" t="s">
        <v>6</v>
      </c>
      <c r="E4570" s="14" t="s">
        <v>27</v>
      </c>
      <c r="F4570" s="22">
        <f t="shared" si="589"/>
        <v>3</v>
      </c>
      <c r="H4570" s="5" t="str">
        <f ca="1">_xlfn.FORMULATEXT(표1[[#This Row],[Q''ty]])</f>
        <v>=F4471</v>
      </c>
    </row>
    <row r="4571" spans="1:10" ht="15" hidden="1" customHeight="1" x14ac:dyDescent="0.4">
      <c r="A4571" s="6">
        <v>2026</v>
      </c>
      <c r="B4571" s="6">
        <f t="shared" si="588"/>
        <v>47</v>
      </c>
      <c r="C4571" s="13" t="s">
        <v>24</v>
      </c>
      <c r="D4571" s="2" t="s">
        <v>6</v>
      </c>
      <c r="E4571" s="14" t="s">
        <v>10</v>
      </c>
      <c r="F4571" s="22">
        <f t="shared" si="589"/>
        <v>6</v>
      </c>
      <c r="H4571" s="5" t="str">
        <f ca="1">_xlfn.FORMULATEXT(표1[[#This Row],[Q''ty]])</f>
        <v>=F4472</v>
      </c>
    </row>
    <row r="4572" spans="1:10" ht="15" hidden="1" customHeight="1" x14ac:dyDescent="0.4">
      <c r="A4572" s="6">
        <v>2026</v>
      </c>
      <c r="B4572" s="6">
        <f t="shared" si="588"/>
        <v>47</v>
      </c>
      <c r="C4572" s="13" t="s">
        <v>24</v>
      </c>
      <c r="D4572" s="2" t="s">
        <v>6</v>
      </c>
      <c r="E4572" s="14" t="s">
        <v>11</v>
      </c>
      <c r="F4572" s="22">
        <f t="shared" si="589"/>
        <v>8.8000000000000007</v>
      </c>
      <c r="H4572" s="5" t="str">
        <f ca="1">_xlfn.FORMULATEXT(표1[[#This Row],[Q''ty]])</f>
        <v>=F4473</v>
      </c>
    </row>
    <row r="4573" spans="1:10" ht="15" hidden="1" customHeight="1" x14ac:dyDescent="0.4">
      <c r="A4573" s="6">
        <v>2026</v>
      </c>
      <c r="B4573" s="6">
        <f t="shared" si="588"/>
        <v>47</v>
      </c>
      <c r="C4573" s="13" t="s">
        <v>24</v>
      </c>
      <c r="D4573" s="2" t="s">
        <v>12</v>
      </c>
      <c r="E4573" s="14" t="s">
        <v>13</v>
      </c>
      <c r="F4573" s="22"/>
      <c r="H4573" s="5" t="e">
        <f ca="1">_xlfn.FORMULATEXT(표1[[#This Row],[Q''ty]])</f>
        <v>#N/A</v>
      </c>
    </row>
    <row r="4574" spans="1:10" s="2" customFormat="1" ht="15" hidden="1" customHeight="1" x14ac:dyDescent="0.4">
      <c r="A4574" s="6">
        <v>2026</v>
      </c>
      <c r="B4574" s="6">
        <f t="shared" si="588"/>
        <v>47</v>
      </c>
      <c r="C4574" s="13" t="s">
        <v>24</v>
      </c>
      <c r="D4574" s="2" t="s">
        <v>12</v>
      </c>
      <c r="E4574" s="14" t="s">
        <v>14</v>
      </c>
      <c r="F4574" s="22"/>
      <c r="H4574" s="5" t="e">
        <f ca="1">_xlfn.FORMULATEXT(표1[[#This Row],[Q''ty]])</f>
        <v>#N/A</v>
      </c>
      <c r="I4574" s="26"/>
      <c r="J4574" s="26"/>
    </row>
    <row r="4575" spans="1:10" ht="15" hidden="1" customHeight="1" x14ac:dyDescent="0.4">
      <c r="A4575" s="6">
        <v>2026</v>
      </c>
      <c r="B4575" s="6">
        <f t="shared" si="588"/>
        <v>47</v>
      </c>
      <c r="C4575" s="13" t="s">
        <v>24</v>
      </c>
      <c r="D4575" s="2" t="s">
        <v>12</v>
      </c>
      <c r="E4575" s="14" t="s">
        <v>15</v>
      </c>
      <c r="F4575" s="22"/>
      <c r="H4575" s="5" t="e">
        <f ca="1">_xlfn.FORMULATEXT(표1[[#This Row],[Q''ty]])</f>
        <v>#N/A</v>
      </c>
    </row>
    <row r="4576" spans="1:10" ht="15" hidden="1" customHeight="1" x14ac:dyDescent="0.4">
      <c r="A4576" s="6">
        <v>2026</v>
      </c>
      <c r="B4576" s="6">
        <f t="shared" si="588"/>
        <v>47</v>
      </c>
      <c r="C4576" s="13" t="s">
        <v>24</v>
      </c>
      <c r="D4576" s="2" t="s">
        <v>12</v>
      </c>
      <c r="E4576" s="14" t="s">
        <v>16</v>
      </c>
      <c r="F4576" s="22"/>
      <c r="H4576" s="5" t="e">
        <f ca="1">_xlfn.FORMULATEXT(표1[[#This Row],[Q''ty]])</f>
        <v>#N/A</v>
      </c>
    </row>
    <row r="4577" spans="1:8" ht="15" hidden="1" customHeight="1" thickBot="1" x14ac:dyDescent="0.45">
      <c r="A4577" s="15">
        <v>2026</v>
      </c>
      <c r="B4577" s="15">
        <f t="shared" si="588"/>
        <v>47</v>
      </c>
      <c r="C4577" s="16" t="s">
        <v>24</v>
      </c>
      <c r="D4577" s="17" t="s">
        <v>12</v>
      </c>
      <c r="E4577" s="18" t="s">
        <v>17</v>
      </c>
      <c r="F4577" s="23"/>
      <c r="H4577" s="5" t="e">
        <f ca="1">_xlfn.FORMULATEXT(표1[[#This Row],[Q''ty]])</f>
        <v>#N/A</v>
      </c>
    </row>
    <row r="4578" spans="1:8" ht="15" hidden="1" customHeight="1" thickTop="1" x14ac:dyDescent="0.4">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hidden="1" customHeight="1" x14ac:dyDescent="0.4">
      <c r="A4579" s="6">
        <v>2026</v>
      </c>
      <c r="B4579" s="6">
        <f t="shared" si="588"/>
        <v>47</v>
      </c>
      <c r="C4579" s="13" t="s">
        <v>18</v>
      </c>
      <c r="D4579" s="2" t="s">
        <v>6</v>
      </c>
      <c r="E4579" s="14" t="str">
        <f t="shared" si="590"/>
        <v>Paint Booth</v>
      </c>
      <c r="F4579" s="22">
        <f t="shared" si="590"/>
        <v>3</v>
      </c>
      <c r="H4579" s="5" t="str">
        <f ca="1">_xlfn.FORMULATEXT(표1[[#This Row],[Q''ty]])</f>
        <v>=F4480</v>
      </c>
    </row>
    <row r="4580" spans="1:8" ht="15" hidden="1" customHeight="1" x14ac:dyDescent="0.4">
      <c r="A4580" s="6">
        <v>2026</v>
      </c>
      <c r="B4580" s="6">
        <f t="shared" si="588"/>
        <v>47</v>
      </c>
      <c r="C4580" s="13" t="s">
        <v>18</v>
      </c>
      <c r="D4580" s="2" t="s">
        <v>6</v>
      </c>
      <c r="E4580" s="14" t="str">
        <f t="shared" si="590"/>
        <v>Paint Line</v>
      </c>
      <c r="F4580" s="22">
        <f t="shared" si="590"/>
        <v>2</v>
      </c>
      <c r="H4580" s="5" t="str">
        <f ca="1">_xlfn.FORMULATEXT(표1[[#This Row],[Q''ty]])</f>
        <v>=F4481</v>
      </c>
    </row>
    <row r="4581" spans="1:8" ht="15" hidden="1" customHeight="1" x14ac:dyDescent="0.4">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hidden="1" customHeight="1" x14ac:dyDescent="0.4">
      <c r="A4582" s="6">
        <v>2026</v>
      </c>
      <c r="B4582" s="6">
        <f t="shared" si="588"/>
        <v>47</v>
      </c>
      <c r="C4582" s="13" t="s">
        <v>18</v>
      </c>
      <c r="D4582" s="2" t="s">
        <v>6</v>
      </c>
      <c r="E4582" s="14" t="str">
        <f t="shared" si="590"/>
        <v>L/W Machine</v>
      </c>
      <c r="F4582" s="22">
        <f t="shared" si="590"/>
        <v>2</v>
      </c>
      <c r="H4582" s="5" t="str">
        <f ca="1">_xlfn.FORMULATEXT(표1[[#This Row],[Q''ty]])</f>
        <v>=F4483</v>
      </c>
    </row>
    <row r="4583" spans="1:8" ht="15" hidden="1" customHeight="1" x14ac:dyDescent="0.4">
      <c r="A4583" s="6">
        <v>2026</v>
      </c>
      <c r="B4583" s="6">
        <f t="shared" si="588"/>
        <v>47</v>
      </c>
      <c r="C4583" s="13" t="s">
        <v>18</v>
      </c>
      <c r="D4583" s="2" t="s">
        <v>6</v>
      </c>
      <c r="E4583" s="14" t="str">
        <f t="shared" si="590"/>
        <v>C/W Machine</v>
      </c>
      <c r="F4583" s="22">
        <f t="shared" si="590"/>
        <v>3</v>
      </c>
      <c r="H4583" s="5" t="str">
        <f ca="1">_xlfn.FORMULATEXT(표1[[#This Row],[Q''ty]])</f>
        <v>=F4484</v>
      </c>
    </row>
    <row r="4584" spans="1:8" ht="15" hidden="1" customHeight="1" x14ac:dyDescent="0.4">
      <c r="A4584" s="6">
        <v>2026</v>
      </c>
      <c r="B4584" s="6">
        <f t="shared" si="588"/>
        <v>47</v>
      </c>
      <c r="C4584" s="13" t="s">
        <v>18</v>
      </c>
      <c r="D4584" s="2" t="s">
        <v>12</v>
      </c>
      <c r="E4584" s="14" t="str">
        <f t="shared" ref="E4584:E4599" si="591">E4485</f>
        <v>BT GT</v>
      </c>
      <c r="F4584" s="22"/>
      <c r="H4584" s="5" t="e">
        <f ca="1">_xlfn.FORMULATEXT(표1[[#This Row],[Q''ty]])</f>
        <v>#N/A</v>
      </c>
    </row>
    <row r="4585" spans="1:8" ht="15" hidden="1" customHeight="1" x14ac:dyDescent="0.4">
      <c r="A4585" s="6">
        <v>2026</v>
      </c>
      <c r="B4585" s="6">
        <f t="shared" si="588"/>
        <v>47</v>
      </c>
      <c r="C4585" s="13" t="s">
        <v>18</v>
      </c>
      <c r="D4585" s="2" t="s">
        <v>12</v>
      </c>
      <c r="E4585" s="14" t="str">
        <f t="shared" si="591"/>
        <v>WT GT</v>
      </c>
      <c r="F4585" s="22"/>
      <c r="H4585" s="5" t="e">
        <f ca="1">_xlfn.FORMULATEXT(표1[[#This Row],[Q''ty]])</f>
        <v>#N/A</v>
      </c>
    </row>
    <row r="4586" spans="1:8" ht="15" hidden="1" customHeight="1" x14ac:dyDescent="0.4">
      <c r="A4586" s="6">
        <v>2026</v>
      </c>
      <c r="B4586" s="6">
        <f t="shared" si="588"/>
        <v>47</v>
      </c>
      <c r="C4586" s="13" t="s">
        <v>18</v>
      </c>
      <c r="D4586" s="2" t="s">
        <v>12</v>
      </c>
      <c r="E4586" s="14" t="str">
        <f t="shared" si="591"/>
        <v>Bending</v>
      </c>
      <c r="F4586" s="22"/>
      <c r="H4586" s="5" t="e">
        <f ca="1">_xlfn.FORMULATEXT(표1[[#This Row],[Q''ty]])</f>
        <v>#N/A</v>
      </c>
    </row>
    <row r="4587" spans="1:8" ht="15" hidden="1" customHeight="1" x14ac:dyDescent="0.4">
      <c r="A4587" s="6">
        <v>2026</v>
      </c>
      <c r="B4587" s="6">
        <f t="shared" si="588"/>
        <v>47</v>
      </c>
      <c r="C4587" s="13" t="s">
        <v>18</v>
      </c>
      <c r="D4587" s="2" t="s">
        <v>12</v>
      </c>
      <c r="E4587" s="14" t="str">
        <f t="shared" si="591"/>
        <v>L/W</v>
      </c>
      <c r="F4587" s="22"/>
      <c r="H4587" s="5" t="e">
        <f ca="1">_xlfn.FORMULATEXT(표1[[#This Row],[Q''ty]])</f>
        <v>#N/A</v>
      </c>
    </row>
    <row r="4588" spans="1:8" ht="15" hidden="1" customHeight="1" thickBot="1" x14ac:dyDescent="0.45">
      <c r="A4588" s="15">
        <v>2026</v>
      </c>
      <c r="B4588" s="15">
        <f t="shared" si="588"/>
        <v>47</v>
      </c>
      <c r="C4588" s="16" t="s">
        <v>18</v>
      </c>
      <c r="D4588" s="17" t="s">
        <v>12</v>
      </c>
      <c r="E4588" s="18" t="str">
        <f t="shared" si="591"/>
        <v>C/W</v>
      </c>
      <c r="F4588" s="23"/>
      <c r="H4588" s="5" t="e">
        <f ca="1">_xlfn.FORMULATEXT(표1[[#This Row],[Q''ty]])</f>
        <v>#N/A</v>
      </c>
    </row>
    <row r="4589" spans="1:8" ht="15" hidden="1" customHeight="1" thickTop="1" x14ac:dyDescent="0.4">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hidden="1" customHeight="1" x14ac:dyDescent="0.4">
      <c r="A4590" s="6">
        <v>2026</v>
      </c>
      <c r="B4590" s="6">
        <f t="shared" si="588"/>
        <v>47</v>
      </c>
      <c r="C4590" s="13" t="s">
        <v>19</v>
      </c>
      <c r="D4590" s="2" t="s">
        <v>6</v>
      </c>
      <c r="E4590" s="14" t="str">
        <f t="shared" si="591"/>
        <v>Paint Booth</v>
      </c>
      <c r="F4590" s="22">
        <f t="shared" si="592"/>
        <v>22</v>
      </c>
      <c r="H4590" s="5" t="str">
        <f ca="1">_xlfn.FORMULATEXT(표1[[#This Row],[Q''ty]])</f>
        <v>=F4491</v>
      </c>
    </row>
    <row r="4591" spans="1:8" ht="15" hidden="1" customHeight="1" x14ac:dyDescent="0.4">
      <c r="A4591" s="6">
        <v>2026</v>
      </c>
      <c r="B4591" s="6">
        <f t="shared" si="588"/>
        <v>47</v>
      </c>
      <c r="C4591" s="13" t="s">
        <v>19</v>
      </c>
      <c r="D4591" s="2" t="s">
        <v>6</v>
      </c>
      <c r="E4591" s="14" t="str">
        <f t="shared" si="591"/>
        <v>Paint Line</v>
      </c>
      <c r="F4591" s="22">
        <f t="shared" si="592"/>
        <v>6</v>
      </c>
      <c r="H4591" s="5" t="str">
        <f ca="1">_xlfn.FORMULATEXT(표1[[#This Row],[Q''ty]])</f>
        <v>=F4492</v>
      </c>
    </row>
    <row r="4592" spans="1:8" ht="15" hidden="1" customHeight="1" x14ac:dyDescent="0.4">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hidden="1" customHeight="1" x14ac:dyDescent="0.4">
      <c r="A4593" s="6">
        <v>2026</v>
      </c>
      <c r="B4593" s="6">
        <f t="shared" si="588"/>
        <v>47</v>
      </c>
      <c r="C4593" s="13" t="s">
        <v>19</v>
      </c>
      <c r="D4593" s="2" t="s">
        <v>6</v>
      </c>
      <c r="E4593" s="14" t="str">
        <f t="shared" si="591"/>
        <v>L/W Machine</v>
      </c>
      <c r="F4593" s="22">
        <f t="shared" si="592"/>
        <v>10</v>
      </c>
      <c r="H4593" s="5" t="str">
        <f ca="1">_xlfn.FORMULATEXT(표1[[#This Row],[Q''ty]])</f>
        <v>=F4494</v>
      </c>
    </row>
    <row r="4594" spans="1:8" ht="15" hidden="1" customHeight="1" x14ac:dyDescent="0.4">
      <c r="A4594" s="6">
        <v>2026</v>
      </c>
      <c r="B4594" s="6">
        <f t="shared" si="588"/>
        <v>47</v>
      </c>
      <c r="C4594" s="13" t="s">
        <v>19</v>
      </c>
      <c r="D4594" s="2" t="s">
        <v>6</v>
      </c>
      <c r="E4594" s="14" t="str">
        <f t="shared" si="591"/>
        <v>C/W Machine</v>
      </c>
      <c r="F4594" s="22">
        <f t="shared" si="592"/>
        <v>12</v>
      </c>
      <c r="H4594" s="5" t="str">
        <f ca="1">_xlfn.FORMULATEXT(표1[[#This Row],[Q''ty]])</f>
        <v>=F4495</v>
      </c>
    </row>
    <row r="4595" spans="1:8" ht="15" hidden="1" customHeight="1" x14ac:dyDescent="0.4">
      <c r="A4595" s="6">
        <v>2026</v>
      </c>
      <c r="B4595" s="6">
        <f t="shared" si="588"/>
        <v>47</v>
      </c>
      <c r="C4595" s="13" t="s">
        <v>19</v>
      </c>
      <c r="D4595" s="2" t="s">
        <v>12</v>
      </c>
      <c r="E4595" s="14" t="str">
        <f t="shared" si="591"/>
        <v>BT GT</v>
      </c>
      <c r="F4595" s="22"/>
      <c r="H4595" s="5" t="e">
        <f ca="1">_xlfn.FORMULATEXT(표1[[#This Row],[Q''ty]])</f>
        <v>#N/A</v>
      </c>
    </row>
    <row r="4596" spans="1:8" ht="15" hidden="1" customHeight="1" x14ac:dyDescent="0.4">
      <c r="A4596" s="6">
        <v>2026</v>
      </c>
      <c r="B4596" s="6">
        <f t="shared" si="588"/>
        <v>47</v>
      </c>
      <c r="C4596" s="13" t="s">
        <v>19</v>
      </c>
      <c r="D4596" s="2" t="s">
        <v>12</v>
      </c>
      <c r="E4596" s="14" t="str">
        <f t="shared" si="591"/>
        <v>WT GT</v>
      </c>
      <c r="F4596" s="22"/>
      <c r="H4596" s="5" t="e">
        <f ca="1">_xlfn.FORMULATEXT(표1[[#This Row],[Q''ty]])</f>
        <v>#N/A</v>
      </c>
    </row>
    <row r="4597" spans="1:8" ht="15" hidden="1" customHeight="1" x14ac:dyDescent="0.4">
      <c r="A4597" s="6">
        <v>2026</v>
      </c>
      <c r="B4597" s="6">
        <f t="shared" si="588"/>
        <v>47</v>
      </c>
      <c r="C4597" s="13" t="s">
        <v>19</v>
      </c>
      <c r="D4597" s="2" t="s">
        <v>12</v>
      </c>
      <c r="E4597" s="14" t="str">
        <f t="shared" si="591"/>
        <v>Bending</v>
      </c>
      <c r="F4597" s="22"/>
      <c r="H4597" s="5" t="e">
        <f ca="1">_xlfn.FORMULATEXT(표1[[#This Row],[Q''ty]])</f>
        <v>#N/A</v>
      </c>
    </row>
    <row r="4598" spans="1:8" ht="15" hidden="1" customHeight="1" x14ac:dyDescent="0.4">
      <c r="A4598" s="6">
        <v>2026</v>
      </c>
      <c r="B4598" s="6">
        <f t="shared" si="588"/>
        <v>47</v>
      </c>
      <c r="C4598" s="13" t="s">
        <v>19</v>
      </c>
      <c r="D4598" s="2" t="s">
        <v>12</v>
      </c>
      <c r="E4598" s="14" t="str">
        <f t="shared" si="591"/>
        <v>L/W</v>
      </c>
      <c r="F4598" s="22"/>
      <c r="H4598" s="5" t="e">
        <f ca="1">_xlfn.FORMULATEXT(표1[[#This Row],[Q''ty]])</f>
        <v>#N/A</v>
      </c>
    </row>
    <row r="4599" spans="1:8" ht="15" hidden="1" customHeight="1" thickBot="1" x14ac:dyDescent="0.45">
      <c r="A4599" s="15">
        <v>2026</v>
      </c>
      <c r="B4599" s="15">
        <f t="shared" si="588"/>
        <v>47</v>
      </c>
      <c r="C4599" s="16" t="s">
        <v>19</v>
      </c>
      <c r="D4599" s="17" t="s">
        <v>12</v>
      </c>
      <c r="E4599" s="18" t="str">
        <f t="shared" si="591"/>
        <v>C/W</v>
      </c>
      <c r="F4599" s="23"/>
      <c r="H4599" s="5" t="e">
        <f ca="1">_xlfn.FORMULATEXT(표1[[#This Row],[Q''ty]])</f>
        <v>#N/A</v>
      </c>
    </row>
    <row r="4600" spans="1:8" ht="15" hidden="1" customHeight="1" thickTop="1" x14ac:dyDescent="0.4">
      <c r="A4600" s="6">
        <v>2026</v>
      </c>
      <c r="B4600" s="6">
        <f t="shared" si="588"/>
        <v>47</v>
      </c>
      <c r="C4600" s="13" t="s">
        <v>25</v>
      </c>
      <c r="D4600" s="2" t="s">
        <v>6</v>
      </c>
      <c r="E4600" s="14" t="s">
        <v>7</v>
      </c>
      <c r="F4600" s="22">
        <f t="shared" ref="F4600:F4605" si="593">F4501</f>
        <v>3</v>
      </c>
      <c r="H4600" s="5" t="str">
        <f ca="1">_xlfn.FORMULATEXT(표1[[#This Row],[Q''ty]])</f>
        <v>=F4501</v>
      </c>
    </row>
    <row r="4601" spans="1:8" ht="15" hidden="1" customHeight="1" x14ac:dyDescent="0.4">
      <c r="A4601" s="6">
        <v>2026</v>
      </c>
      <c r="B4601" s="6">
        <f t="shared" si="588"/>
        <v>47</v>
      </c>
      <c r="C4601" s="13" t="s">
        <v>25</v>
      </c>
      <c r="D4601" s="2" t="s">
        <v>6</v>
      </c>
      <c r="E4601" s="14" t="s">
        <v>8</v>
      </c>
      <c r="F4601" s="22">
        <f t="shared" si="593"/>
        <v>3</v>
      </c>
      <c r="H4601" s="5" t="str">
        <f ca="1">_xlfn.FORMULATEXT(표1[[#This Row],[Q''ty]])</f>
        <v>=F4502</v>
      </c>
    </row>
    <row r="4602" spans="1:8" ht="15" hidden="1" customHeight="1" x14ac:dyDescent="0.4">
      <c r="A4602" s="6">
        <v>2026</v>
      </c>
      <c r="B4602" s="6">
        <f t="shared" si="588"/>
        <v>47</v>
      </c>
      <c r="C4602" s="13" t="s">
        <v>25</v>
      </c>
      <c r="D4602" s="2" t="s">
        <v>6</v>
      </c>
      <c r="E4602" s="14" t="s">
        <v>9</v>
      </c>
      <c r="F4602" s="22">
        <f t="shared" si="593"/>
        <v>2</v>
      </c>
      <c r="H4602" s="5" t="str">
        <f ca="1">_xlfn.FORMULATEXT(표1[[#This Row],[Q''ty]])</f>
        <v>=F4503</v>
      </c>
    </row>
    <row r="4603" spans="1:8" ht="15" hidden="1" customHeight="1" x14ac:dyDescent="0.4">
      <c r="A4603" s="6">
        <v>2026</v>
      </c>
      <c r="B4603" s="6">
        <f t="shared" si="588"/>
        <v>47</v>
      </c>
      <c r="C4603" s="13" t="s">
        <v>25</v>
      </c>
      <c r="D4603" s="2" t="s">
        <v>6</v>
      </c>
      <c r="E4603" s="14" t="s">
        <v>27</v>
      </c>
      <c r="F4603" s="22">
        <f t="shared" si="593"/>
        <v>2</v>
      </c>
      <c r="H4603" s="5" t="str">
        <f ca="1">_xlfn.FORMULATEXT(표1[[#This Row],[Q''ty]])</f>
        <v>=F4504</v>
      </c>
    </row>
    <row r="4604" spans="1:8" ht="15" hidden="1" customHeight="1" x14ac:dyDescent="0.4">
      <c r="A4604" s="6">
        <v>2026</v>
      </c>
      <c r="B4604" s="6">
        <f t="shared" si="588"/>
        <v>47</v>
      </c>
      <c r="C4604" s="13" t="s">
        <v>25</v>
      </c>
      <c r="D4604" s="2" t="s">
        <v>6</v>
      </c>
      <c r="E4604" s="14" t="s">
        <v>10</v>
      </c>
      <c r="F4604" s="22">
        <f t="shared" si="593"/>
        <v>3</v>
      </c>
      <c r="H4604" s="5" t="str">
        <f ca="1">_xlfn.FORMULATEXT(표1[[#This Row],[Q''ty]])</f>
        <v>=F4505</v>
      </c>
    </row>
    <row r="4605" spans="1:8" ht="15" hidden="1" customHeight="1" x14ac:dyDescent="0.4">
      <c r="A4605" s="6">
        <v>2026</v>
      </c>
      <c r="B4605" s="6">
        <f t="shared" si="588"/>
        <v>47</v>
      </c>
      <c r="C4605" s="13" t="s">
        <v>25</v>
      </c>
      <c r="D4605" s="2" t="s">
        <v>6</v>
      </c>
      <c r="E4605" s="14" t="s">
        <v>11</v>
      </c>
      <c r="F4605" s="22">
        <f t="shared" si="593"/>
        <v>4</v>
      </c>
      <c r="H4605" s="5" t="str">
        <f ca="1">_xlfn.FORMULATEXT(표1[[#This Row],[Q''ty]])</f>
        <v>=F4506</v>
      </c>
    </row>
    <row r="4606" spans="1:8" ht="15" hidden="1" customHeight="1" x14ac:dyDescent="0.4">
      <c r="A4606" s="6">
        <v>2026</v>
      </c>
      <c r="B4606" s="6">
        <f t="shared" si="588"/>
        <v>47</v>
      </c>
      <c r="C4606" s="13" t="s">
        <v>25</v>
      </c>
      <c r="D4606" s="2" t="s">
        <v>12</v>
      </c>
      <c r="E4606" s="14" t="s">
        <v>13</v>
      </c>
      <c r="F4606" s="22"/>
      <c r="H4606" s="5" t="e">
        <f ca="1">_xlfn.FORMULATEXT(표1[[#This Row],[Q''ty]])</f>
        <v>#N/A</v>
      </c>
    </row>
    <row r="4607" spans="1:8" ht="15" hidden="1" customHeight="1" x14ac:dyDescent="0.4">
      <c r="A4607" s="6">
        <v>2026</v>
      </c>
      <c r="B4607" s="6">
        <f t="shared" si="588"/>
        <v>47</v>
      </c>
      <c r="C4607" s="13" t="s">
        <v>25</v>
      </c>
      <c r="D4607" s="2" t="s">
        <v>12</v>
      </c>
      <c r="E4607" s="14" t="s">
        <v>14</v>
      </c>
      <c r="F4607" s="22"/>
      <c r="H4607" s="5" t="e">
        <f ca="1">_xlfn.FORMULATEXT(표1[[#This Row],[Q''ty]])</f>
        <v>#N/A</v>
      </c>
    </row>
    <row r="4608" spans="1:8" ht="15" hidden="1" customHeight="1" x14ac:dyDescent="0.4">
      <c r="A4608" s="6">
        <v>2026</v>
      </c>
      <c r="B4608" s="6">
        <f t="shared" si="588"/>
        <v>47</v>
      </c>
      <c r="C4608" s="13" t="s">
        <v>25</v>
      </c>
      <c r="D4608" s="2" t="s">
        <v>12</v>
      </c>
      <c r="E4608" s="14" t="s">
        <v>15</v>
      </c>
      <c r="F4608" s="22"/>
      <c r="H4608" s="5" t="e">
        <f ca="1">_xlfn.FORMULATEXT(표1[[#This Row],[Q''ty]])</f>
        <v>#N/A</v>
      </c>
    </row>
    <row r="4609" spans="1:8" ht="15" hidden="1" customHeight="1" x14ac:dyDescent="0.4">
      <c r="A4609" s="6">
        <v>2026</v>
      </c>
      <c r="B4609" s="6">
        <f t="shared" si="588"/>
        <v>47</v>
      </c>
      <c r="C4609" s="13" t="s">
        <v>25</v>
      </c>
      <c r="D4609" s="2" t="s">
        <v>12</v>
      </c>
      <c r="E4609" s="14" t="s">
        <v>16</v>
      </c>
      <c r="F4609" s="22"/>
      <c r="H4609" s="5" t="e">
        <f ca="1">_xlfn.FORMULATEXT(표1[[#This Row],[Q''ty]])</f>
        <v>#N/A</v>
      </c>
    </row>
    <row r="4610" spans="1:8" ht="15" hidden="1" customHeight="1" thickBot="1" x14ac:dyDescent="0.45">
      <c r="A4610" s="15">
        <v>2026</v>
      </c>
      <c r="B4610" s="15">
        <f t="shared" si="588"/>
        <v>47</v>
      </c>
      <c r="C4610" s="16" t="s">
        <v>25</v>
      </c>
      <c r="D4610" s="17" t="s">
        <v>12</v>
      </c>
      <c r="E4610" s="18" t="s">
        <v>17</v>
      </c>
      <c r="F4610" s="23"/>
      <c r="H4610" s="5" t="e">
        <f ca="1">_xlfn.FORMULATEXT(표1[[#This Row],[Q''ty]])</f>
        <v>#N/A</v>
      </c>
    </row>
    <row r="4611" spans="1:8" ht="15" hidden="1" customHeight="1" thickTop="1" x14ac:dyDescent="0.4">
      <c r="A4611" s="6">
        <v>2026</v>
      </c>
      <c r="B4611" s="6">
        <f t="shared" si="588"/>
        <v>47</v>
      </c>
      <c r="C4611" s="13" t="s">
        <v>26</v>
      </c>
      <c r="D4611" s="2" t="s">
        <v>6</v>
      </c>
      <c r="E4611" s="14" t="s">
        <v>7</v>
      </c>
      <c r="F4611" s="22">
        <f t="shared" ref="F4611:F4616" si="594">F4512</f>
        <v>6</v>
      </c>
      <c r="H4611" s="5" t="str">
        <f ca="1">_xlfn.FORMULATEXT(표1[[#This Row],[Q''ty]])</f>
        <v>=F4512</v>
      </c>
    </row>
    <row r="4612" spans="1:8" ht="15" hidden="1" customHeight="1" x14ac:dyDescent="0.4">
      <c r="A4612" s="6">
        <v>2026</v>
      </c>
      <c r="B4612" s="6">
        <f t="shared" si="588"/>
        <v>47</v>
      </c>
      <c r="C4612" s="13" t="s">
        <v>26</v>
      </c>
      <c r="D4612" s="2" t="s">
        <v>6</v>
      </c>
      <c r="E4612" s="14" t="s">
        <v>8</v>
      </c>
      <c r="F4612" s="22">
        <f t="shared" si="594"/>
        <v>4</v>
      </c>
      <c r="H4612" s="5" t="str">
        <f ca="1">_xlfn.FORMULATEXT(표1[[#This Row],[Q''ty]])</f>
        <v>=F4513</v>
      </c>
    </row>
    <row r="4613" spans="1:8" ht="15" hidden="1" customHeight="1" x14ac:dyDescent="0.4">
      <c r="A4613" s="6">
        <v>2026</v>
      </c>
      <c r="B4613" s="6">
        <f t="shared" si="588"/>
        <v>47</v>
      </c>
      <c r="C4613" s="13" t="s">
        <v>26</v>
      </c>
      <c r="D4613" s="2" t="s">
        <v>6</v>
      </c>
      <c r="E4613" s="14" t="s">
        <v>9</v>
      </c>
      <c r="F4613" s="22">
        <f t="shared" si="594"/>
        <v>2</v>
      </c>
      <c r="H4613" s="5" t="str">
        <f ca="1">_xlfn.FORMULATEXT(표1[[#This Row],[Q''ty]])</f>
        <v>=F4514</v>
      </c>
    </row>
    <row r="4614" spans="1:8" ht="15" hidden="1" customHeight="1" x14ac:dyDescent="0.4">
      <c r="A4614" s="6">
        <v>2026</v>
      </c>
      <c r="B4614" s="6">
        <f t="shared" si="588"/>
        <v>47</v>
      </c>
      <c r="C4614" s="13" t="s">
        <v>26</v>
      </c>
      <c r="D4614" s="2" t="s">
        <v>6</v>
      </c>
      <c r="E4614" s="14" t="s">
        <v>27</v>
      </c>
      <c r="F4614" s="22">
        <f t="shared" si="594"/>
        <v>3</v>
      </c>
      <c r="H4614" s="5" t="str">
        <f ca="1">_xlfn.FORMULATEXT(표1[[#This Row],[Q''ty]])</f>
        <v>=F4515</v>
      </c>
    </row>
    <row r="4615" spans="1:8" ht="15" hidden="1" customHeight="1" x14ac:dyDescent="0.4">
      <c r="A4615" s="6">
        <v>2026</v>
      </c>
      <c r="B4615" s="6">
        <f t="shared" si="588"/>
        <v>47</v>
      </c>
      <c r="C4615" s="13" t="s">
        <v>26</v>
      </c>
      <c r="D4615" s="2" t="s">
        <v>6</v>
      </c>
      <c r="E4615" s="14" t="s">
        <v>10</v>
      </c>
      <c r="F4615" s="22">
        <f t="shared" si="594"/>
        <v>4</v>
      </c>
      <c r="H4615" s="5" t="str">
        <f ca="1">_xlfn.FORMULATEXT(표1[[#This Row],[Q''ty]])</f>
        <v>=F4516</v>
      </c>
    </row>
    <row r="4616" spans="1:8" ht="15" hidden="1" customHeight="1" x14ac:dyDescent="0.4">
      <c r="A4616" s="6">
        <v>2026</v>
      </c>
      <c r="B4616" s="6">
        <f t="shared" si="588"/>
        <v>47</v>
      </c>
      <c r="C4616" s="13" t="s">
        <v>26</v>
      </c>
      <c r="D4616" s="2" t="s">
        <v>6</v>
      </c>
      <c r="E4616" s="14" t="s">
        <v>11</v>
      </c>
      <c r="F4616" s="22">
        <f t="shared" si="594"/>
        <v>6</v>
      </c>
      <c r="H4616" s="5" t="str">
        <f ca="1">_xlfn.FORMULATEXT(표1[[#This Row],[Q''ty]])</f>
        <v>=F4517</v>
      </c>
    </row>
    <row r="4617" spans="1:8" ht="15" hidden="1" customHeight="1" x14ac:dyDescent="0.4">
      <c r="A4617" s="6">
        <v>2026</v>
      </c>
      <c r="B4617" s="6">
        <f t="shared" si="588"/>
        <v>47</v>
      </c>
      <c r="C4617" s="13" t="s">
        <v>26</v>
      </c>
      <c r="D4617" s="2" t="s">
        <v>12</v>
      </c>
      <c r="E4617" s="14" t="str">
        <f t="shared" ref="E4617:E4654" si="595">E4518</f>
        <v>BT GT</v>
      </c>
      <c r="F4617" s="22"/>
      <c r="H4617" s="5" t="e">
        <f ca="1">_xlfn.FORMULATEXT(표1[[#This Row],[Q''ty]])</f>
        <v>#N/A</v>
      </c>
    </row>
    <row r="4618" spans="1:8" ht="15" hidden="1" customHeight="1" x14ac:dyDescent="0.4">
      <c r="A4618" s="6">
        <v>2026</v>
      </c>
      <c r="B4618" s="6">
        <f t="shared" si="588"/>
        <v>47</v>
      </c>
      <c r="C4618" s="13" t="s">
        <v>26</v>
      </c>
      <c r="D4618" s="2" t="s">
        <v>12</v>
      </c>
      <c r="E4618" s="14" t="str">
        <f t="shared" si="595"/>
        <v>WT GT</v>
      </c>
      <c r="F4618" s="22"/>
      <c r="H4618" s="5" t="e">
        <f ca="1">_xlfn.FORMULATEXT(표1[[#This Row],[Q''ty]])</f>
        <v>#N/A</v>
      </c>
    </row>
    <row r="4619" spans="1:8" ht="15" hidden="1" customHeight="1" x14ac:dyDescent="0.4">
      <c r="A4619" s="6">
        <v>2026</v>
      </c>
      <c r="B4619" s="6">
        <f t="shared" si="588"/>
        <v>47</v>
      </c>
      <c r="C4619" s="13" t="s">
        <v>26</v>
      </c>
      <c r="D4619" s="2" t="s">
        <v>12</v>
      </c>
      <c r="E4619" s="14" t="str">
        <f t="shared" si="595"/>
        <v>Bending</v>
      </c>
      <c r="F4619" s="22"/>
      <c r="H4619" s="5" t="e">
        <f ca="1">_xlfn.FORMULATEXT(표1[[#This Row],[Q''ty]])</f>
        <v>#N/A</v>
      </c>
    </row>
    <row r="4620" spans="1:8" ht="15" hidden="1" customHeight="1" x14ac:dyDescent="0.4">
      <c r="A4620" s="6">
        <v>2026</v>
      </c>
      <c r="B4620" s="6">
        <f t="shared" si="588"/>
        <v>47</v>
      </c>
      <c r="C4620" s="13" t="s">
        <v>26</v>
      </c>
      <c r="D4620" s="2" t="s">
        <v>12</v>
      </c>
      <c r="E4620" s="14" t="str">
        <f t="shared" si="595"/>
        <v>L/W</v>
      </c>
      <c r="F4620" s="22"/>
      <c r="H4620" s="5" t="e">
        <f ca="1">_xlfn.FORMULATEXT(표1[[#This Row],[Q''ty]])</f>
        <v>#N/A</v>
      </c>
    </row>
    <row r="4621" spans="1:8" ht="15" hidden="1" customHeight="1" thickBot="1" x14ac:dyDescent="0.45">
      <c r="A4621" s="15">
        <v>2026</v>
      </c>
      <c r="B4621" s="15">
        <f t="shared" ref="B4621:B4654" si="596">B4522+1</f>
        <v>47</v>
      </c>
      <c r="C4621" s="16" t="s">
        <v>26</v>
      </c>
      <c r="D4621" s="17" t="s">
        <v>12</v>
      </c>
      <c r="E4621" s="18" t="str">
        <f t="shared" si="595"/>
        <v>C/W</v>
      </c>
      <c r="F4621" s="23"/>
      <c r="H4621" s="5" t="e">
        <f ca="1">_xlfn.FORMULATEXT(표1[[#This Row],[Q''ty]])</f>
        <v>#N/A</v>
      </c>
    </row>
    <row r="4622" spans="1:8" ht="15" hidden="1" customHeight="1" thickTop="1" x14ac:dyDescent="0.4">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hidden="1" customHeight="1" x14ac:dyDescent="0.4">
      <c r="A4623" s="6">
        <v>2026</v>
      </c>
      <c r="B4623" s="6">
        <f t="shared" si="596"/>
        <v>47</v>
      </c>
      <c r="C4623" s="13" t="s">
        <v>20</v>
      </c>
      <c r="D4623" s="2" t="s">
        <v>6</v>
      </c>
      <c r="E4623" s="14" t="str">
        <f t="shared" si="595"/>
        <v>Paint Booth</v>
      </c>
      <c r="F4623" s="22">
        <f t="shared" si="597"/>
        <v>16</v>
      </c>
      <c r="H4623" s="5" t="str">
        <f ca="1">_xlfn.FORMULATEXT(표1[[#This Row],[Q''ty]])</f>
        <v>=F4524</v>
      </c>
    </row>
    <row r="4624" spans="1:8" ht="15" hidden="1" customHeight="1" x14ac:dyDescent="0.4">
      <c r="A4624" s="6">
        <v>2026</v>
      </c>
      <c r="B4624" s="6">
        <f t="shared" si="596"/>
        <v>47</v>
      </c>
      <c r="C4624" s="13" t="s">
        <v>20</v>
      </c>
      <c r="D4624" s="2" t="s">
        <v>6</v>
      </c>
      <c r="E4624" s="14" t="str">
        <f t="shared" si="595"/>
        <v>Paint Line</v>
      </c>
      <c r="F4624" s="22">
        <f t="shared" si="597"/>
        <v>8</v>
      </c>
      <c r="H4624" s="5" t="str">
        <f ca="1">_xlfn.FORMULATEXT(표1[[#This Row],[Q''ty]])</f>
        <v>=F4525</v>
      </c>
    </row>
    <row r="4625" spans="1:8" ht="15" hidden="1" customHeight="1" x14ac:dyDescent="0.4">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hidden="1" customHeight="1" x14ac:dyDescent="0.4">
      <c r="A4626" s="6">
        <v>2026</v>
      </c>
      <c r="B4626" s="6">
        <f t="shared" si="596"/>
        <v>47</v>
      </c>
      <c r="C4626" s="13" t="s">
        <v>20</v>
      </c>
      <c r="D4626" s="2" t="s">
        <v>6</v>
      </c>
      <c r="E4626" s="14" t="str">
        <f t="shared" si="595"/>
        <v>L/W Machine</v>
      </c>
      <c r="F4626" s="22">
        <f t="shared" si="597"/>
        <v>11</v>
      </c>
      <c r="H4626" s="5" t="str">
        <f ca="1">_xlfn.FORMULATEXT(표1[[#This Row],[Q''ty]])</f>
        <v>=F4527</v>
      </c>
    </row>
    <row r="4627" spans="1:8" ht="15" hidden="1" customHeight="1" x14ac:dyDescent="0.4">
      <c r="A4627" s="6">
        <v>2026</v>
      </c>
      <c r="B4627" s="6">
        <f t="shared" si="596"/>
        <v>47</v>
      </c>
      <c r="C4627" s="13" t="s">
        <v>20</v>
      </c>
      <c r="D4627" s="2" t="s">
        <v>6</v>
      </c>
      <c r="E4627" s="14" t="str">
        <f t="shared" si="595"/>
        <v>C/W Machine</v>
      </c>
      <c r="F4627" s="22">
        <f t="shared" si="597"/>
        <v>15</v>
      </c>
      <c r="H4627" s="5" t="str">
        <f ca="1">_xlfn.FORMULATEXT(표1[[#This Row],[Q''ty]])</f>
        <v>=F4528</v>
      </c>
    </row>
    <row r="4628" spans="1:8" ht="15" hidden="1" customHeight="1" x14ac:dyDescent="0.4">
      <c r="A4628" s="6">
        <v>2026</v>
      </c>
      <c r="B4628" s="6">
        <f t="shared" si="596"/>
        <v>47</v>
      </c>
      <c r="C4628" s="13" t="s">
        <v>20</v>
      </c>
      <c r="D4628" s="2" t="s">
        <v>12</v>
      </c>
      <c r="E4628" s="14" t="str">
        <f t="shared" si="595"/>
        <v>BT GT</v>
      </c>
      <c r="F4628" s="22"/>
      <c r="H4628" s="5" t="e">
        <f ca="1">_xlfn.FORMULATEXT(표1[[#This Row],[Q''ty]])</f>
        <v>#N/A</v>
      </c>
    </row>
    <row r="4629" spans="1:8" ht="15" hidden="1" customHeight="1" x14ac:dyDescent="0.4">
      <c r="A4629" s="6">
        <v>2026</v>
      </c>
      <c r="B4629" s="6">
        <f t="shared" si="596"/>
        <v>47</v>
      </c>
      <c r="C4629" s="13" t="s">
        <v>20</v>
      </c>
      <c r="D4629" s="2" t="s">
        <v>12</v>
      </c>
      <c r="E4629" s="14" t="str">
        <f t="shared" si="595"/>
        <v>WT GT</v>
      </c>
      <c r="F4629" s="22"/>
      <c r="H4629" s="5" t="e">
        <f ca="1">_xlfn.FORMULATEXT(표1[[#This Row],[Q''ty]])</f>
        <v>#N/A</v>
      </c>
    </row>
    <row r="4630" spans="1:8" ht="15" hidden="1" customHeight="1" x14ac:dyDescent="0.4">
      <c r="A4630" s="6">
        <v>2026</v>
      </c>
      <c r="B4630" s="6">
        <f t="shared" si="596"/>
        <v>47</v>
      </c>
      <c r="C4630" s="13" t="s">
        <v>20</v>
      </c>
      <c r="D4630" s="2" t="s">
        <v>12</v>
      </c>
      <c r="E4630" s="14" t="str">
        <f t="shared" si="595"/>
        <v>Bending</v>
      </c>
      <c r="F4630" s="22"/>
      <c r="H4630" s="5" t="e">
        <f ca="1">_xlfn.FORMULATEXT(표1[[#This Row],[Q''ty]])</f>
        <v>#N/A</v>
      </c>
    </row>
    <row r="4631" spans="1:8" ht="15" hidden="1" customHeight="1" x14ac:dyDescent="0.4">
      <c r="A4631" s="6">
        <v>2026</v>
      </c>
      <c r="B4631" s="6">
        <f t="shared" si="596"/>
        <v>47</v>
      </c>
      <c r="C4631" s="13" t="s">
        <v>20</v>
      </c>
      <c r="D4631" s="2" t="s">
        <v>12</v>
      </c>
      <c r="E4631" s="14" t="str">
        <f t="shared" si="595"/>
        <v>L/W</v>
      </c>
      <c r="F4631" s="22"/>
      <c r="H4631" s="5" t="e">
        <f ca="1">_xlfn.FORMULATEXT(표1[[#This Row],[Q''ty]])</f>
        <v>#N/A</v>
      </c>
    </row>
    <row r="4632" spans="1:8" ht="15" hidden="1" customHeight="1" thickBot="1" x14ac:dyDescent="0.45">
      <c r="A4632" s="15">
        <v>2026</v>
      </c>
      <c r="B4632" s="15">
        <f t="shared" si="596"/>
        <v>47</v>
      </c>
      <c r="C4632" s="16" t="s">
        <v>20</v>
      </c>
      <c r="D4632" s="17" t="s">
        <v>12</v>
      </c>
      <c r="E4632" s="18" t="str">
        <f t="shared" si="595"/>
        <v>C/W</v>
      </c>
      <c r="F4632" s="23"/>
      <c r="H4632" s="5" t="e">
        <f ca="1">_xlfn.FORMULATEXT(표1[[#This Row],[Q''ty]])</f>
        <v>#N/A</v>
      </c>
    </row>
    <row r="4633" spans="1:8" ht="15" hidden="1" customHeight="1" thickTop="1" x14ac:dyDescent="0.4">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hidden="1" customHeight="1" x14ac:dyDescent="0.4">
      <c r="A4634" s="6">
        <v>2026</v>
      </c>
      <c r="B4634" s="6">
        <f t="shared" si="596"/>
        <v>47</v>
      </c>
      <c r="C4634" s="13" t="s">
        <v>21</v>
      </c>
      <c r="D4634" s="2" t="s">
        <v>6</v>
      </c>
      <c r="E4634" s="14" t="str">
        <f t="shared" si="595"/>
        <v>Paint Booth</v>
      </c>
      <c r="F4634" s="22">
        <f t="shared" si="598"/>
        <v>4</v>
      </c>
      <c r="H4634" s="5" t="str">
        <f ca="1">_xlfn.FORMULATEXT(표1[[#This Row],[Q''ty]])</f>
        <v>=F4535</v>
      </c>
    </row>
    <row r="4635" spans="1:8" ht="15" hidden="1" customHeight="1" x14ac:dyDescent="0.4">
      <c r="A4635" s="6">
        <v>2026</v>
      </c>
      <c r="B4635" s="6">
        <f t="shared" si="596"/>
        <v>47</v>
      </c>
      <c r="C4635" s="13" t="s">
        <v>21</v>
      </c>
      <c r="D4635" s="2" t="s">
        <v>6</v>
      </c>
      <c r="E4635" s="14" t="str">
        <f t="shared" si="595"/>
        <v>Paint Line</v>
      </c>
      <c r="F4635" s="22">
        <f t="shared" si="598"/>
        <v>4</v>
      </c>
      <c r="H4635" s="5" t="str">
        <f ca="1">_xlfn.FORMULATEXT(표1[[#This Row],[Q''ty]])</f>
        <v>=F4536</v>
      </c>
    </row>
    <row r="4636" spans="1:8" ht="15" hidden="1" customHeight="1" x14ac:dyDescent="0.4">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hidden="1" customHeight="1" x14ac:dyDescent="0.4">
      <c r="A4637" s="6">
        <v>2026</v>
      </c>
      <c r="B4637" s="6">
        <f t="shared" si="596"/>
        <v>47</v>
      </c>
      <c r="C4637" s="13" t="s">
        <v>21</v>
      </c>
      <c r="D4637" s="2" t="s">
        <v>6</v>
      </c>
      <c r="E4637" s="14" t="str">
        <f t="shared" si="595"/>
        <v>L/W Machine</v>
      </c>
      <c r="F4637" s="22">
        <f t="shared" si="598"/>
        <v>4</v>
      </c>
      <c r="H4637" s="5" t="str">
        <f ca="1">_xlfn.FORMULATEXT(표1[[#This Row],[Q''ty]])</f>
        <v>=F4538</v>
      </c>
    </row>
    <row r="4638" spans="1:8" ht="15" hidden="1" customHeight="1" x14ac:dyDescent="0.4">
      <c r="A4638" s="6">
        <v>2026</v>
      </c>
      <c r="B4638" s="6">
        <f t="shared" si="596"/>
        <v>47</v>
      </c>
      <c r="C4638" s="13" t="s">
        <v>21</v>
      </c>
      <c r="D4638" s="2" t="s">
        <v>6</v>
      </c>
      <c r="E4638" s="14" t="str">
        <f t="shared" si="595"/>
        <v>C/W Machine</v>
      </c>
      <c r="F4638" s="22">
        <f t="shared" si="598"/>
        <v>6.5</v>
      </c>
      <c r="H4638" s="5" t="str">
        <f ca="1">_xlfn.FORMULATEXT(표1[[#This Row],[Q''ty]])</f>
        <v>=F4539</v>
      </c>
    </row>
    <row r="4639" spans="1:8" ht="15" hidden="1" customHeight="1" x14ac:dyDescent="0.4">
      <c r="A4639" s="6">
        <v>2026</v>
      </c>
      <c r="B4639" s="6">
        <f t="shared" si="596"/>
        <v>47</v>
      </c>
      <c r="C4639" s="13" t="s">
        <v>21</v>
      </c>
      <c r="D4639" s="2" t="s">
        <v>12</v>
      </c>
      <c r="E4639" s="14" t="str">
        <f t="shared" si="595"/>
        <v>BT GT</v>
      </c>
      <c r="F4639" s="22"/>
      <c r="H4639" s="5" t="e">
        <f ca="1">_xlfn.FORMULATEXT(표1[[#This Row],[Q''ty]])</f>
        <v>#N/A</v>
      </c>
    </row>
    <row r="4640" spans="1:8" ht="15" hidden="1" customHeight="1" x14ac:dyDescent="0.4">
      <c r="A4640" s="6">
        <v>2026</v>
      </c>
      <c r="B4640" s="6">
        <f t="shared" si="596"/>
        <v>47</v>
      </c>
      <c r="C4640" s="13" t="s">
        <v>21</v>
      </c>
      <c r="D4640" s="2" t="s">
        <v>12</v>
      </c>
      <c r="E4640" s="14" t="str">
        <f t="shared" si="595"/>
        <v>WT GT</v>
      </c>
      <c r="F4640" s="22"/>
      <c r="H4640" s="5" t="e">
        <f ca="1">_xlfn.FORMULATEXT(표1[[#This Row],[Q''ty]])</f>
        <v>#N/A</v>
      </c>
    </row>
    <row r="4641" spans="1:10" ht="15" hidden="1" customHeight="1" x14ac:dyDescent="0.4">
      <c r="A4641" s="6">
        <v>2026</v>
      </c>
      <c r="B4641" s="6">
        <f t="shared" si="596"/>
        <v>47</v>
      </c>
      <c r="C4641" s="13" t="s">
        <v>21</v>
      </c>
      <c r="D4641" s="2" t="s">
        <v>12</v>
      </c>
      <c r="E4641" s="14" t="str">
        <f t="shared" si="595"/>
        <v>Bending</v>
      </c>
      <c r="F4641" s="22"/>
      <c r="H4641" s="5" t="e">
        <f ca="1">_xlfn.FORMULATEXT(표1[[#This Row],[Q''ty]])</f>
        <v>#N/A</v>
      </c>
    </row>
    <row r="4642" spans="1:10" ht="15" hidden="1" customHeight="1" x14ac:dyDescent="0.4">
      <c r="A4642" s="6">
        <v>2026</v>
      </c>
      <c r="B4642" s="6">
        <f t="shared" si="596"/>
        <v>47</v>
      </c>
      <c r="C4642" s="13" t="s">
        <v>21</v>
      </c>
      <c r="D4642" s="2" t="s">
        <v>12</v>
      </c>
      <c r="E4642" s="14" t="str">
        <f t="shared" si="595"/>
        <v>L/W</v>
      </c>
      <c r="F4642" s="22"/>
      <c r="H4642" s="5" t="e">
        <f ca="1">_xlfn.FORMULATEXT(표1[[#This Row],[Q''ty]])</f>
        <v>#N/A</v>
      </c>
    </row>
    <row r="4643" spans="1:10" ht="15" hidden="1" customHeight="1" thickBot="1" x14ac:dyDescent="0.45">
      <c r="A4643" s="15">
        <v>2026</v>
      </c>
      <c r="B4643" s="15">
        <f t="shared" si="596"/>
        <v>47</v>
      </c>
      <c r="C4643" s="16" t="s">
        <v>21</v>
      </c>
      <c r="D4643" s="17" t="s">
        <v>12</v>
      </c>
      <c r="E4643" s="18" t="str">
        <f t="shared" si="595"/>
        <v>C/W</v>
      </c>
      <c r="F4643" s="23"/>
      <c r="H4643" s="5" t="e">
        <f ca="1">_xlfn.FORMULATEXT(표1[[#This Row],[Q''ty]])</f>
        <v>#N/A</v>
      </c>
    </row>
    <row r="4644" spans="1:10" ht="15" hidden="1" customHeight="1" thickTop="1" x14ac:dyDescent="0.4">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10" ht="15" hidden="1" customHeight="1" x14ac:dyDescent="0.4">
      <c r="A4645" s="6">
        <v>2026</v>
      </c>
      <c r="B4645" s="6">
        <f t="shared" si="596"/>
        <v>47</v>
      </c>
      <c r="C4645" s="13" t="s">
        <v>22</v>
      </c>
      <c r="D4645" s="2" t="s">
        <v>6</v>
      </c>
      <c r="E4645" s="14" t="str">
        <f t="shared" si="595"/>
        <v>Paint Booth</v>
      </c>
      <c r="F4645" s="22">
        <f t="shared" si="599"/>
        <v>6</v>
      </c>
      <c r="H4645" s="5" t="str">
        <f ca="1">_xlfn.FORMULATEXT(표1[[#This Row],[Q''ty]])</f>
        <v>=F4546</v>
      </c>
    </row>
    <row r="4646" spans="1:10" ht="15" hidden="1" customHeight="1" x14ac:dyDescent="0.4">
      <c r="A4646" s="6">
        <v>2026</v>
      </c>
      <c r="B4646" s="6">
        <f t="shared" si="596"/>
        <v>47</v>
      </c>
      <c r="C4646" s="13" t="s">
        <v>22</v>
      </c>
      <c r="D4646" s="2" t="s">
        <v>6</v>
      </c>
      <c r="E4646" s="14" t="str">
        <f t="shared" si="595"/>
        <v>Paint Line</v>
      </c>
      <c r="F4646" s="22">
        <f t="shared" si="599"/>
        <v>4</v>
      </c>
      <c r="H4646" s="5" t="str">
        <f ca="1">_xlfn.FORMULATEXT(표1[[#This Row],[Q''ty]])</f>
        <v>=F4547</v>
      </c>
    </row>
    <row r="4647" spans="1:10" ht="15" hidden="1" customHeight="1" x14ac:dyDescent="0.4">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10" ht="15" hidden="1" customHeight="1" x14ac:dyDescent="0.4">
      <c r="A4648" s="6">
        <v>2026</v>
      </c>
      <c r="B4648" s="6">
        <f t="shared" si="596"/>
        <v>47</v>
      </c>
      <c r="C4648" s="13" t="s">
        <v>22</v>
      </c>
      <c r="D4648" s="2" t="s">
        <v>6</v>
      </c>
      <c r="E4648" s="14" t="str">
        <f t="shared" si="595"/>
        <v>L/W Machine</v>
      </c>
      <c r="F4648" s="22">
        <f t="shared" si="599"/>
        <v>7</v>
      </c>
      <c r="H4648" s="5" t="str">
        <f ca="1">_xlfn.FORMULATEXT(표1[[#This Row],[Q''ty]])</f>
        <v>=F4549</v>
      </c>
    </row>
    <row r="4649" spans="1:10" ht="15" hidden="1" customHeight="1" x14ac:dyDescent="0.4">
      <c r="A4649" s="6">
        <v>2026</v>
      </c>
      <c r="B4649" s="6">
        <f t="shared" si="596"/>
        <v>47</v>
      </c>
      <c r="C4649" s="13" t="s">
        <v>22</v>
      </c>
      <c r="D4649" s="2" t="s">
        <v>6</v>
      </c>
      <c r="E4649" s="14" t="str">
        <f t="shared" si="595"/>
        <v>C/W Machine</v>
      </c>
      <c r="F4649" s="22">
        <f t="shared" si="599"/>
        <v>12.5</v>
      </c>
      <c r="H4649" s="5" t="str">
        <f ca="1">_xlfn.FORMULATEXT(표1[[#This Row],[Q''ty]])</f>
        <v>=F4550</v>
      </c>
    </row>
    <row r="4650" spans="1:10" ht="15" hidden="1" customHeight="1" x14ac:dyDescent="0.4">
      <c r="A4650" s="6">
        <v>2026</v>
      </c>
      <c r="B4650" s="6">
        <f t="shared" si="596"/>
        <v>47</v>
      </c>
      <c r="C4650" s="13" t="s">
        <v>22</v>
      </c>
      <c r="D4650" s="2" t="s">
        <v>12</v>
      </c>
      <c r="E4650" s="14" t="str">
        <f t="shared" si="595"/>
        <v>BT GT</v>
      </c>
      <c r="F4650" s="22"/>
      <c r="H4650" s="5" t="e">
        <f ca="1">_xlfn.FORMULATEXT(표1[[#This Row],[Q''ty]])</f>
        <v>#N/A</v>
      </c>
    </row>
    <row r="4651" spans="1:10" ht="15" hidden="1" customHeight="1" x14ac:dyDescent="0.4">
      <c r="A4651" s="6">
        <v>2026</v>
      </c>
      <c r="B4651" s="6">
        <f t="shared" si="596"/>
        <v>47</v>
      </c>
      <c r="C4651" s="13" t="s">
        <v>22</v>
      </c>
      <c r="D4651" s="2" t="s">
        <v>12</v>
      </c>
      <c r="E4651" s="14" t="str">
        <f t="shared" si="595"/>
        <v>WT GT</v>
      </c>
      <c r="F4651" s="22"/>
      <c r="H4651" s="5" t="e">
        <f ca="1">_xlfn.FORMULATEXT(표1[[#This Row],[Q''ty]])</f>
        <v>#N/A</v>
      </c>
    </row>
    <row r="4652" spans="1:10" ht="15" hidden="1" customHeight="1" x14ac:dyDescent="0.4">
      <c r="A4652" s="6">
        <v>2026</v>
      </c>
      <c r="B4652" s="6">
        <f t="shared" si="596"/>
        <v>47</v>
      </c>
      <c r="C4652" s="13" t="s">
        <v>22</v>
      </c>
      <c r="D4652" s="2" t="s">
        <v>12</v>
      </c>
      <c r="E4652" s="14" t="str">
        <f t="shared" si="595"/>
        <v>Bending</v>
      </c>
      <c r="F4652" s="22"/>
      <c r="H4652" s="5" t="e">
        <f ca="1">_xlfn.FORMULATEXT(표1[[#This Row],[Q''ty]])</f>
        <v>#N/A</v>
      </c>
    </row>
    <row r="4653" spans="1:10" ht="15" hidden="1" customHeight="1" x14ac:dyDescent="0.4">
      <c r="A4653" s="6">
        <v>2026</v>
      </c>
      <c r="B4653" s="6">
        <f t="shared" si="596"/>
        <v>47</v>
      </c>
      <c r="C4653" s="13" t="s">
        <v>22</v>
      </c>
      <c r="D4653" s="2" t="s">
        <v>12</v>
      </c>
      <c r="E4653" s="14" t="str">
        <f t="shared" si="595"/>
        <v>L/W</v>
      </c>
      <c r="F4653" s="22"/>
      <c r="H4653" s="5" t="e">
        <f ca="1">_xlfn.FORMULATEXT(표1[[#This Row],[Q''ty]])</f>
        <v>#N/A</v>
      </c>
    </row>
    <row r="4654" spans="1:10" ht="15" hidden="1" customHeight="1" thickBot="1" x14ac:dyDescent="0.45">
      <c r="A4654" s="6">
        <v>2026</v>
      </c>
      <c r="B4654" s="6">
        <f t="shared" si="596"/>
        <v>47</v>
      </c>
      <c r="C4654" s="13" t="s">
        <v>22</v>
      </c>
      <c r="D4654" s="2" t="s">
        <v>12</v>
      </c>
      <c r="E4654" s="14" t="str">
        <f t="shared" si="595"/>
        <v>C/W</v>
      </c>
      <c r="F4654" s="22"/>
      <c r="H4654" s="5" t="e">
        <f ca="1">_xlfn.FORMULATEXT(표1[[#This Row],[Q''ty]])</f>
        <v>#N/A</v>
      </c>
    </row>
    <row r="4655" spans="1:10" ht="15" hidden="1" customHeight="1" thickTop="1" x14ac:dyDescent="0.4">
      <c r="A4655" s="9">
        <v>2026</v>
      </c>
      <c r="B4655" s="9">
        <f>B4556+1</f>
        <v>48</v>
      </c>
      <c r="C4655" s="10" t="s">
        <v>28</v>
      </c>
      <c r="D4655" s="11" t="s">
        <v>6</v>
      </c>
      <c r="E4655" s="12" t="s">
        <v>7</v>
      </c>
      <c r="F4655" s="21">
        <f t="shared" ref="F4655:F4660" si="600">F4556</f>
        <v>15</v>
      </c>
      <c r="H4655" s="5" t="str">
        <f ca="1">_xlfn.FORMULATEXT(표1[[#This Row],[Q''ty]])</f>
        <v>=F4556</v>
      </c>
    </row>
    <row r="4656" spans="1:10" s="2" customFormat="1" ht="15" hidden="1" customHeight="1" x14ac:dyDescent="0.4">
      <c r="A4656" s="6">
        <v>2026</v>
      </c>
      <c r="B4656" s="6">
        <f t="shared" ref="B4656:B4719" si="601">B4557+1</f>
        <v>48</v>
      </c>
      <c r="C4656" s="13" t="s">
        <v>23</v>
      </c>
      <c r="D4656" s="2" t="s">
        <v>6</v>
      </c>
      <c r="E4656" s="14" t="s">
        <v>8</v>
      </c>
      <c r="F4656" s="22">
        <f t="shared" si="600"/>
        <v>10</v>
      </c>
      <c r="H4656" s="5" t="str">
        <f ca="1">_xlfn.FORMULATEXT(표1[[#This Row],[Q''ty]])</f>
        <v>=F4557</v>
      </c>
      <c r="I4656" s="26"/>
      <c r="J4656" s="26"/>
    </row>
    <row r="4657" spans="1:10" s="2" customFormat="1" ht="15" hidden="1" customHeight="1" x14ac:dyDescent="0.4">
      <c r="A4657" s="6">
        <v>2026</v>
      </c>
      <c r="B4657" s="6">
        <f t="shared" si="601"/>
        <v>48</v>
      </c>
      <c r="C4657" s="13" t="s">
        <v>23</v>
      </c>
      <c r="D4657" s="2" t="s">
        <v>6</v>
      </c>
      <c r="E4657" s="14" t="s">
        <v>9</v>
      </c>
      <c r="F4657" s="22">
        <f t="shared" si="600"/>
        <v>5</v>
      </c>
      <c r="H4657" s="5" t="str">
        <f ca="1">_xlfn.FORMULATEXT(표1[[#This Row],[Q''ty]])</f>
        <v>=F4558</v>
      </c>
      <c r="I4657" s="26"/>
      <c r="J4657" s="26"/>
    </row>
    <row r="4658" spans="1:10" ht="15" hidden="1" customHeight="1" x14ac:dyDescent="0.4">
      <c r="A4658" s="6">
        <v>2026</v>
      </c>
      <c r="B4658" s="6">
        <f t="shared" si="601"/>
        <v>48</v>
      </c>
      <c r="C4658" s="13" t="s">
        <v>23</v>
      </c>
      <c r="D4658" s="2" t="s">
        <v>6</v>
      </c>
      <c r="E4658" s="14" t="s">
        <v>27</v>
      </c>
      <c r="F4658" s="22">
        <f t="shared" si="600"/>
        <v>6</v>
      </c>
      <c r="H4658" s="5" t="str">
        <f ca="1">_xlfn.FORMULATEXT(표1[[#This Row],[Q''ty]])</f>
        <v>=F4559</v>
      </c>
    </row>
    <row r="4659" spans="1:10" ht="15" hidden="1" customHeight="1" x14ac:dyDescent="0.4">
      <c r="A4659" s="6">
        <v>2026</v>
      </c>
      <c r="B4659" s="6">
        <f t="shared" si="601"/>
        <v>48</v>
      </c>
      <c r="C4659" s="13" t="s">
        <v>23</v>
      </c>
      <c r="D4659" s="2" t="s">
        <v>6</v>
      </c>
      <c r="E4659" s="14" t="s">
        <v>10</v>
      </c>
      <c r="F4659" s="22">
        <f t="shared" si="600"/>
        <v>10</v>
      </c>
      <c r="H4659" s="5" t="str">
        <f ca="1">_xlfn.FORMULATEXT(표1[[#This Row],[Q''ty]])</f>
        <v>=F4560</v>
      </c>
    </row>
    <row r="4660" spans="1:10" ht="15" hidden="1" customHeight="1" x14ac:dyDescent="0.4">
      <c r="A4660" s="6">
        <v>2026</v>
      </c>
      <c r="B4660" s="6">
        <f t="shared" si="601"/>
        <v>48</v>
      </c>
      <c r="C4660" s="13" t="s">
        <v>23</v>
      </c>
      <c r="D4660" s="2" t="s">
        <v>6</v>
      </c>
      <c r="E4660" s="14" t="s">
        <v>11</v>
      </c>
      <c r="F4660" s="22">
        <f t="shared" si="600"/>
        <v>10</v>
      </c>
      <c r="H4660" s="5" t="str">
        <f ca="1">_xlfn.FORMULATEXT(표1[[#This Row],[Q''ty]])</f>
        <v>=F4561</v>
      </c>
    </row>
    <row r="4661" spans="1:10" ht="15" hidden="1" customHeight="1" x14ac:dyDescent="0.4">
      <c r="A4661" s="6">
        <v>2026</v>
      </c>
      <c r="B4661" s="6">
        <f t="shared" si="601"/>
        <v>48</v>
      </c>
      <c r="C4661" s="13" t="s">
        <v>23</v>
      </c>
      <c r="D4661" s="2" t="s">
        <v>12</v>
      </c>
      <c r="E4661" s="14" t="s">
        <v>13</v>
      </c>
      <c r="F4661" s="22"/>
      <c r="H4661" s="5" t="e">
        <f ca="1">_xlfn.FORMULATEXT(표1[[#This Row],[Q''ty]])</f>
        <v>#N/A</v>
      </c>
    </row>
    <row r="4662" spans="1:10" s="2" customFormat="1" ht="15" hidden="1" customHeight="1" x14ac:dyDescent="0.4">
      <c r="A4662" s="6">
        <v>2026</v>
      </c>
      <c r="B4662" s="6">
        <f t="shared" si="601"/>
        <v>48</v>
      </c>
      <c r="C4662" s="13" t="s">
        <v>23</v>
      </c>
      <c r="D4662" s="2" t="s">
        <v>12</v>
      </c>
      <c r="E4662" s="14" t="s">
        <v>14</v>
      </c>
      <c r="F4662" s="22"/>
      <c r="H4662" s="5" t="e">
        <f ca="1">_xlfn.FORMULATEXT(표1[[#This Row],[Q''ty]])</f>
        <v>#N/A</v>
      </c>
      <c r="I4662" s="26"/>
      <c r="J4662" s="26"/>
    </row>
    <row r="4663" spans="1:10" ht="15" hidden="1" customHeight="1" x14ac:dyDescent="0.4">
      <c r="A4663" s="6">
        <v>2026</v>
      </c>
      <c r="B4663" s="6">
        <f t="shared" si="601"/>
        <v>48</v>
      </c>
      <c r="C4663" s="13" t="s">
        <v>23</v>
      </c>
      <c r="D4663" s="2" t="s">
        <v>12</v>
      </c>
      <c r="E4663" s="14" t="s">
        <v>15</v>
      </c>
      <c r="F4663" s="22"/>
      <c r="H4663" s="5" t="e">
        <f ca="1">_xlfn.FORMULATEXT(표1[[#This Row],[Q''ty]])</f>
        <v>#N/A</v>
      </c>
    </row>
    <row r="4664" spans="1:10" ht="15" hidden="1" customHeight="1" x14ac:dyDescent="0.4">
      <c r="A4664" s="6">
        <v>2026</v>
      </c>
      <c r="B4664" s="6">
        <f t="shared" si="601"/>
        <v>48</v>
      </c>
      <c r="C4664" s="13" t="s">
        <v>23</v>
      </c>
      <c r="D4664" s="2" t="s">
        <v>12</v>
      </c>
      <c r="E4664" s="14" t="s">
        <v>16</v>
      </c>
      <c r="F4664" s="22"/>
      <c r="H4664" s="5" t="e">
        <f ca="1">_xlfn.FORMULATEXT(표1[[#This Row],[Q''ty]])</f>
        <v>#N/A</v>
      </c>
    </row>
    <row r="4665" spans="1:10" ht="15" hidden="1" customHeight="1" thickBot="1" x14ac:dyDescent="0.45">
      <c r="A4665" s="15">
        <v>2026</v>
      </c>
      <c r="B4665" s="15">
        <f t="shared" si="601"/>
        <v>48</v>
      </c>
      <c r="C4665" s="16" t="s">
        <v>23</v>
      </c>
      <c r="D4665" s="17" t="s">
        <v>12</v>
      </c>
      <c r="E4665" s="18" t="s">
        <v>17</v>
      </c>
      <c r="F4665" s="23"/>
      <c r="H4665" s="5" t="e">
        <f ca="1">_xlfn.FORMULATEXT(표1[[#This Row],[Q''ty]])</f>
        <v>#N/A</v>
      </c>
    </row>
    <row r="4666" spans="1:10" ht="15" hidden="1" customHeight="1" thickTop="1" x14ac:dyDescent="0.4">
      <c r="A4666" s="9">
        <v>2026</v>
      </c>
      <c r="B4666" s="9">
        <f t="shared" si="601"/>
        <v>48</v>
      </c>
      <c r="C4666" s="10" t="s">
        <v>29</v>
      </c>
      <c r="D4666" s="11" t="s">
        <v>6</v>
      </c>
      <c r="E4666" s="12" t="s">
        <v>7</v>
      </c>
      <c r="F4666" s="21">
        <f t="shared" ref="F4666:F4671" si="602">F4567</f>
        <v>14</v>
      </c>
      <c r="H4666" s="5" t="str">
        <f ca="1">_xlfn.FORMULATEXT(표1[[#This Row],[Q''ty]])</f>
        <v>=F4567</v>
      </c>
    </row>
    <row r="4667" spans="1:10" s="2" customFormat="1" ht="15" hidden="1" customHeight="1" x14ac:dyDescent="0.4">
      <c r="A4667" s="6">
        <v>2026</v>
      </c>
      <c r="B4667" s="6">
        <f t="shared" si="601"/>
        <v>48</v>
      </c>
      <c r="C4667" s="13" t="s">
        <v>24</v>
      </c>
      <c r="D4667" s="2" t="s">
        <v>6</v>
      </c>
      <c r="E4667" s="14" t="s">
        <v>8</v>
      </c>
      <c r="F4667" s="22">
        <f t="shared" si="602"/>
        <v>8</v>
      </c>
      <c r="H4667" s="5" t="str">
        <f ca="1">_xlfn.FORMULATEXT(표1[[#This Row],[Q''ty]])</f>
        <v>=F4568</v>
      </c>
      <c r="I4667" s="26"/>
      <c r="J4667" s="26"/>
    </row>
    <row r="4668" spans="1:10" s="2" customFormat="1" ht="15" hidden="1" customHeight="1" x14ac:dyDescent="0.4">
      <c r="A4668" s="6">
        <v>2026</v>
      </c>
      <c r="B4668" s="6">
        <f t="shared" si="601"/>
        <v>48</v>
      </c>
      <c r="C4668" s="13" t="s">
        <v>24</v>
      </c>
      <c r="D4668" s="2" t="s">
        <v>6</v>
      </c>
      <c r="E4668" s="14" t="s">
        <v>9</v>
      </c>
      <c r="F4668" s="22">
        <f t="shared" si="602"/>
        <v>4</v>
      </c>
      <c r="H4668" s="5" t="str">
        <f ca="1">_xlfn.FORMULATEXT(표1[[#This Row],[Q''ty]])</f>
        <v>=F4569</v>
      </c>
      <c r="I4668" s="26"/>
      <c r="J4668" s="26"/>
    </row>
    <row r="4669" spans="1:10" ht="15" hidden="1" customHeight="1" x14ac:dyDescent="0.4">
      <c r="A4669" s="6">
        <v>2026</v>
      </c>
      <c r="B4669" s="6">
        <f t="shared" si="601"/>
        <v>48</v>
      </c>
      <c r="C4669" s="13" t="s">
        <v>24</v>
      </c>
      <c r="D4669" s="2" t="s">
        <v>6</v>
      </c>
      <c r="E4669" s="14" t="s">
        <v>27</v>
      </c>
      <c r="F4669" s="22">
        <f t="shared" si="602"/>
        <v>3</v>
      </c>
      <c r="H4669" s="5" t="str">
        <f ca="1">_xlfn.FORMULATEXT(표1[[#This Row],[Q''ty]])</f>
        <v>=F4570</v>
      </c>
    </row>
    <row r="4670" spans="1:10" ht="15" hidden="1" customHeight="1" x14ac:dyDescent="0.4">
      <c r="A4670" s="6">
        <v>2026</v>
      </c>
      <c r="B4670" s="6">
        <f t="shared" si="601"/>
        <v>48</v>
      </c>
      <c r="C4670" s="13" t="s">
        <v>24</v>
      </c>
      <c r="D4670" s="2" t="s">
        <v>6</v>
      </c>
      <c r="E4670" s="14" t="s">
        <v>10</v>
      </c>
      <c r="F4670" s="22">
        <f t="shared" si="602"/>
        <v>6</v>
      </c>
      <c r="H4670" s="5" t="str">
        <f ca="1">_xlfn.FORMULATEXT(표1[[#This Row],[Q''ty]])</f>
        <v>=F4571</v>
      </c>
    </row>
    <row r="4671" spans="1:10" ht="15" hidden="1" customHeight="1" x14ac:dyDescent="0.4">
      <c r="A4671" s="6">
        <v>2026</v>
      </c>
      <c r="B4671" s="6">
        <f t="shared" si="601"/>
        <v>48</v>
      </c>
      <c r="C4671" s="13" t="s">
        <v>24</v>
      </c>
      <c r="D4671" s="2" t="s">
        <v>6</v>
      </c>
      <c r="E4671" s="14" t="s">
        <v>11</v>
      </c>
      <c r="F4671" s="22">
        <f t="shared" si="602"/>
        <v>8.8000000000000007</v>
      </c>
      <c r="H4671" s="5" t="str">
        <f ca="1">_xlfn.FORMULATEXT(표1[[#This Row],[Q''ty]])</f>
        <v>=F4572</v>
      </c>
    </row>
    <row r="4672" spans="1:10" ht="15" hidden="1" customHeight="1" x14ac:dyDescent="0.4">
      <c r="A4672" s="6">
        <v>2026</v>
      </c>
      <c r="B4672" s="6">
        <f t="shared" si="601"/>
        <v>48</v>
      </c>
      <c r="C4672" s="13" t="s">
        <v>24</v>
      </c>
      <c r="D4672" s="2" t="s">
        <v>12</v>
      </c>
      <c r="E4672" s="14" t="s">
        <v>13</v>
      </c>
      <c r="F4672" s="22"/>
      <c r="H4672" s="5" t="e">
        <f ca="1">_xlfn.FORMULATEXT(표1[[#This Row],[Q''ty]])</f>
        <v>#N/A</v>
      </c>
    </row>
    <row r="4673" spans="1:10" s="2" customFormat="1" ht="15" hidden="1" customHeight="1" x14ac:dyDescent="0.4">
      <c r="A4673" s="6">
        <v>2026</v>
      </c>
      <c r="B4673" s="6">
        <f t="shared" si="601"/>
        <v>48</v>
      </c>
      <c r="C4673" s="13" t="s">
        <v>24</v>
      </c>
      <c r="D4673" s="2" t="s">
        <v>12</v>
      </c>
      <c r="E4673" s="14" t="s">
        <v>14</v>
      </c>
      <c r="F4673" s="22"/>
      <c r="H4673" s="5" t="e">
        <f ca="1">_xlfn.FORMULATEXT(표1[[#This Row],[Q''ty]])</f>
        <v>#N/A</v>
      </c>
      <c r="I4673" s="26"/>
      <c r="J4673" s="26"/>
    </row>
    <row r="4674" spans="1:10" ht="15" hidden="1" customHeight="1" x14ac:dyDescent="0.4">
      <c r="A4674" s="6">
        <v>2026</v>
      </c>
      <c r="B4674" s="6">
        <f t="shared" si="601"/>
        <v>48</v>
      </c>
      <c r="C4674" s="13" t="s">
        <v>24</v>
      </c>
      <c r="D4674" s="2" t="s">
        <v>12</v>
      </c>
      <c r="E4674" s="14" t="s">
        <v>15</v>
      </c>
      <c r="F4674" s="22"/>
      <c r="H4674" s="5" t="e">
        <f ca="1">_xlfn.FORMULATEXT(표1[[#This Row],[Q''ty]])</f>
        <v>#N/A</v>
      </c>
    </row>
    <row r="4675" spans="1:10" ht="15" hidden="1" customHeight="1" x14ac:dyDescent="0.4">
      <c r="A4675" s="6">
        <v>2026</v>
      </c>
      <c r="B4675" s="6">
        <f t="shared" si="601"/>
        <v>48</v>
      </c>
      <c r="C4675" s="13" t="s">
        <v>24</v>
      </c>
      <c r="D4675" s="2" t="s">
        <v>12</v>
      </c>
      <c r="E4675" s="14" t="s">
        <v>16</v>
      </c>
      <c r="F4675" s="22"/>
      <c r="H4675" s="5" t="e">
        <f ca="1">_xlfn.FORMULATEXT(표1[[#This Row],[Q''ty]])</f>
        <v>#N/A</v>
      </c>
    </row>
    <row r="4676" spans="1:10" ht="15" hidden="1" customHeight="1" thickBot="1" x14ac:dyDescent="0.45">
      <c r="A4676" s="15">
        <v>2026</v>
      </c>
      <c r="B4676" s="15">
        <f t="shared" si="601"/>
        <v>48</v>
      </c>
      <c r="C4676" s="16" t="s">
        <v>24</v>
      </c>
      <c r="D4676" s="17" t="s">
        <v>12</v>
      </c>
      <c r="E4676" s="18" t="s">
        <v>17</v>
      </c>
      <c r="F4676" s="23"/>
      <c r="H4676" s="5" t="e">
        <f ca="1">_xlfn.FORMULATEXT(표1[[#This Row],[Q''ty]])</f>
        <v>#N/A</v>
      </c>
    </row>
    <row r="4677" spans="1:10" ht="15" hidden="1" customHeight="1" thickTop="1" x14ac:dyDescent="0.4">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10" ht="15" hidden="1" customHeight="1" x14ac:dyDescent="0.4">
      <c r="A4678" s="6">
        <v>2026</v>
      </c>
      <c r="B4678" s="6">
        <f t="shared" si="601"/>
        <v>48</v>
      </c>
      <c r="C4678" s="13" t="s">
        <v>18</v>
      </c>
      <c r="D4678" s="2" t="s">
        <v>6</v>
      </c>
      <c r="E4678" s="14" t="str">
        <f t="shared" si="603"/>
        <v>Paint Booth</v>
      </c>
      <c r="F4678" s="22">
        <f t="shared" si="603"/>
        <v>3</v>
      </c>
      <c r="H4678" s="5" t="str">
        <f ca="1">_xlfn.FORMULATEXT(표1[[#This Row],[Q''ty]])</f>
        <v>=F4579</v>
      </c>
    </row>
    <row r="4679" spans="1:10" ht="15" hidden="1" customHeight="1" x14ac:dyDescent="0.4">
      <c r="A4679" s="6">
        <v>2026</v>
      </c>
      <c r="B4679" s="6">
        <f t="shared" si="601"/>
        <v>48</v>
      </c>
      <c r="C4679" s="13" t="s">
        <v>18</v>
      </c>
      <c r="D4679" s="2" t="s">
        <v>6</v>
      </c>
      <c r="E4679" s="14" t="str">
        <f t="shared" si="603"/>
        <v>Paint Line</v>
      </c>
      <c r="F4679" s="22">
        <f t="shared" si="603"/>
        <v>2</v>
      </c>
      <c r="H4679" s="5" t="str">
        <f ca="1">_xlfn.FORMULATEXT(표1[[#This Row],[Q''ty]])</f>
        <v>=F4580</v>
      </c>
    </row>
    <row r="4680" spans="1:10" ht="15" hidden="1" customHeight="1" x14ac:dyDescent="0.4">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10" ht="15" hidden="1" customHeight="1" x14ac:dyDescent="0.4">
      <c r="A4681" s="6">
        <v>2026</v>
      </c>
      <c r="B4681" s="6">
        <f t="shared" si="601"/>
        <v>48</v>
      </c>
      <c r="C4681" s="13" t="s">
        <v>18</v>
      </c>
      <c r="D4681" s="2" t="s">
        <v>6</v>
      </c>
      <c r="E4681" s="14" t="str">
        <f t="shared" si="603"/>
        <v>L/W Machine</v>
      </c>
      <c r="F4681" s="22">
        <f t="shared" si="603"/>
        <v>2</v>
      </c>
      <c r="H4681" s="5" t="str">
        <f ca="1">_xlfn.FORMULATEXT(표1[[#This Row],[Q''ty]])</f>
        <v>=F4582</v>
      </c>
    </row>
    <row r="4682" spans="1:10" ht="15" hidden="1" customHeight="1" x14ac:dyDescent="0.4">
      <c r="A4682" s="6">
        <v>2026</v>
      </c>
      <c r="B4682" s="6">
        <f t="shared" si="601"/>
        <v>48</v>
      </c>
      <c r="C4682" s="13" t="s">
        <v>18</v>
      </c>
      <c r="D4682" s="2" t="s">
        <v>6</v>
      </c>
      <c r="E4682" s="14" t="str">
        <f t="shared" si="603"/>
        <v>C/W Machine</v>
      </c>
      <c r="F4682" s="22">
        <f t="shared" si="603"/>
        <v>3</v>
      </c>
      <c r="H4682" s="5" t="str">
        <f ca="1">_xlfn.FORMULATEXT(표1[[#This Row],[Q''ty]])</f>
        <v>=F4583</v>
      </c>
    </row>
    <row r="4683" spans="1:10" ht="15" hidden="1" customHeight="1" x14ac:dyDescent="0.4">
      <c r="A4683" s="6">
        <v>2026</v>
      </c>
      <c r="B4683" s="6">
        <f t="shared" si="601"/>
        <v>48</v>
      </c>
      <c r="C4683" s="13" t="s">
        <v>18</v>
      </c>
      <c r="D4683" s="2" t="s">
        <v>12</v>
      </c>
      <c r="E4683" s="14" t="str">
        <f t="shared" ref="E4683:E4698" si="604">E4584</f>
        <v>BT GT</v>
      </c>
      <c r="F4683" s="22"/>
      <c r="H4683" s="5" t="e">
        <f ca="1">_xlfn.FORMULATEXT(표1[[#This Row],[Q''ty]])</f>
        <v>#N/A</v>
      </c>
    </row>
    <row r="4684" spans="1:10" ht="15" hidden="1" customHeight="1" x14ac:dyDescent="0.4">
      <c r="A4684" s="6">
        <v>2026</v>
      </c>
      <c r="B4684" s="6">
        <f t="shared" si="601"/>
        <v>48</v>
      </c>
      <c r="C4684" s="13" t="s">
        <v>18</v>
      </c>
      <c r="D4684" s="2" t="s">
        <v>12</v>
      </c>
      <c r="E4684" s="14" t="str">
        <f t="shared" si="604"/>
        <v>WT GT</v>
      </c>
      <c r="F4684" s="22"/>
      <c r="H4684" s="5" t="e">
        <f ca="1">_xlfn.FORMULATEXT(표1[[#This Row],[Q''ty]])</f>
        <v>#N/A</v>
      </c>
    </row>
    <row r="4685" spans="1:10" ht="15" hidden="1" customHeight="1" x14ac:dyDescent="0.4">
      <c r="A4685" s="6">
        <v>2026</v>
      </c>
      <c r="B4685" s="6">
        <f t="shared" si="601"/>
        <v>48</v>
      </c>
      <c r="C4685" s="13" t="s">
        <v>18</v>
      </c>
      <c r="D4685" s="2" t="s">
        <v>12</v>
      </c>
      <c r="E4685" s="14" t="str">
        <f t="shared" si="604"/>
        <v>Bending</v>
      </c>
      <c r="F4685" s="22"/>
      <c r="H4685" s="5" t="e">
        <f ca="1">_xlfn.FORMULATEXT(표1[[#This Row],[Q''ty]])</f>
        <v>#N/A</v>
      </c>
    </row>
    <row r="4686" spans="1:10" ht="15" hidden="1" customHeight="1" x14ac:dyDescent="0.4">
      <c r="A4686" s="6">
        <v>2026</v>
      </c>
      <c r="B4686" s="6">
        <f t="shared" si="601"/>
        <v>48</v>
      </c>
      <c r="C4686" s="13" t="s">
        <v>18</v>
      </c>
      <c r="D4686" s="2" t="s">
        <v>12</v>
      </c>
      <c r="E4686" s="14" t="str">
        <f t="shared" si="604"/>
        <v>L/W</v>
      </c>
      <c r="F4686" s="22"/>
      <c r="H4686" s="5" t="e">
        <f ca="1">_xlfn.FORMULATEXT(표1[[#This Row],[Q''ty]])</f>
        <v>#N/A</v>
      </c>
    </row>
    <row r="4687" spans="1:10" ht="15" hidden="1" customHeight="1" thickBot="1" x14ac:dyDescent="0.45">
      <c r="A4687" s="15">
        <v>2026</v>
      </c>
      <c r="B4687" s="15">
        <f t="shared" si="601"/>
        <v>48</v>
      </c>
      <c r="C4687" s="16" t="s">
        <v>18</v>
      </c>
      <c r="D4687" s="17" t="s">
        <v>12</v>
      </c>
      <c r="E4687" s="18" t="str">
        <f t="shared" si="604"/>
        <v>C/W</v>
      </c>
      <c r="F4687" s="23"/>
      <c r="H4687" s="5" t="e">
        <f ca="1">_xlfn.FORMULATEXT(표1[[#This Row],[Q''ty]])</f>
        <v>#N/A</v>
      </c>
    </row>
    <row r="4688" spans="1:10" ht="15" hidden="1" customHeight="1" thickTop="1" x14ac:dyDescent="0.4">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hidden="1" customHeight="1" x14ac:dyDescent="0.4">
      <c r="A4689" s="6">
        <v>2026</v>
      </c>
      <c r="B4689" s="6">
        <f t="shared" si="601"/>
        <v>48</v>
      </c>
      <c r="C4689" s="13" t="s">
        <v>19</v>
      </c>
      <c r="D4689" s="2" t="s">
        <v>6</v>
      </c>
      <c r="E4689" s="14" t="str">
        <f t="shared" si="604"/>
        <v>Paint Booth</v>
      </c>
      <c r="F4689" s="22">
        <f t="shared" si="605"/>
        <v>22</v>
      </c>
      <c r="H4689" s="5" t="str">
        <f ca="1">_xlfn.FORMULATEXT(표1[[#This Row],[Q''ty]])</f>
        <v>=F4590</v>
      </c>
    </row>
    <row r="4690" spans="1:8" ht="15" hidden="1" customHeight="1" x14ac:dyDescent="0.4">
      <c r="A4690" s="6">
        <v>2026</v>
      </c>
      <c r="B4690" s="6">
        <f t="shared" si="601"/>
        <v>48</v>
      </c>
      <c r="C4690" s="13" t="s">
        <v>19</v>
      </c>
      <c r="D4690" s="2" t="s">
        <v>6</v>
      </c>
      <c r="E4690" s="14" t="str">
        <f t="shared" si="604"/>
        <v>Paint Line</v>
      </c>
      <c r="F4690" s="22">
        <f t="shared" si="605"/>
        <v>6</v>
      </c>
      <c r="H4690" s="5" t="str">
        <f ca="1">_xlfn.FORMULATEXT(표1[[#This Row],[Q''ty]])</f>
        <v>=F4591</v>
      </c>
    </row>
    <row r="4691" spans="1:8" ht="15" hidden="1" customHeight="1" x14ac:dyDescent="0.4">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hidden="1" customHeight="1" x14ac:dyDescent="0.4">
      <c r="A4692" s="6">
        <v>2026</v>
      </c>
      <c r="B4692" s="6">
        <f t="shared" si="601"/>
        <v>48</v>
      </c>
      <c r="C4692" s="13" t="s">
        <v>19</v>
      </c>
      <c r="D4692" s="2" t="s">
        <v>6</v>
      </c>
      <c r="E4692" s="14" t="str">
        <f t="shared" si="604"/>
        <v>L/W Machine</v>
      </c>
      <c r="F4692" s="22">
        <f t="shared" si="605"/>
        <v>10</v>
      </c>
      <c r="H4692" s="5" t="str">
        <f ca="1">_xlfn.FORMULATEXT(표1[[#This Row],[Q''ty]])</f>
        <v>=F4593</v>
      </c>
    </row>
    <row r="4693" spans="1:8" ht="15" hidden="1" customHeight="1" x14ac:dyDescent="0.4">
      <c r="A4693" s="6">
        <v>2026</v>
      </c>
      <c r="B4693" s="6">
        <f t="shared" si="601"/>
        <v>48</v>
      </c>
      <c r="C4693" s="13" t="s">
        <v>19</v>
      </c>
      <c r="D4693" s="2" t="s">
        <v>6</v>
      </c>
      <c r="E4693" s="14" t="str">
        <f t="shared" si="604"/>
        <v>C/W Machine</v>
      </c>
      <c r="F4693" s="22">
        <f t="shared" si="605"/>
        <v>12</v>
      </c>
      <c r="H4693" s="5" t="str">
        <f ca="1">_xlfn.FORMULATEXT(표1[[#This Row],[Q''ty]])</f>
        <v>=F4594</v>
      </c>
    </row>
    <row r="4694" spans="1:8" ht="15" hidden="1" customHeight="1" x14ac:dyDescent="0.4">
      <c r="A4694" s="6">
        <v>2026</v>
      </c>
      <c r="B4694" s="6">
        <f t="shared" si="601"/>
        <v>48</v>
      </c>
      <c r="C4694" s="13" t="s">
        <v>19</v>
      </c>
      <c r="D4694" s="2" t="s">
        <v>12</v>
      </c>
      <c r="E4694" s="14" t="str">
        <f t="shared" si="604"/>
        <v>BT GT</v>
      </c>
      <c r="F4694" s="22"/>
      <c r="H4694" s="5" t="e">
        <f ca="1">_xlfn.FORMULATEXT(표1[[#This Row],[Q''ty]])</f>
        <v>#N/A</v>
      </c>
    </row>
    <row r="4695" spans="1:8" ht="15" hidden="1" customHeight="1" x14ac:dyDescent="0.4">
      <c r="A4695" s="6">
        <v>2026</v>
      </c>
      <c r="B4695" s="6">
        <f t="shared" si="601"/>
        <v>48</v>
      </c>
      <c r="C4695" s="13" t="s">
        <v>19</v>
      </c>
      <c r="D4695" s="2" t="s">
        <v>12</v>
      </c>
      <c r="E4695" s="14" t="str">
        <f t="shared" si="604"/>
        <v>WT GT</v>
      </c>
      <c r="F4695" s="22"/>
      <c r="H4695" s="5" t="e">
        <f ca="1">_xlfn.FORMULATEXT(표1[[#This Row],[Q''ty]])</f>
        <v>#N/A</v>
      </c>
    </row>
    <row r="4696" spans="1:8" ht="15" hidden="1" customHeight="1" x14ac:dyDescent="0.4">
      <c r="A4696" s="6">
        <v>2026</v>
      </c>
      <c r="B4696" s="6">
        <f t="shared" si="601"/>
        <v>48</v>
      </c>
      <c r="C4696" s="13" t="s">
        <v>19</v>
      </c>
      <c r="D4696" s="2" t="s">
        <v>12</v>
      </c>
      <c r="E4696" s="14" t="str">
        <f t="shared" si="604"/>
        <v>Bending</v>
      </c>
      <c r="F4696" s="22"/>
      <c r="H4696" s="5" t="e">
        <f ca="1">_xlfn.FORMULATEXT(표1[[#This Row],[Q''ty]])</f>
        <v>#N/A</v>
      </c>
    </row>
    <row r="4697" spans="1:8" ht="15" hidden="1" customHeight="1" x14ac:dyDescent="0.4">
      <c r="A4697" s="6">
        <v>2026</v>
      </c>
      <c r="B4697" s="6">
        <f t="shared" si="601"/>
        <v>48</v>
      </c>
      <c r="C4697" s="13" t="s">
        <v>19</v>
      </c>
      <c r="D4697" s="2" t="s">
        <v>12</v>
      </c>
      <c r="E4697" s="14" t="str">
        <f t="shared" si="604"/>
        <v>L/W</v>
      </c>
      <c r="F4697" s="22"/>
      <c r="H4697" s="5" t="e">
        <f ca="1">_xlfn.FORMULATEXT(표1[[#This Row],[Q''ty]])</f>
        <v>#N/A</v>
      </c>
    </row>
    <row r="4698" spans="1:8" ht="15" hidden="1" customHeight="1" thickBot="1" x14ac:dyDescent="0.45">
      <c r="A4698" s="15">
        <v>2026</v>
      </c>
      <c r="B4698" s="15">
        <f t="shared" si="601"/>
        <v>48</v>
      </c>
      <c r="C4698" s="16" t="s">
        <v>19</v>
      </c>
      <c r="D4698" s="17" t="s">
        <v>12</v>
      </c>
      <c r="E4698" s="18" t="str">
        <f t="shared" si="604"/>
        <v>C/W</v>
      </c>
      <c r="F4698" s="23"/>
      <c r="H4698" s="5" t="e">
        <f ca="1">_xlfn.FORMULATEXT(표1[[#This Row],[Q''ty]])</f>
        <v>#N/A</v>
      </c>
    </row>
    <row r="4699" spans="1:8" ht="15" hidden="1" customHeight="1" thickTop="1" x14ac:dyDescent="0.4">
      <c r="A4699" s="6">
        <v>2026</v>
      </c>
      <c r="B4699" s="6">
        <f t="shared" si="601"/>
        <v>48</v>
      </c>
      <c r="C4699" s="13" t="s">
        <v>25</v>
      </c>
      <c r="D4699" s="2" t="s">
        <v>6</v>
      </c>
      <c r="E4699" s="14" t="s">
        <v>7</v>
      </c>
      <c r="F4699" s="22">
        <f t="shared" ref="F4699:F4704" si="606">F4600</f>
        <v>3</v>
      </c>
      <c r="H4699" s="5" t="str">
        <f ca="1">_xlfn.FORMULATEXT(표1[[#This Row],[Q''ty]])</f>
        <v>=F4600</v>
      </c>
    </row>
    <row r="4700" spans="1:8" ht="15" hidden="1" customHeight="1" x14ac:dyDescent="0.4">
      <c r="A4700" s="6">
        <v>2026</v>
      </c>
      <c r="B4700" s="6">
        <f t="shared" si="601"/>
        <v>48</v>
      </c>
      <c r="C4700" s="13" t="s">
        <v>25</v>
      </c>
      <c r="D4700" s="2" t="s">
        <v>6</v>
      </c>
      <c r="E4700" s="14" t="s">
        <v>8</v>
      </c>
      <c r="F4700" s="22">
        <f t="shared" si="606"/>
        <v>3</v>
      </c>
      <c r="H4700" s="5" t="str">
        <f ca="1">_xlfn.FORMULATEXT(표1[[#This Row],[Q''ty]])</f>
        <v>=F4601</v>
      </c>
    </row>
    <row r="4701" spans="1:8" ht="15" hidden="1" customHeight="1" x14ac:dyDescent="0.4">
      <c r="A4701" s="6">
        <v>2026</v>
      </c>
      <c r="B4701" s="6">
        <f t="shared" si="601"/>
        <v>48</v>
      </c>
      <c r="C4701" s="13" t="s">
        <v>25</v>
      </c>
      <c r="D4701" s="2" t="s">
        <v>6</v>
      </c>
      <c r="E4701" s="14" t="s">
        <v>9</v>
      </c>
      <c r="F4701" s="22">
        <f t="shared" si="606"/>
        <v>2</v>
      </c>
      <c r="H4701" s="5" t="str">
        <f ca="1">_xlfn.FORMULATEXT(표1[[#This Row],[Q''ty]])</f>
        <v>=F4602</v>
      </c>
    </row>
    <row r="4702" spans="1:8" ht="15" hidden="1" customHeight="1" x14ac:dyDescent="0.4">
      <c r="A4702" s="6">
        <v>2026</v>
      </c>
      <c r="B4702" s="6">
        <f t="shared" si="601"/>
        <v>48</v>
      </c>
      <c r="C4702" s="13" t="s">
        <v>25</v>
      </c>
      <c r="D4702" s="2" t="s">
        <v>6</v>
      </c>
      <c r="E4702" s="14" t="s">
        <v>27</v>
      </c>
      <c r="F4702" s="22">
        <f t="shared" si="606"/>
        <v>2</v>
      </c>
      <c r="H4702" s="5" t="str">
        <f ca="1">_xlfn.FORMULATEXT(표1[[#This Row],[Q''ty]])</f>
        <v>=F4603</v>
      </c>
    </row>
    <row r="4703" spans="1:8" ht="15" hidden="1" customHeight="1" x14ac:dyDescent="0.4">
      <c r="A4703" s="6">
        <v>2026</v>
      </c>
      <c r="B4703" s="6">
        <f t="shared" si="601"/>
        <v>48</v>
      </c>
      <c r="C4703" s="13" t="s">
        <v>25</v>
      </c>
      <c r="D4703" s="2" t="s">
        <v>6</v>
      </c>
      <c r="E4703" s="14" t="s">
        <v>10</v>
      </c>
      <c r="F4703" s="22">
        <f t="shared" si="606"/>
        <v>3</v>
      </c>
      <c r="H4703" s="5" t="str">
        <f ca="1">_xlfn.FORMULATEXT(표1[[#This Row],[Q''ty]])</f>
        <v>=F4604</v>
      </c>
    </row>
    <row r="4704" spans="1:8" ht="15" hidden="1" customHeight="1" x14ac:dyDescent="0.4">
      <c r="A4704" s="6">
        <v>2026</v>
      </c>
      <c r="B4704" s="6">
        <f t="shared" si="601"/>
        <v>48</v>
      </c>
      <c r="C4704" s="13" t="s">
        <v>25</v>
      </c>
      <c r="D4704" s="2" t="s">
        <v>6</v>
      </c>
      <c r="E4704" s="14" t="s">
        <v>11</v>
      </c>
      <c r="F4704" s="22">
        <f t="shared" si="606"/>
        <v>4</v>
      </c>
      <c r="H4704" s="5" t="str">
        <f ca="1">_xlfn.FORMULATEXT(표1[[#This Row],[Q''ty]])</f>
        <v>=F4605</v>
      </c>
    </row>
    <row r="4705" spans="1:8" ht="15" hidden="1" customHeight="1" x14ac:dyDescent="0.4">
      <c r="A4705" s="6">
        <v>2026</v>
      </c>
      <c r="B4705" s="6">
        <f t="shared" si="601"/>
        <v>48</v>
      </c>
      <c r="C4705" s="13" t="s">
        <v>25</v>
      </c>
      <c r="D4705" s="2" t="s">
        <v>12</v>
      </c>
      <c r="E4705" s="14" t="s">
        <v>13</v>
      </c>
      <c r="F4705" s="22"/>
      <c r="H4705" s="5" t="e">
        <f ca="1">_xlfn.FORMULATEXT(표1[[#This Row],[Q''ty]])</f>
        <v>#N/A</v>
      </c>
    </row>
    <row r="4706" spans="1:8" ht="15" hidden="1" customHeight="1" x14ac:dyDescent="0.4">
      <c r="A4706" s="6">
        <v>2026</v>
      </c>
      <c r="B4706" s="6">
        <f t="shared" si="601"/>
        <v>48</v>
      </c>
      <c r="C4706" s="13" t="s">
        <v>25</v>
      </c>
      <c r="D4706" s="2" t="s">
        <v>12</v>
      </c>
      <c r="E4706" s="14" t="s">
        <v>14</v>
      </c>
      <c r="F4706" s="22"/>
      <c r="H4706" s="5" t="e">
        <f ca="1">_xlfn.FORMULATEXT(표1[[#This Row],[Q''ty]])</f>
        <v>#N/A</v>
      </c>
    </row>
    <row r="4707" spans="1:8" ht="15" hidden="1" customHeight="1" x14ac:dyDescent="0.4">
      <c r="A4707" s="6">
        <v>2026</v>
      </c>
      <c r="B4707" s="6">
        <f t="shared" si="601"/>
        <v>48</v>
      </c>
      <c r="C4707" s="13" t="s">
        <v>25</v>
      </c>
      <c r="D4707" s="2" t="s">
        <v>12</v>
      </c>
      <c r="E4707" s="14" t="s">
        <v>15</v>
      </c>
      <c r="F4707" s="22"/>
      <c r="H4707" s="5" t="e">
        <f ca="1">_xlfn.FORMULATEXT(표1[[#This Row],[Q''ty]])</f>
        <v>#N/A</v>
      </c>
    </row>
    <row r="4708" spans="1:8" ht="15" hidden="1" customHeight="1" x14ac:dyDescent="0.4">
      <c r="A4708" s="6">
        <v>2026</v>
      </c>
      <c r="B4708" s="6">
        <f t="shared" si="601"/>
        <v>48</v>
      </c>
      <c r="C4708" s="13" t="s">
        <v>25</v>
      </c>
      <c r="D4708" s="2" t="s">
        <v>12</v>
      </c>
      <c r="E4708" s="14" t="s">
        <v>16</v>
      </c>
      <c r="F4708" s="22"/>
      <c r="H4708" s="5" t="e">
        <f ca="1">_xlfn.FORMULATEXT(표1[[#This Row],[Q''ty]])</f>
        <v>#N/A</v>
      </c>
    </row>
    <row r="4709" spans="1:8" ht="15" hidden="1" customHeight="1" thickBot="1" x14ac:dyDescent="0.45">
      <c r="A4709" s="15">
        <v>2026</v>
      </c>
      <c r="B4709" s="15">
        <f t="shared" si="601"/>
        <v>48</v>
      </c>
      <c r="C4709" s="16" t="s">
        <v>25</v>
      </c>
      <c r="D4709" s="17" t="s">
        <v>12</v>
      </c>
      <c r="E4709" s="18" t="s">
        <v>17</v>
      </c>
      <c r="F4709" s="23"/>
      <c r="H4709" s="5" t="e">
        <f ca="1">_xlfn.FORMULATEXT(표1[[#This Row],[Q''ty]])</f>
        <v>#N/A</v>
      </c>
    </row>
    <row r="4710" spans="1:8" ht="15" hidden="1" customHeight="1" thickTop="1" x14ac:dyDescent="0.4">
      <c r="A4710" s="6">
        <v>2026</v>
      </c>
      <c r="B4710" s="6">
        <f t="shared" si="601"/>
        <v>48</v>
      </c>
      <c r="C4710" s="13" t="s">
        <v>26</v>
      </c>
      <c r="D4710" s="2" t="s">
        <v>6</v>
      </c>
      <c r="E4710" s="14" t="s">
        <v>7</v>
      </c>
      <c r="F4710" s="22">
        <f t="shared" ref="F4710:F4715" si="607">F4611</f>
        <v>6</v>
      </c>
      <c r="H4710" s="5" t="str">
        <f ca="1">_xlfn.FORMULATEXT(표1[[#This Row],[Q''ty]])</f>
        <v>=F4611</v>
      </c>
    </row>
    <row r="4711" spans="1:8" ht="15" hidden="1" customHeight="1" x14ac:dyDescent="0.4">
      <c r="A4711" s="6">
        <v>2026</v>
      </c>
      <c r="B4711" s="6">
        <f t="shared" si="601"/>
        <v>48</v>
      </c>
      <c r="C4711" s="13" t="s">
        <v>26</v>
      </c>
      <c r="D4711" s="2" t="s">
        <v>6</v>
      </c>
      <c r="E4711" s="14" t="s">
        <v>8</v>
      </c>
      <c r="F4711" s="22">
        <f t="shared" si="607"/>
        <v>4</v>
      </c>
      <c r="H4711" s="5" t="str">
        <f ca="1">_xlfn.FORMULATEXT(표1[[#This Row],[Q''ty]])</f>
        <v>=F4612</v>
      </c>
    </row>
    <row r="4712" spans="1:8" ht="15" hidden="1" customHeight="1" x14ac:dyDescent="0.4">
      <c r="A4712" s="6">
        <v>2026</v>
      </c>
      <c r="B4712" s="6">
        <f t="shared" si="601"/>
        <v>48</v>
      </c>
      <c r="C4712" s="13" t="s">
        <v>26</v>
      </c>
      <c r="D4712" s="2" t="s">
        <v>6</v>
      </c>
      <c r="E4712" s="14" t="s">
        <v>9</v>
      </c>
      <c r="F4712" s="22">
        <f t="shared" si="607"/>
        <v>2</v>
      </c>
      <c r="H4712" s="5" t="str">
        <f ca="1">_xlfn.FORMULATEXT(표1[[#This Row],[Q''ty]])</f>
        <v>=F4613</v>
      </c>
    </row>
    <row r="4713" spans="1:8" ht="15" hidden="1" customHeight="1" x14ac:dyDescent="0.4">
      <c r="A4713" s="6">
        <v>2026</v>
      </c>
      <c r="B4713" s="6">
        <f t="shared" si="601"/>
        <v>48</v>
      </c>
      <c r="C4713" s="13" t="s">
        <v>26</v>
      </c>
      <c r="D4713" s="2" t="s">
        <v>6</v>
      </c>
      <c r="E4713" s="14" t="s">
        <v>27</v>
      </c>
      <c r="F4713" s="22">
        <f t="shared" si="607"/>
        <v>3</v>
      </c>
      <c r="H4713" s="5" t="str">
        <f ca="1">_xlfn.FORMULATEXT(표1[[#This Row],[Q''ty]])</f>
        <v>=F4614</v>
      </c>
    </row>
    <row r="4714" spans="1:8" ht="15" hidden="1" customHeight="1" x14ac:dyDescent="0.4">
      <c r="A4714" s="6">
        <v>2026</v>
      </c>
      <c r="B4714" s="6">
        <f t="shared" si="601"/>
        <v>48</v>
      </c>
      <c r="C4714" s="13" t="s">
        <v>26</v>
      </c>
      <c r="D4714" s="2" t="s">
        <v>6</v>
      </c>
      <c r="E4714" s="14" t="s">
        <v>10</v>
      </c>
      <c r="F4714" s="22">
        <f t="shared" si="607"/>
        <v>4</v>
      </c>
      <c r="H4714" s="5" t="str">
        <f ca="1">_xlfn.FORMULATEXT(표1[[#This Row],[Q''ty]])</f>
        <v>=F4615</v>
      </c>
    </row>
    <row r="4715" spans="1:8" ht="15" hidden="1" customHeight="1" x14ac:dyDescent="0.4">
      <c r="A4715" s="6">
        <v>2026</v>
      </c>
      <c r="B4715" s="6">
        <f t="shared" si="601"/>
        <v>48</v>
      </c>
      <c r="C4715" s="13" t="s">
        <v>26</v>
      </c>
      <c r="D4715" s="2" t="s">
        <v>6</v>
      </c>
      <c r="E4715" s="14" t="s">
        <v>11</v>
      </c>
      <c r="F4715" s="22">
        <f t="shared" si="607"/>
        <v>6</v>
      </c>
      <c r="H4715" s="5" t="str">
        <f ca="1">_xlfn.FORMULATEXT(표1[[#This Row],[Q''ty]])</f>
        <v>=F4616</v>
      </c>
    </row>
    <row r="4716" spans="1:8" ht="15" hidden="1" customHeight="1" x14ac:dyDescent="0.4">
      <c r="A4716" s="6">
        <v>2026</v>
      </c>
      <c r="B4716" s="6">
        <f t="shared" si="601"/>
        <v>48</v>
      </c>
      <c r="C4716" s="13" t="s">
        <v>26</v>
      </c>
      <c r="D4716" s="2" t="s">
        <v>12</v>
      </c>
      <c r="E4716" s="14" t="str">
        <f t="shared" ref="E4716:E4753" si="608">E4617</f>
        <v>BT GT</v>
      </c>
      <c r="F4716" s="22"/>
      <c r="H4716" s="5" t="e">
        <f ca="1">_xlfn.FORMULATEXT(표1[[#This Row],[Q''ty]])</f>
        <v>#N/A</v>
      </c>
    </row>
    <row r="4717" spans="1:8" ht="15" hidden="1" customHeight="1" x14ac:dyDescent="0.4">
      <c r="A4717" s="6">
        <v>2026</v>
      </c>
      <c r="B4717" s="6">
        <f t="shared" si="601"/>
        <v>48</v>
      </c>
      <c r="C4717" s="13" t="s">
        <v>26</v>
      </c>
      <c r="D4717" s="2" t="s">
        <v>12</v>
      </c>
      <c r="E4717" s="14" t="str">
        <f t="shared" si="608"/>
        <v>WT GT</v>
      </c>
      <c r="F4717" s="22"/>
      <c r="H4717" s="5" t="e">
        <f ca="1">_xlfn.FORMULATEXT(표1[[#This Row],[Q''ty]])</f>
        <v>#N/A</v>
      </c>
    </row>
    <row r="4718" spans="1:8" ht="15" hidden="1" customHeight="1" x14ac:dyDescent="0.4">
      <c r="A4718" s="6">
        <v>2026</v>
      </c>
      <c r="B4718" s="6">
        <f t="shared" si="601"/>
        <v>48</v>
      </c>
      <c r="C4718" s="13" t="s">
        <v>26</v>
      </c>
      <c r="D4718" s="2" t="s">
        <v>12</v>
      </c>
      <c r="E4718" s="14" t="str">
        <f t="shared" si="608"/>
        <v>Bending</v>
      </c>
      <c r="F4718" s="22"/>
      <c r="H4718" s="5" t="e">
        <f ca="1">_xlfn.FORMULATEXT(표1[[#This Row],[Q''ty]])</f>
        <v>#N/A</v>
      </c>
    </row>
    <row r="4719" spans="1:8" ht="15" hidden="1" customHeight="1" x14ac:dyDescent="0.4">
      <c r="A4719" s="6">
        <v>2026</v>
      </c>
      <c r="B4719" s="6">
        <f t="shared" si="601"/>
        <v>48</v>
      </c>
      <c r="C4719" s="13" t="s">
        <v>26</v>
      </c>
      <c r="D4719" s="2" t="s">
        <v>12</v>
      </c>
      <c r="E4719" s="14" t="str">
        <f t="shared" si="608"/>
        <v>L/W</v>
      </c>
      <c r="F4719" s="22"/>
      <c r="H4719" s="5" t="e">
        <f ca="1">_xlfn.FORMULATEXT(표1[[#This Row],[Q''ty]])</f>
        <v>#N/A</v>
      </c>
    </row>
    <row r="4720" spans="1:8" ht="15" hidden="1" customHeight="1" thickBot="1" x14ac:dyDescent="0.45">
      <c r="A4720" s="15">
        <v>2026</v>
      </c>
      <c r="B4720" s="15">
        <f t="shared" ref="B4720:B4753" si="609">B4621+1</f>
        <v>48</v>
      </c>
      <c r="C4720" s="16" t="s">
        <v>26</v>
      </c>
      <c r="D4720" s="17" t="s">
        <v>12</v>
      </c>
      <c r="E4720" s="18" t="str">
        <f t="shared" si="608"/>
        <v>C/W</v>
      </c>
      <c r="F4720" s="23"/>
      <c r="H4720" s="5" t="e">
        <f ca="1">_xlfn.FORMULATEXT(표1[[#This Row],[Q''ty]])</f>
        <v>#N/A</v>
      </c>
    </row>
    <row r="4721" spans="1:8" ht="15" hidden="1" customHeight="1" thickTop="1" x14ac:dyDescent="0.4">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hidden="1" customHeight="1" x14ac:dyDescent="0.4">
      <c r="A4722" s="6">
        <v>2026</v>
      </c>
      <c r="B4722" s="6">
        <f t="shared" si="609"/>
        <v>48</v>
      </c>
      <c r="C4722" s="13" t="s">
        <v>20</v>
      </c>
      <c r="D4722" s="2" t="s">
        <v>6</v>
      </c>
      <c r="E4722" s="14" t="str">
        <f t="shared" si="608"/>
        <v>Paint Booth</v>
      </c>
      <c r="F4722" s="22">
        <f t="shared" si="610"/>
        <v>16</v>
      </c>
      <c r="H4722" s="5" t="str">
        <f ca="1">_xlfn.FORMULATEXT(표1[[#This Row],[Q''ty]])</f>
        <v>=F4623</v>
      </c>
    </row>
    <row r="4723" spans="1:8" ht="15" hidden="1" customHeight="1" x14ac:dyDescent="0.4">
      <c r="A4723" s="6">
        <v>2026</v>
      </c>
      <c r="B4723" s="6">
        <f t="shared" si="609"/>
        <v>48</v>
      </c>
      <c r="C4723" s="13" t="s">
        <v>20</v>
      </c>
      <c r="D4723" s="2" t="s">
        <v>6</v>
      </c>
      <c r="E4723" s="14" t="str">
        <f t="shared" si="608"/>
        <v>Paint Line</v>
      </c>
      <c r="F4723" s="22">
        <f t="shared" si="610"/>
        <v>8</v>
      </c>
      <c r="H4723" s="5" t="str">
        <f ca="1">_xlfn.FORMULATEXT(표1[[#This Row],[Q''ty]])</f>
        <v>=F4624</v>
      </c>
    </row>
    <row r="4724" spans="1:8" ht="15" hidden="1" customHeight="1" x14ac:dyDescent="0.4">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hidden="1" customHeight="1" x14ac:dyDescent="0.4">
      <c r="A4725" s="6">
        <v>2026</v>
      </c>
      <c r="B4725" s="6">
        <f t="shared" si="609"/>
        <v>48</v>
      </c>
      <c r="C4725" s="13" t="s">
        <v>20</v>
      </c>
      <c r="D4725" s="2" t="s">
        <v>6</v>
      </c>
      <c r="E4725" s="14" t="str">
        <f t="shared" si="608"/>
        <v>L/W Machine</v>
      </c>
      <c r="F4725" s="22">
        <f t="shared" si="610"/>
        <v>11</v>
      </c>
      <c r="H4725" s="5" t="str">
        <f ca="1">_xlfn.FORMULATEXT(표1[[#This Row],[Q''ty]])</f>
        <v>=F4626</v>
      </c>
    </row>
    <row r="4726" spans="1:8" ht="15" hidden="1" customHeight="1" x14ac:dyDescent="0.4">
      <c r="A4726" s="6">
        <v>2026</v>
      </c>
      <c r="B4726" s="6">
        <f t="shared" si="609"/>
        <v>48</v>
      </c>
      <c r="C4726" s="13" t="s">
        <v>20</v>
      </c>
      <c r="D4726" s="2" t="s">
        <v>6</v>
      </c>
      <c r="E4726" s="14" t="str">
        <f t="shared" si="608"/>
        <v>C/W Machine</v>
      </c>
      <c r="F4726" s="22">
        <f t="shared" si="610"/>
        <v>15</v>
      </c>
      <c r="H4726" s="5" t="str">
        <f ca="1">_xlfn.FORMULATEXT(표1[[#This Row],[Q''ty]])</f>
        <v>=F4627</v>
      </c>
    </row>
    <row r="4727" spans="1:8" ht="15" hidden="1" customHeight="1" x14ac:dyDescent="0.4">
      <c r="A4727" s="6">
        <v>2026</v>
      </c>
      <c r="B4727" s="6">
        <f t="shared" si="609"/>
        <v>48</v>
      </c>
      <c r="C4727" s="13" t="s">
        <v>20</v>
      </c>
      <c r="D4727" s="2" t="s">
        <v>12</v>
      </c>
      <c r="E4727" s="14" t="str">
        <f t="shared" si="608"/>
        <v>BT GT</v>
      </c>
      <c r="F4727" s="22"/>
      <c r="H4727" s="5" t="e">
        <f ca="1">_xlfn.FORMULATEXT(표1[[#This Row],[Q''ty]])</f>
        <v>#N/A</v>
      </c>
    </row>
    <row r="4728" spans="1:8" ht="15" hidden="1" customHeight="1" x14ac:dyDescent="0.4">
      <c r="A4728" s="6">
        <v>2026</v>
      </c>
      <c r="B4728" s="6">
        <f t="shared" si="609"/>
        <v>48</v>
      </c>
      <c r="C4728" s="13" t="s">
        <v>20</v>
      </c>
      <c r="D4728" s="2" t="s">
        <v>12</v>
      </c>
      <c r="E4728" s="14" t="str">
        <f t="shared" si="608"/>
        <v>WT GT</v>
      </c>
      <c r="F4728" s="22"/>
      <c r="H4728" s="5" t="e">
        <f ca="1">_xlfn.FORMULATEXT(표1[[#This Row],[Q''ty]])</f>
        <v>#N/A</v>
      </c>
    </row>
    <row r="4729" spans="1:8" ht="15" hidden="1" customHeight="1" x14ac:dyDescent="0.4">
      <c r="A4729" s="6">
        <v>2026</v>
      </c>
      <c r="B4729" s="6">
        <f t="shared" si="609"/>
        <v>48</v>
      </c>
      <c r="C4729" s="13" t="s">
        <v>20</v>
      </c>
      <c r="D4729" s="2" t="s">
        <v>12</v>
      </c>
      <c r="E4729" s="14" t="str">
        <f t="shared" si="608"/>
        <v>Bending</v>
      </c>
      <c r="F4729" s="22"/>
      <c r="H4729" s="5" t="e">
        <f ca="1">_xlfn.FORMULATEXT(표1[[#This Row],[Q''ty]])</f>
        <v>#N/A</v>
      </c>
    </row>
    <row r="4730" spans="1:8" ht="15" hidden="1" customHeight="1" x14ac:dyDescent="0.4">
      <c r="A4730" s="6">
        <v>2026</v>
      </c>
      <c r="B4730" s="6">
        <f t="shared" si="609"/>
        <v>48</v>
      </c>
      <c r="C4730" s="13" t="s">
        <v>20</v>
      </c>
      <c r="D4730" s="2" t="s">
        <v>12</v>
      </c>
      <c r="E4730" s="14" t="str">
        <f t="shared" si="608"/>
        <v>L/W</v>
      </c>
      <c r="F4730" s="22"/>
      <c r="H4730" s="5" t="e">
        <f ca="1">_xlfn.FORMULATEXT(표1[[#This Row],[Q''ty]])</f>
        <v>#N/A</v>
      </c>
    </row>
    <row r="4731" spans="1:8" ht="15" hidden="1" customHeight="1" thickBot="1" x14ac:dyDescent="0.45">
      <c r="A4731" s="15">
        <v>2026</v>
      </c>
      <c r="B4731" s="15">
        <f t="shared" si="609"/>
        <v>48</v>
      </c>
      <c r="C4731" s="16" t="s">
        <v>20</v>
      </c>
      <c r="D4731" s="17" t="s">
        <v>12</v>
      </c>
      <c r="E4731" s="18" t="str">
        <f t="shared" si="608"/>
        <v>C/W</v>
      </c>
      <c r="F4731" s="23"/>
      <c r="H4731" s="5" t="e">
        <f ca="1">_xlfn.FORMULATEXT(표1[[#This Row],[Q''ty]])</f>
        <v>#N/A</v>
      </c>
    </row>
    <row r="4732" spans="1:8" ht="15" hidden="1" customHeight="1" thickTop="1" x14ac:dyDescent="0.4">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hidden="1" customHeight="1" x14ac:dyDescent="0.4">
      <c r="A4733" s="6">
        <v>2026</v>
      </c>
      <c r="B4733" s="6">
        <f t="shared" si="609"/>
        <v>48</v>
      </c>
      <c r="C4733" s="13" t="s">
        <v>21</v>
      </c>
      <c r="D4733" s="2" t="s">
        <v>6</v>
      </c>
      <c r="E4733" s="14" t="str">
        <f t="shared" si="608"/>
        <v>Paint Booth</v>
      </c>
      <c r="F4733" s="22">
        <f t="shared" si="611"/>
        <v>4</v>
      </c>
      <c r="H4733" s="5" t="str">
        <f ca="1">_xlfn.FORMULATEXT(표1[[#This Row],[Q''ty]])</f>
        <v>=F4634</v>
      </c>
    </row>
    <row r="4734" spans="1:8" ht="15" hidden="1" customHeight="1" x14ac:dyDescent="0.4">
      <c r="A4734" s="6">
        <v>2026</v>
      </c>
      <c r="B4734" s="6">
        <f t="shared" si="609"/>
        <v>48</v>
      </c>
      <c r="C4734" s="13" t="s">
        <v>21</v>
      </c>
      <c r="D4734" s="2" t="s">
        <v>6</v>
      </c>
      <c r="E4734" s="14" t="str">
        <f t="shared" si="608"/>
        <v>Paint Line</v>
      </c>
      <c r="F4734" s="22">
        <f t="shared" si="611"/>
        <v>4</v>
      </c>
      <c r="H4734" s="5" t="str">
        <f ca="1">_xlfn.FORMULATEXT(표1[[#This Row],[Q''ty]])</f>
        <v>=F4635</v>
      </c>
    </row>
    <row r="4735" spans="1:8" ht="15" hidden="1" customHeight="1" x14ac:dyDescent="0.4">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hidden="1" customHeight="1" x14ac:dyDescent="0.4">
      <c r="A4736" s="6">
        <v>2026</v>
      </c>
      <c r="B4736" s="6">
        <f t="shared" si="609"/>
        <v>48</v>
      </c>
      <c r="C4736" s="13" t="s">
        <v>21</v>
      </c>
      <c r="D4736" s="2" t="s">
        <v>6</v>
      </c>
      <c r="E4736" s="14" t="str">
        <f t="shared" si="608"/>
        <v>L/W Machine</v>
      </c>
      <c r="F4736" s="22">
        <f t="shared" si="611"/>
        <v>4</v>
      </c>
      <c r="H4736" s="5" t="str">
        <f ca="1">_xlfn.FORMULATEXT(표1[[#This Row],[Q''ty]])</f>
        <v>=F4637</v>
      </c>
    </row>
    <row r="4737" spans="1:8" ht="15" hidden="1" customHeight="1" x14ac:dyDescent="0.4">
      <c r="A4737" s="6">
        <v>2026</v>
      </c>
      <c r="B4737" s="6">
        <f t="shared" si="609"/>
        <v>48</v>
      </c>
      <c r="C4737" s="13" t="s">
        <v>21</v>
      </c>
      <c r="D4737" s="2" t="s">
        <v>6</v>
      </c>
      <c r="E4737" s="14" t="str">
        <f t="shared" si="608"/>
        <v>C/W Machine</v>
      </c>
      <c r="F4737" s="22">
        <f t="shared" si="611"/>
        <v>6.5</v>
      </c>
      <c r="H4737" s="5" t="str">
        <f ca="1">_xlfn.FORMULATEXT(표1[[#This Row],[Q''ty]])</f>
        <v>=F4638</v>
      </c>
    </row>
    <row r="4738" spans="1:8" ht="15" hidden="1" customHeight="1" x14ac:dyDescent="0.4">
      <c r="A4738" s="6">
        <v>2026</v>
      </c>
      <c r="B4738" s="6">
        <f t="shared" si="609"/>
        <v>48</v>
      </c>
      <c r="C4738" s="13" t="s">
        <v>21</v>
      </c>
      <c r="D4738" s="2" t="s">
        <v>12</v>
      </c>
      <c r="E4738" s="14" t="str">
        <f t="shared" si="608"/>
        <v>BT GT</v>
      </c>
      <c r="F4738" s="22"/>
      <c r="H4738" s="5" t="e">
        <f ca="1">_xlfn.FORMULATEXT(표1[[#This Row],[Q''ty]])</f>
        <v>#N/A</v>
      </c>
    </row>
    <row r="4739" spans="1:8" ht="15" hidden="1" customHeight="1" x14ac:dyDescent="0.4">
      <c r="A4739" s="6">
        <v>2026</v>
      </c>
      <c r="B4739" s="6">
        <f t="shared" si="609"/>
        <v>48</v>
      </c>
      <c r="C4739" s="13" t="s">
        <v>21</v>
      </c>
      <c r="D4739" s="2" t="s">
        <v>12</v>
      </c>
      <c r="E4739" s="14" t="str">
        <f t="shared" si="608"/>
        <v>WT GT</v>
      </c>
      <c r="F4739" s="22"/>
      <c r="H4739" s="5" t="e">
        <f ca="1">_xlfn.FORMULATEXT(표1[[#This Row],[Q''ty]])</f>
        <v>#N/A</v>
      </c>
    </row>
    <row r="4740" spans="1:8" ht="15" hidden="1" customHeight="1" x14ac:dyDescent="0.4">
      <c r="A4740" s="6">
        <v>2026</v>
      </c>
      <c r="B4740" s="6">
        <f t="shared" si="609"/>
        <v>48</v>
      </c>
      <c r="C4740" s="13" t="s">
        <v>21</v>
      </c>
      <c r="D4740" s="2" t="s">
        <v>12</v>
      </c>
      <c r="E4740" s="14" t="str">
        <f t="shared" si="608"/>
        <v>Bending</v>
      </c>
      <c r="F4740" s="22"/>
      <c r="H4740" s="5" t="e">
        <f ca="1">_xlfn.FORMULATEXT(표1[[#This Row],[Q''ty]])</f>
        <v>#N/A</v>
      </c>
    </row>
    <row r="4741" spans="1:8" ht="15" hidden="1" customHeight="1" x14ac:dyDescent="0.4">
      <c r="A4741" s="6">
        <v>2026</v>
      </c>
      <c r="B4741" s="6">
        <f t="shared" si="609"/>
        <v>48</v>
      </c>
      <c r="C4741" s="13" t="s">
        <v>21</v>
      </c>
      <c r="D4741" s="2" t="s">
        <v>12</v>
      </c>
      <c r="E4741" s="14" t="str">
        <f t="shared" si="608"/>
        <v>L/W</v>
      </c>
      <c r="F4741" s="22"/>
      <c r="H4741" s="5" t="e">
        <f ca="1">_xlfn.FORMULATEXT(표1[[#This Row],[Q''ty]])</f>
        <v>#N/A</v>
      </c>
    </row>
    <row r="4742" spans="1:8" ht="15" hidden="1" customHeight="1" thickBot="1" x14ac:dyDescent="0.45">
      <c r="A4742" s="15">
        <v>2026</v>
      </c>
      <c r="B4742" s="15">
        <f t="shared" si="609"/>
        <v>48</v>
      </c>
      <c r="C4742" s="16" t="s">
        <v>21</v>
      </c>
      <c r="D4742" s="17" t="s">
        <v>12</v>
      </c>
      <c r="E4742" s="18" t="str">
        <f t="shared" si="608"/>
        <v>C/W</v>
      </c>
      <c r="F4742" s="23"/>
      <c r="H4742" s="5" t="e">
        <f ca="1">_xlfn.FORMULATEXT(표1[[#This Row],[Q''ty]])</f>
        <v>#N/A</v>
      </c>
    </row>
    <row r="4743" spans="1:8" ht="15" hidden="1" customHeight="1" thickTop="1" x14ac:dyDescent="0.4">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hidden="1" customHeight="1" x14ac:dyDescent="0.4">
      <c r="A4744" s="6">
        <v>2026</v>
      </c>
      <c r="B4744" s="6">
        <f t="shared" si="609"/>
        <v>48</v>
      </c>
      <c r="C4744" s="13" t="s">
        <v>22</v>
      </c>
      <c r="D4744" s="2" t="s">
        <v>6</v>
      </c>
      <c r="E4744" s="14" t="str">
        <f t="shared" si="608"/>
        <v>Paint Booth</v>
      </c>
      <c r="F4744" s="22">
        <f t="shared" si="612"/>
        <v>6</v>
      </c>
      <c r="H4744" s="5" t="str">
        <f ca="1">_xlfn.FORMULATEXT(표1[[#This Row],[Q''ty]])</f>
        <v>=F4645</v>
      </c>
    </row>
    <row r="4745" spans="1:8" ht="15" hidden="1" customHeight="1" x14ac:dyDescent="0.4">
      <c r="A4745" s="6">
        <v>2026</v>
      </c>
      <c r="B4745" s="6">
        <f t="shared" si="609"/>
        <v>48</v>
      </c>
      <c r="C4745" s="13" t="s">
        <v>22</v>
      </c>
      <c r="D4745" s="2" t="s">
        <v>6</v>
      </c>
      <c r="E4745" s="14" t="str">
        <f t="shared" si="608"/>
        <v>Paint Line</v>
      </c>
      <c r="F4745" s="22">
        <f t="shared" si="612"/>
        <v>4</v>
      </c>
      <c r="H4745" s="5" t="str">
        <f ca="1">_xlfn.FORMULATEXT(표1[[#This Row],[Q''ty]])</f>
        <v>=F4646</v>
      </c>
    </row>
    <row r="4746" spans="1:8" ht="15" hidden="1" customHeight="1" x14ac:dyDescent="0.4">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hidden="1" customHeight="1" x14ac:dyDescent="0.4">
      <c r="A4747" s="6">
        <v>2026</v>
      </c>
      <c r="B4747" s="6">
        <f t="shared" si="609"/>
        <v>48</v>
      </c>
      <c r="C4747" s="13" t="s">
        <v>22</v>
      </c>
      <c r="D4747" s="2" t="s">
        <v>6</v>
      </c>
      <c r="E4747" s="14" t="str">
        <f t="shared" si="608"/>
        <v>L/W Machine</v>
      </c>
      <c r="F4747" s="22">
        <f t="shared" si="612"/>
        <v>7</v>
      </c>
      <c r="H4747" s="5" t="str">
        <f ca="1">_xlfn.FORMULATEXT(표1[[#This Row],[Q''ty]])</f>
        <v>=F4648</v>
      </c>
    </row>
    <row r="4748" spans="1:8" ht="15" hidden="1" customHeight="1" x14ac:dyDescent="0.4">
      <c r="A4748" s="6">
        <v>2026</v>
      </c>
      <c r="B4748" s="6">
        <f t="shared" si="609"/>
        <v>48</v>
      </c>
      <c r="C4748" s="13" t="s">
        <v>22</v>
      </c>
      <c r="D4748" s="2" t="s">
        <v>6</v>
      </c>
      <c r="E4748" s="14" t="str">
        <f t="shared" si="608"/>
        <v>C/W Machine</v>
      </c>
      <c r="F4748" s="22">
        <f t="shared" si="612"/>
        <v>12.5</v>
      </c>
      <c r="H4748" s="5" t="str">
        <f ca="1">_xlfn.FORMULATEXT(표1[[#This Row],[Q''ty]])</f>
        <v>=F4649</v>
      </c>
    </row>
    <row r="4749" spans="1:8" ht="15" hidden="1" customHeight="1" x14ac:dyDescent="0.4">
      <c r="A4749" s="6">
        <v>2026</v>
      </c>
      <c r="B4749" s="6">
        <f t="shared" si="609"/>
        <v>48</v>
      </c>
      <c r="C4749" s="13" t="s">
        <v>22</v>
      </c>
      <c r="D4749" s="2" t="s">
        <v>12</v>
      </c>
      <c r="E4749" s="14" t="str">
        <f t="shared" si="608"/>
        <v>BT GT</v>
      </c>
      <c r="F4749" s="22"/>
      <c r="H4749" s="5" t="e">
        <f ca="1">_xlfn.FORMULATEXT(표1[[#This Row],[Q''ty]])</f>
        <v>#N/A</v>
      </c>
    </row>
    <row r="4750" spans="1:8" ht="15" hidden="1" customHeight="1" x14ac:dyDescent="0.4">
      <c r="A4750" s="6">
        <v>2026</v>
      </c>
      <c r="B4750" s="6">
        <f t="shared" si="609"/>
        <v>48</v>
      </c>
      <c r="C4750" s="13" t="s">
        <v>22</v>
      </c>
      <c r="D4750" s="2" t="s">
        <v>12</v>
      </c>
      <c r="E4750" s="14" t="str">
        <f t="shared" si="608"/>
        <v>WT GT</v>
      </c>
      <c r="F4750" s="22"/>
      <c r="H4750" s="5" t="e">
        <f ca="1">_xlfn.FORMULATEXT(표1[[#This Row],[Q''ty]])</f>
        <v>#N/A</v>
      </c>
    </row>
    <row r="4751" spans="1:8" ht="15" hidden="1" customHeight="1" x14ac:dyDescent="0.4">
      <c r="A4751" s="6">
        <v>2026</v>
      </c>
      <c r="B4751" s="6">
        <f t="shared" si="609"/>
        <v>48</v>
      </c>
      <c r="C4751" s="13" t="s">
        <v>22</v>
      </c>
      <c r="D4751" s="2" t="s">
        <v>12</v>
      </c>
      <c r="E4751" s="14" t="str">
        <f t="shared" si="608"/>
        <v>Bending</v>
      </c>
      <c r="F4751" s="22"/>
      <c r="H4751" s="5" t="e">
        <f ca="1">_xlfn.FORMULATEXT(표1[[#This Row],[Q''ty]])</f>
        <v>#N/A</v>
      </c>
    </row>
    <row r="4752" spans="1:8" ht="15" hidden="1" customHeight="1" x14ac:dyDescent="0.4">
      <c r="A4752" s="6">
        <v>2026</v>
      </c>
      <c r="B4752" s="6">
        <f t="shared" si="609"/>
        <v>48</v>
      </c>
      <c r="C4752" s="13" t="s">
        <v>22</v>
      </c>
      <c r="D4752" s="2" t="s">
        <v>12</v>
      </c>
      <c r="E4752" s="14" t="str">
        <f t="shared" si="608"/>
        <v>L/W</v>
      </c>
      <c r="F4752" s="22"/>
      <c r="H4752" s="5" t="e">
        <f ca="1">_xlfn.FORMULATEXT(표1[[#This Row],[Q''ty]])</f>
        <v>#N/A</v>
      </c>
    </row>
    <row r="4753" spans="1:10" ht="15" hidden="1" customHeight="1" thickBot="1" x14ac:dyDescent="0.45">
      <c r="A4753" s="6">
        <v>2026</v>
      </c>
      <c r="B4753" s="6">
        <f t="shared" si="609"/>
        <v>48</v>
      </c>
      <c r="C4753" s="13" t="s">
        <v>22</v>
      </c>
      <c r="D4753" s="2" t="s">
        <v>12</v>
      </c>
      <c r="E4753" s="14" t="str">
        <f t="shared" si="608"/>
        <v>C/W</v>
      </c>
      <c r="F4753" s="22"/>
      <c r="H4753" s="5" t="e">
        <f ca="1">_xlfn.FORMULATEXT(표1[[#This Row],[Q''ty]])</f>
        <v>#N/A</v>
      </c>
    </row>
    <row r="4754" spans="1:10" ht="15" hidden="1" customHeight="1" thickTop="1" x14ac:dyDescent="0.4">
      <c r="A4754" s="9">
        <v>2026</v>
      </c>
      <c r="B4754" s="9">
        <f>B4655+1</f>
        <v>49</v>
      </c>
      <c r="C4754" s="10" t="s">
        <v>28</v>
      </c>
      <c r="D4754" s="11" t="s">
        <v>6</v>
      </c>
      <c r="E4754" s="12" t="s">
        <v>7</v>
      </c>
      <c r="F4754" s="21">
        <f t="shared" ref="F4754:F4759" si="613">F4655</f>
        <v>15</v>
      </c>
      <c r="H4754" s="5" t="str">
        <f ca="1">_xlfn.FORMULATEXT(표1[[#This Row],[Q''ty]])</f>
        <v>=F4655</v>
      </c>
    </row>
    <row r="4755" spans="1:10" s="2" customFormat="1" ht="15" hidden="1" customHeight="1" x14ac:dyDescent="0.4">
      <c r="A4755" s="6">
        <v>2026</v>
      </c>
      <c r="B4755" s="6">
        <f t="shared" ref="B4755:B4818" si="614">B4656+1</f>
        <v>49</v>
      </c>
      <c r="C4755" s="13" t="s">
        <v>23</v>
      </c>
      <c r="D4755" s="2" t="s">
        <v>6</v>
      </c>
      <c r="E4755" s="14" t="s">
        <v>8</v>
      </c>
      <c r="F4755" s="22">
        <f t="shared" si="613"/>
        <v>10</v>
      </c>
      <c r="H4755" s="5" t="str">
        <f ca="1">_xlfn.FORMULATEXT(표1[[#This Row],[Q''ty]])</f>
        <v>=F4656</v>
      </c>
      <c r="I4755" s="26"/>
      <c r="J4755" s="26"/>
    </row>
    <row r="4756" spans="1:10" s="2" customFormat="1" ht="15" hidden="1" customHeight="1" x14ac:dyDescent="0.4">
      <c r="A4756" s="6">
        <v>2026</v>
      </c>
      <c r="B4756" s="6">
        <f t="shared" si="614"/>
        <v>49</v>
      </c>
      <c r="C4756" s="13" t="s">
        <v>23</v>
      </c>
      <c r="D4756" s="2" t="s">
        <v>6</v>
      </c>
      <c r="E4756" s="14" t="s">
        <v>9</v>
      </c>
      <c r="F4756" s="22">
        <f t="shared" si="613"/>
        <v>5</v>
      </c>
      <c r="H4756" s="5" t="str">
        <f ca="1">_xlfn.FORMULATEXT(표1[[#This Row],[Q''ty]])</f>
        <v>=F4657</v>
      </c>
      <c r="I4756" s="26"/>
      <c r="J4756" s="26"/>
    </row>
    <row r="4757" spans="1:10" ht="15" hidden="1" customHeight="1" x14ac:dyDescent="0.4">
      <c r="A4757" s="6">
        <v>2026</v>
      </c>
      <c r="B4757" s="6">
        <f t="shared" si="614"/>
        <v>49</v>
      </c>
      <c r="C4757" s="13" t="s">
        <v>23</v>
      </c>
      <c r="D4757" s="2" t="s">
        <v>6</v>
      </c>
      <c r="E4757" s="14" t="s">
        <v>27</v>
      </c>
      <c r="F4757" s="22">
        <f t="shared" si="613"/>
        <v>6</v>
      </c>
      <c r="H4757" s="5" t="str">
        <f ca="1">_xlfn.FORMULATEXT(표1[[#This Row],[Q''ty]])</f>
        <v>=F4658</v>
      </c>
    </row>
    <row r="4758" spans="1:10" ht="15" hidden="1" customHeight="1" x14ac:dyDescent="0.4">
      <c r="A4758" s="6">
        <v>2026</v>
      </c>
      <c r="B4758" s="6">
        <f t="shared" si="614"/>
        <v>49</v>
      </c>
      <c r="C4758" s="13" t="s">
        <v>23</v>
      </c>
      <c r="D4758" s="2" t="s">
        <v>6</v>
      </c>
      <c r="E4758" s="14" t="s">
        <v>10</v>
      </c>
      <c r="F4758" s="22">
        <f t="shared" si="613"/>
        <v>10</v>
      </c>
      <c r="H4758" s="5" t="str">
        <f ca="1">_xlfn.FORMULATEXT(표1[[#This Row],[Q''ty]])</f>
        <v>=F4659</v>
      </c>
    </row>
    <row r="4759" spans="1:10" ht="15" hidden="1" customHeight="1" x14ac:dyDescent="0.4">
      <c r="A4759" s="6">
        <v>2026</v>
      </c>
      <c r="B4759" s="6">
        <f t="shared" si="614"/>
        <v>49</v>
      </c>
      <c r="C4759" s="13" t="s">
        <v>23</v>
      </c>
      <c r="D4759" s="2" t="s">
        <v>6</v>
      </c>
      <c r="E4759" s="14" t="s">
        <v>11</v>
      </c>
      <c r="F4759" s="22">
        <f t="shared" si="613"/>
        <v>10</v>
      </c>
      <c r="H4759" s="5" t="str">
        <f ca="1">_xlfn.FORMULATEXT(표1[[#This Row],[Q''ty]])</f>
        <v>=F4660</v>
      </c>
    </row>
    <row r="4760" spans="1:10" ht="15" hidden="1" customHeight="1" x14ac:dyDescent="0.4">
      <c r="A4760" s="6">
        <v>2026</v>
      </c>
      <c r="B4760" s="6">
        <f t="shared" si="614"/>
        <v>49</v>
      </c>
      <c r="C4760" s="13" t="s">
        <v>23</v>
      </c>
      <c r="D4760" s="2" t="s">
        <v>12</v>
      </c>
      <c r="E4760" s="14" t="s">
        <v>13</v>
      </c>
      <c r="F4760" s="22"/>
      <c r="H4760" s="5" t="e">
        <f ca="1">_xlfn.FORMULATEXT(표1[[#This Row],[Q''ty]])</f>
        <v>#N/A</v>
      </c>
    </row>
    <row r="4761" spans="1:10" s="2" customFormat="1" ht="15" hidden="1" customHeight="1" x14ac:dyDescent="0.4">
      <c r="A4761" s="6">
        <v>2026</v>
      </c>
      <c r="B4761" s="6">
        <f t="shared" si="614"/>
        <v>49</v>
      </c>
      <c r="C4761" s="13" t="s">
        <v>23</v>
      </c>
      <c r="D4761" s="2" t="s">
        <v>12</v>
      </c>
      <c r="E4761" s="14" t="s">
        <v>14</v>
      </c>
      <c r="F4761" s="22"/>
      <c r="H4761" s="5" t="e">
        <f ca="1">_xlfn.FORMULATEXT(표1[[#This Row],[Q''ty]])</f>
        <v>#N/A</v>
      </c>
      <c r="I4761" s="26"/>
      <c r="J4761" s="26"/>
    </row>
    <row r="4762" spans="1:10" ht="15" hidden="1" customHeight="1" x14ac:dyDescent="0.4">
      <c r="A4762" s="6">
        <v>2026</v>
      </c>
      <c r="B4762" s="6">
        <f t="shared" si="614"/>
        <v>49</v>
      </c>
      <c r="C4762" s="13" t="s">
        <v>23</v>
      </c>
      <c r="D4762" s="2" t="s">
        <v>12</v>
      </c>
      <c r="E4762" s="14" t="s">
        <v>15</v>
      </c>
      <c r="F4762" s="22"/>
      <c r="H4762" s="5" t="e">
        <f ca="1">_xlfn.FORMULATEXT(표1[[#This Row],[Q''ty]])</f>
        <v>#N/A</v>
      </c>
    </row>
    <row r="4763" spans="1:10" ht="15" hidden="1" customHeight="1" x14ac:dyDescent="0.4">
      <c r="A4763" s="6">
        <v>2026</v>
      </c>
      <c r="B4763" s="6">
        <f t="shared" si="614"/>
        <v>49</v>
      </c>
      <c r="C4763" s="13" t="s">
        <v>23</v>
      </c>
      <c r="D4763" s="2" t="s">
        <v>12</v>
      </c>
      <c r="E4763" s="14" t="s">
        <v>16</v>
      </c>
      <c r="F4763" s="22"/>
      <c r="H4763" s="5" t="e">
        <f ca="1">_xlfn.FORMULATEXT(표1[[#This Row],[Q''ty]])</f>
        <v>#N/A</v>
      </c>
    </row>
    <row r="4764" spans="1:10" ht="15" hidden="1" customHeight="1" thickBot="1" x14ac:dyDescent="0.45">
      <c r="A4764" s="15">
        <v>2026</v>
      </c>
      <c r="B4764" s="15">
        <f t="shared" si="614"/>
        <v>49</v>
      </c>
      <c r="C4764" s="16" t="s">
        <v>23</v>
      </c>
      <c r="D4764" s="17" t="s">
        <v>12</v>
      </c>
      <c r="E4764" s="18" t="s">
        <v>17</v>
      </c>
      <c r="F4764" s="23"/>
      <c r="H4764" s="5" t="e">
        <f ca="1">_xlfn.FORMULATEXT(표1[[#This Row],[Q''ty]])</f>
        <v>#N/A</v>
      </c>
    </row>
    <row r="4765" spans="1:10" ht="15" hidden="1" customHeight="1" thickTop="1" x14ac:dyDescent="0.4">
      <c r="A4765" s="9">
        <v>2026</v>
      </c>
      <c r="B4765" s="9">
        <f t="shared" si="614"/>
        <v>49</v>
      </c>
      <c r="C4765" s="10" t="s">
        <v>29</v>
      </c>
      <c r="D4765" s="11" t="s">
        <v>6</v>
      </c>
      <c r="E4765" s="12" t="s">
        <v>7</v>
      </c>
      <c r="F4765" s="21">
        <f t="shared" ref="F4765:F4770" si="615">F4666</f>
        <v>14</v>
      </c>
      <c r="H4765" s="5" t="str">
        <f ca="1">_xlfn.FORMULATEXT(표1[[#This Row],[Q''ty]])</f>
        <v>=F4666</v>
      </c>
    </row>
    <row r="4766" spans="1:10" s="2" customFormat="1" ht="15" hidden="1" customHeight="1" x14ac:dyDescent="0.4">
      <c r="A4766" s="6">
        <v>2026</v>
      </c>
      <c r="B4766" s="6">
        <f t="shared" si="614"/>
        <v>49</v>
      </c>
      <c r="C4766" s="13" t="s">
        <v>24</v>
      </c>
      <c r="D4766" s="2" t="s">
        <v>6</v>
      </c>
      <c r="E4766" s="14" t="s">
        <v>8</v>
      </c>
      <c r="F4766" s="22">
        <f t="shared" si="615"/>
        <v>8</v>
      </c>
      <c r="H4766" s="5" t="str">
        <f ca="1">_xlfn.FORMULATEXT(표1[[#This Row],[Q''ty]])</f>
        <v>=F4667</v>
      </c>
      <c r="I4766" s="26"/>
      <c r="J4766" s="26"/>
    </row>
    <row r="4767" spans="1:10" s="2" customFormat="1" ht="15" hidden="1" customHeight="1" x14ac:dyDescent="0.4">
      <c r="A4767" s="6">
        <v>2026</v>
      </c>
      <c r="B4767" s="6">
        <f t="shared" si="614"/>
        <v>49</v>
      </c>
      <c r="C4767" s="13" t="s">
        <v>24</v>
      </c>
      <c r="D4767" s="2" t="s">
        <v>6</v>
      </c>
      <c r="E4767" s="14" t="s">
        <v>9</v>
      </c>
      <c r="F4767" s="22">
        <f t="shared" si="615"/>
        <v>4</v>
      </c>
      <c r="H4767" s="5" t="str">
        <f ca="1">_xlfn.FORMULATEXT(표1[[#This Row],[Q''ty]])</f>
        <v>=F4668</v>
      </c>
      <c r="I4767" s="26"/>
      <c r="J4767" s="26"/>
    </row>
    <row r="4768" spans="1:10" ht="15" hidden="1" customHeight="1" x14ac:dyDescent="0.4">
      <c r="A4768" s="6">
        <v>2026</v>
      </c>
      <c r="B4768" s="6">
        <f t="shared" si="614"/>
        <v>49</v>
      </c>
      <c r="C4768" s="13" t="s">
        <v>24</v>
      </c>
      <c r="D4768" s="2" t="s">
        <v>6</v>
      </c>
      <c r="E4768" s="14" t="s">
        <v>27</v>
      </c>
      <c r="F4768" s="22">
        <f t="shared" si="615"/>
        <v>3</v>
      </c>
      <c r="H4768" s="5" t="str">
        <f ca="1">_xlfn.FORMULATEXT(표1[[#This Row],[Q''ty]])</f>
        <v>=F4669</v>
      </c>
    </row>
    <row r="4769" spans="1:10" ht="15" hidden="1" customHeight="1" x14ac:dyDescent="0.4">
      <c r="A4769" s="6">
        <v>2026</v>
      </c>
      <c r="B4769" s="6">
        <f t="shared" si="614"/>
        <v>49</v>
      </c>
      <c r="C4769" s="13" t="s">
        <v>24</v>
      </c>
      <c r="D4769" s="2" t="s">
        <v>6</v>
      </c>
      <c r="E4769" s="14" t="s">
        <v>10</v>
      </c>
      <c r="F4769" s="22">
        <f t="shared" si="615"/>
        <v>6</v>
      </c>
      <c r="H4769" s="5" t="str">
        <f ca="1">_xlfn.FORMULATEXT(표1[[#This Row],[Q''ty]])</f>
        <v>=F4670</v>
      </c>
    </row>
    <row r="4770" spans="1:10" ht="15" hidden="1" customHeight="1" x14ac:dyDescent="0.4">
      <c r="A4770" s="6">
        <v>2026</v>
      </c>
      <c r="B4770" s="6">
        <f t="shared" si="614"/>
        <v>49</v>
      </c>
      <c r="C4770" s="13" t="s">
        <v>24</v>
      </c>
      <c r="D4770" s="2" t="s">
        <v>6</v>
      </c>
      <c r="E4770" s="14" t="s">
        <v>11</v>
      </c>
      <c r="F4770" s="22">
        <f t="shared" si="615"/>
        <v>8.8000000000000007</v>
      </c>
      <c r="H4770" s="5" t="str">
        <f ca="1">_xlfn.FORMULATEXT(표1[[#This Row],[Q''ty]])</f>
        <v>=F4671</v>
      </c>
    </row>
    <row r="4771" spans="1:10" ht="15" hidden="1" customHeight="1" x14ac:dyDescent="0.4">
      <c r="A4771" s="6">
        <v>2026</v>
      </c>
      <c r="B4771" s="6">
        <f t="shared" si="614"/>
        <v>49</v>
      </c>
      <c r="C4771" s="13" t="s">
        <v>24</v>
      </c>
      <c r="D4771" s="2" t="s">
        <v>12</v>
      </c>
      <c r="E4771" s="14" t="s">
        <v>13</v>
      </c>
      <c r="F4771" s="22"/>
      <c r="H4771" s="5" t="e">
        <f ca="1">_xlfn.FORMULATEXT(표1[[#This Row],[Q''ty]])</f>
        <v>#N/A</v>
      </c>
    </row>
    <row r="4772" spans="1:10" s="2" customFormat="1" ht="15" hidden="1" customHeight="1" x14ac:dyDescent="0.4">
      <c r="A4772" s="6">
        <v>2026</v>
      </c>
      <c r="B4772" s="6">
        <f t="shared" si="614"/>
        <v>49</v>
      </c>
      <c r="C4772" s="13" t="s">
        <v>24</v>
      </c>
      <c r="D4772" s="2" t="s">
        <v>12</v>
      </c>
      <c r="E4772" s="14" t="s">
        <v>14</v>
      </c>
      <c r="F4772" s="22"/>
      <c r="H4772" s="5" t="e">
        <f ca="1">_xlfn.FORMULATEXT(표1[[#This Row],[Q''ty]])</f>
        <v>#N/A</v>
      </c>
      <c r="I4772" s="26"/>
      <c r="J4772" s="26"/>
    </row>
    <row r="4773" spans="1:10" ht="15" hidden="1" customHeight="1" x14ac:dyDescent="0.4">
      <c r="A4773" s="6">
        <v>2026</v>
      </c>
      <c r="B4773" s="6">
        <f t="shared" si="614"/>
        <v>49</v>
      </c>
      <c r="C4773" s="13" t="s">
        <v>24</v>
      </c>
      <c r="D4773" s="2" t="s">
        <v>12</v>
      </c>
      <c r="E4773" s="14" t="s">
        <v>15</v>
      </c>
      <c r="F4773" s="22"/>
      <c r="H4773" s="5" t="e">
        <f ca="1">_xlfn.FORMULATEXT(표1[[#This Row],[Q''ty]])</f>
        <v>#N/A</v>
      </c>
    </row>
    <row r="4774" spans="1:10" ht="15" hidden="1" customHeight="1" x14ac:dyDescent="0.4">
      <c r="A4774" s="6">
        <v>2026</v>
      </c>
      <c r="B4774" s="6">
        <f t="shared" si="614"/>
        <v>49</v>
      </c>
      <c r="C4774" s="13" t="s">
        <v>24</v>
      </c>
      <c r="D4774" s="2" t="s">
        <v>12</v>
      </c>
      <c r="E4774" s="14" t="s">
        <v>16</v>
      </c>
      <c r="F4774" s="22"/>
      <c r="H4774" s="5" t="e">
        <f ca="1">_xlfn.FORMULATEXT(표1[[#This Row],[Q''ty]])</f>
        <v>#N/A</v>
      </c>
    </row>
    <row r="4775" spans="1:10" ht="15" hidden="1" customHeight="1" thickBot="1" x14ac:dyDescent="0.45">
      <c r="A4775" s="15">
        <v>2026</v>
      </c>
      <c r="B4775" s="15">
        <f t="shared" si="614"/>
        <v>49</v>
      </c>
      <c r="C4775" s="16" t="s">
        <v>24</v>
      </c>
      <c r="D4775" s="17" t="s">
        <v>12</v>
      </c>
      <c r="E4775" s="18" t="s">
        <v>17</v>
      </c>
      <c r="F4775" s="23"/>
      <c r="H4775" s="5" t="e">
        <f ca="1">_xlfn.FORMULATEXT(표1[[#This Row],[Q''ty]])</f>
        <v>#N/A</v>
      </c>
    </row>
    <row r="4776" spans="1:10" ht="15" hidden="1" customHeight="1" thickTop="1" x14ac:dyDescent="0.4">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10" ht="15" hidden="1" customHeight="1" x14ac:dyDescent="0.4">
      <c r="A4777" s="6">
        <v>2026</v>
      </c>
      <c r="B4777" s="6">
        <f t="shared" si="614"/>
        <v>49</v>
      </c>
      <c r="C4777" s="13" t="s">
        <v>18</v>
      </c>
      <c r="D4777" s="2" t="s">
        <v>6</v>
      </c>
      <c r="E4777" s="14" t="str">
        <f t="shared" si="616"/>
        <v>Paint Booth</v>
      </c>
      <c r="F4777" s="22">
        <f t="shared" si="616"/>
        <v>3</v>
      </c>
      <c r="H4777" s="5" t="str">
        <f ca="1">_xlfn.FORMULATEXT(표1[[#This Row],[Q''ty]])</f>
        <v>=F4678</v>
      </c>
    </row>
    <row r="4778" spans="1:10" ht="15" hidden="1" customHeight="1" x14ac:dyDescent="0.4">
      <c r="A4778" s="6">
        <v>2026</v>
      </c>
      <c r="B4778" s="6">
        <f t="shared" si="614"/>
        <v>49</v>
      </c>
      <c r="C4778" s="13" t="s">
        <v>18</v>
      </c>
      <c r="D4778" s="2" t="s">
        <v>6</v>
      </c>
      <c r="E4778" s="14" t="str">
        <f t="shared" si="616"/>
        <v>Paint Line</v>
      </c>
      <c r="F4778" s="22">
        <f t="shared" si="616"/>
        <v>2</v>
      </c>
      <c r="H4778" s="5" t="str">
        <f ca="1">_xlfn.FORMULATEXT(표1[[#This Row],[Q''ty]])</f>
        <v>=F4679</v>
      </c>
    </row>
    <row r="4779" spans="1:10" ht="15" hidden="1" customHeight="1" x14ac:dyDescent="0.4">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10" ht="15" hidden="1" customHeight="1" x14ac:dyDescent="0.4">
      <c r="A4780" s="6">
        <v>2026</v>
      </c>
      <c r="B4780" s="6">
        <f t="shared" si="614"/>
        <v>49</v>
      </c>
      <c r="C4780" s="13" t="s">
        <v>18</v>
      </c>
      <c r="D4780" s="2" t="s">
        <v>6</v>
      </c>
      <c r="E4780" s="14" t="str">
        <f t="shared" si="616"/>
        <v>L/W Machine</v>
      </c>
      <c r="F4780" s="22">
        <f t="shared" si="616"/>
        <v>2</v>
      </c>
      <c r="H4780" s="5" t="str">
        <f ca="1">_xlfn.FORMULATEXT(표1[[#This Row],[Q''ty]])</f>
        <v>=F4681</v>
      </c>
    </row>
    <row r="4781" spans="1:10" ht="15" hidden="1" customHeight="1" x14ac:dyDescent="0.4">
      <c r="A4781" s="6">
        <v>2026</v>
      </c>
      <c r="B4781" s="6">
        <f t="shared" si="614"/>
        <v>49</v>
      </c>
      <c r="C4781" s="13" t="s">
        <v>18</v>
      </c>
      <c r="D4781" s="2" t="s">
        <v>6</v>
      </c>
      <c r="E4781" s="14" t="str">
        <f t="shared" si="616"/>
        <v>C/W Machine</v>
      </c>
      <c r="F4781" s="22">
        <f t="shared" si="616"/>
        <v>3</v>
      </c>
      <c r="H4781" s="5" t="str">
        <f ca="1">_xlfn.FORMULATEXT(표1[[#This Row],[Q''ty]])</f>
        <v>=F4682</v>
      </c>
    </row>
    <row r="4782" spans="1:10" ht="15" hidden="1" customHeight="1" x14ac:dyDescent="0.4">
      <c r="A4782" s="6">
        <v>2026</v>
      </c>
      <c r="B4782" s="6">
        <f t="shared" si="614"/>
        <v>49</v>
      </c>
      <c r="C4782" s="13" t="s">
        <v>18</v>
      </c>
      <c r="D4782" s="2" t="s">
        <v>12</v>
      </c>
      <c r="E4782" s="14" t="str">
        <f t="shared" ref="E4782:E4797" si="617">E4683</f>
        <v>BT GT</v>
      </c>
      <c r="F4782" s="22"/>
      <c r="H4782" s="5" t="e">
        <f ca="1">_xlfn.FORMULATEXT(표1[[#This Row],[Q''ty]])</f>
        <v>#N/A</v>
      </c>
    </row>
    <row r="4783" spans="1:10" ht="15" hidden="1" customHeight="1" x14ac:dyDescent="0.4">
      <c r="A4783" s="6">
        <v>2026</v>
      </c>
      <c r="B4783" s="6">
        <f t="shared" si="614"/>
        <v>49</v>
      </c>
      <c r="C4783" s="13" t="s">
        <v>18</v>
      </c>
      <c r="D4783" s="2" t="s">
        <v>12</v>
      </c>
      <c r="E4783" s="14" t="str">
        <f t="shared" si="617"/>
        <v>WT GT</v>
      </c>
      <c r="F4783" s="22"/>
      <c r="H4783" s="5" t="e">
        <f ca="1">_xlfn.FORMULATEXT(표1[[#This Row],[Q''ty]])</f>
        <v>#N/A</v>
      </c>
    </row>
    <row r="4784" spans="1:10" ht="15" hidden="1" customHeight="1" x14ac:dyDescent="0.4">
      <c r="A4784" s="6">
        <v>2026</v>
      </c>
      <c r="B4784" s="6">
        <f t="shared" si="614"/>
        <v>49</v>
      </c>
      <c r="C4784" s="13" t="s">
        <v>18</v>
      </c>
      <c r="D4784" s="2" t="s">
        <v>12</v>
      </c>
      <c r="E4784" s="14" t="str">
        <f t="shared" si="617"/>
        <v>Bending</v>
      </c>
      <c r="F4784" s="22"/>
      <c r="H4784" s="5" t="e">
        <f ca="1">_xlfn.FORMULATEXT(표1[[#This Row],[Q''ty]])</f>
        <v>#N/A</v>
      </c>
    </row>
    <row r="4785" spans="1:8" ht="15" hidden="1" customHeight="1" x14ac:dyDescent="0.4">
      <c r="A4785" s="6">
        <v>2026</v>
      </c>
      <c r="B4785" s="6">
        <f t="shared" si="614"/>
        <v>49</v>
      </c>
      <c r="C4785" s="13" t="s">
        <v>18</v>
      </c>
      <c r="D4785" s="2" t="s">
        <v>12</v>
      </c>
      <c r="E4785" s="14" t="str">
        <f t="shared" si="617"/>
        <v>L/W</v>
      </c>
      <c r="F4785" s="22"/>
      <c r="H4785" s="5" t="e">
        <f ca="1">_xlfn.FORMULATEXT(표1[[#This Row],[Q''ty]])</f>
        <v>#N/A</v>
      </c>
    </row>
    <row r="4786" spans="1:8" ht="15" hidden="1" customHeight="1" thickBot="1" x14ac:dyDescent="0.45">
      <c r="A4786" s="15">
        <v>2026</v>
      </c>
      <c r="B4786" s="15">
        <f t="shared" si="614"/>
        <v>49</v>
      </c>
      <c r="C4786" s="16" t="s">
        <v>18</v>
      </c>
      <c r="D4786" s="17" t="s">
        <v>12</v>
      </c>
      <c r="E4786" s="18" t="str">
        <f t="shared" si="617"/>
        <v>C/W</v>
      </c>
      <c r="F4786" s="23"/>
      <c r="H4786" s="5" t="e">
        <f ca="1">_xlfn.FORMULATEXT(표1[[#This Row],[Q''ty]])</f>
        <v>#N/A</v>
      </c>
    </row>
    <row r="4787" spans="1:8" ht="15" hidden="1" customHeight="1" thickTop="1" x14ac:dyDescent="0.4">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hidden="1" customHeight="1" x14ac:dyDescent="0.4">
      <c r="A4788" s="6">
        <v>2026</v>
      </c>
      <c r="B4788" s="6">
        <f t="shared" si="614"/>
        <v>49</v>
      </c>
      <c r="C4788" s="13" t="s">
        <v>19</v>
      </c>
      <c r="D4788" s="2" t="s">
        <v>6</v>
      </c>
      <c r="E4788" s="14" t="str">
        <f t="shared" si="617"/>
        <v>Paint Booth</v>
      </c>
      <c r="F4788" s="22">
        <f t="shared" si="618"/>
        <v>22</v>
      </c>
      <c r="H4788" s="5" t="str">
        <f ca="1">_xlfn.FORMULATEXT(표1[[#This Row],[Q''ty]])</f>
        <v>=F4689</v>
      </c>
    </row>
    <row r="4789" spans="1:8" ht="15" hidden="1" customHeight="1" x14ac:dyDescent="0.4">
      <c r="A4789" s="6">
        <v>2026</v>
      </c>
      <c r="B4789" s="6">
        <f t="shared" si="614"/>
        <v>49</v>
      </c>
      <c r="C4789" s="13" t="s">
        <v>19</v>
      </c>
      <c r="D4789" s="2" t="s">
        <v>6</v>
      </c>
      <c r="E4789" s="14" t="str">
        <f t="shared" si="617"/>
        <v>Paint Line</v>
      </c>
      <c r="F4789" s="22">
        <f t="shared" si="618"/>
        <v>6</v>
      </c>
      <c r="H4789" s="5" t="str">
        <f ca="1">_xlfn.FORMULATEXT(표1[[#This Row],[Q''ty]])</f>
        <v>=F4690</v>
      </c>
    </row>
    <row r="4790" spans="1:8" ht="15" hidden="1" customHeight="1" x14ac:dyDescent="0.4">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hidden="1" customHeight="1" x14ac:dyDescent="0.4">
      <c r="A4791" s="6">
        <v>2026</v>
      </c>
      <c r="B4791" s="6">
        <f t="shared" si="614"/>
        <v>49</v>
      </c>
      <c r="C4791" s="13" t="s">
        <v>19</v>
      </c>
      <c r="D4791" s="2" t="s">
        <v>6</v>
      </c>
      <c r="E4791" s="14" t="str">
        <f t="shared" si="617"/>
        <v>L/W Machine</v>
      </c>
      <c r="F4791" s="22">
        <f t="shared" si="618"/>
        <v>10</v>
      </c>
      <c r="H4791" s="5" t="str">
        <f ca="1">_xlfn.FORMULATEXT(표1[[#This Row],[Q''ty]])</f>
        <v>=F4692</v>
      </c>
    </row>
    <row r="4792" spans="1:8" ht="15" hidden="1" customHeight="1" x14ac:dyDescent="0.4">
      <c r="A4792" s="6">
        <v>2026</v>
      </c>
      <c r="B4792" s="6">
        <f t="shared" si="614"/>
        <v>49</v>
      </c>
      <c r="C4792" s="13" t="s">
        <v>19</v>
      </c>
      <c r="D4792" s="2" t="s">
        <v>6</v>
      </c>
      <c r="E4792" s="14" t="str">
        <f t="shared" si="617"/>
        <v>C/W Machine</v>
      </c>
      <c r="F4792" s="22">
        <f t="shared" si="618"/>
        <v>12</v>
      </c>
      <c r="H4792" s="5" t="str">
        <f ca="1">_xlfn.FORMULATEXT(표1[[#This Row],[Q''ty]])</f>
        <v>=F4693</v>
      </c>
    </row>
    <row r="4793" spans="1:8" ht="15" hidden="1" customHeight="1" x14ac:dyDescent="0.4">
      <c r="A4793" s="6">
        <v>2026</v>
      </c>
      <c r="B4793" s="6">
        <f t="shared" si="614"/>
        <v>49</v>
      </c>
      <c r="C4793" s="13" t="s">
        <v>19</v>
      </c>
      <c r="D4793" s="2" t="s">
        <v>12</v>
      </c>
      <c r="E4793" s="14" t="str">
        <f t="shared" si="617"/>
        <v>BT GT</v>
      </c>
      <c r="F4793" s="22"/>
      <c r="H4793" s="5" t="e">
        <f ca="1">_xlfn.FORMULATEXT(표1[[#This Row],[Q''ty]])</f>
        <v>#N/A</v>
      </c>
    </row>
    <row r="4794" spans="1:8" ht="15" hidden="1" customHeight="1" x14ac:dyDescent="0.4">
      <c r="A4794" s="6">
        <v>2026</v>
      </c>
      <c r="B4794" s="6">
        <f t="shared" si="614"/>
        <v>49</v>
      </c>
      <c r="C4794" s="13" t="s">
        <v>19</v>
      </c>
      <c r="D4794" s="2" t="s">
        <v>12</v>
      </c>
      <c r="E4794" s="14" t="str">
        <f t="shared" si="617"/>
        <v>WT GT</v>
      </c>
      <c r="F4794" s="22"/>
      <c r="H4794" s="5" t="e">
        <f ca="1">_xlfn.FORMULATEXT(표1[[#This Row],[Q''ty]])</f>
        <v>#N/A</v>
      </c>
    </row>
    <row r="4795" spans="1:8" ht="15" hidden="1" customHeight="1" x14ac:dyDescent="0.4">
      <c r="A4795" s="6">
        <v>2026</v>
      </c>
      <c r="B4795" s="6">
        <f t="shared" si="614"/>
        <v>49</v>
      </c>
      <c r="C4795" s="13" t="s">
        <v>19</v>
      </c>
      <c r="D4795" s="2" t="s">
        <v>12</v>
      </c>
      <c r="E4795" s="14" t="str">
        <f t="shared" si="617"/>
        <v>Bending</v>
      </c>
      <c r="F4795" s="22"/>
      <c r="H4795" s="5" t="e">
        <f ca="1">_xlfn.FORMULATEXT(표1[[#This Row],[Q''ty]])</f>
        <v>#N/A</v>
      </c>
    </row>
    <row r="4796" spans="1:8" ht="15" hidden="1" customHeight="1" x14ac:dyDescent="0.4">
      <c r="A4796" s="6">
        <v>2026</v>
      </c>
      <c r="B4796" s="6">
        <f t="shared" si="614"/>
        <v>49</v>
      </c>
      <c r="C4796" s="13" t="s">
        <v>19</v>
      </c>
      <c r="D4796" s="2" t="s">
        <v>12</v>
      </c>
      <c r="E4796" s="14" t="str">
        <f t="shared" si="617"/>
        <v>L/W</v>
      </c>
      <c r="F4796" s="22"/>
      <c r="H4796" s="5" t="e">
        <f ca="1">_xlfn.FORMULATEXT(표1[[#This Row],[Q''ty]])</f>
        <v>#N/A</v>
      </c>
    </row>
    <row r="4797" spans="1:8" ht="15" hidden="1" customHeight="1" thickBot="1" x14ac:dyDescent="0.45">
      <c r="A4797" s="15">
        <v>2026</v>
      </c>
      <c r="B4797" s="15">
        <f t="shared" si="614"/>
        <v>49</v>
      </c>
      <c r="C4797" s="16" t="s">
        <v>19</v>
      </c>
      <c r="D4797" s="17" t="s">
        <v>12</v>
      </c>
      <c r="E4797" s="18" t="str">
        <f t="shared" si="617"/>
        <v>C/W</v>
      </c>
      <c r="F4797" s="23"/>
      <c r="H4797" s="5" t="e">
        <f ca="1">_xlfn.FORMULATEXT(표1[[#This Row],[Q''ty]])</f>
        <v>#N/A</v>
      </c>
    </row>
    <row r="4798" spans="1:8" ht="15" hidden="1" customHeight="1" thickTop="1" x14ac:dyDescent="0.4">
      <c r="A4798" s="6">
        <v>2026</v>
      </c>
      <c r="B4798" s="6">
        <f t="shared" si="614"/>
        <v>49</v>
      </c>
      <c r="C4798" s="13" t="s">
        <v>25</v>
      </c>
      <c r="D4798" s="2" t="s">
        <v>6</v>
      </c>
      <c r="E4798" s="14" t="s">
        <v>7</v>
      </c>
      <c r="F4798" s="22">
        <f t="shared" ref="F4798:F4803" si="619">F4699</f>
        <v>3</v>
      </c>
      <c r="H4798" s="5" t="str">
        <f ca="1">_xlfn.FORMULATEXT(표1[[#This Row],[Q''ty]])</f>
        <v>=F4699</v>
      </c>
    </row>
    <row r="4799" spans="1:8" ht="15" hidden="1" customHeight="1" x14ac:dyDescent="0.4">
      <c r="A4799" s="6">
        <v>2026</v>
      </c>
      <c r="B4799" s="6">
        <f t="shared" si="614"/>
        <v>49</v>
      </c>
      <c r="C4799" s="13" t="s">
        <v>25</v>
      </c>
      <c r="D4799" s="2" t="s">
        <v>6</v>
      </c>
      <c r="E4799" s="14" t="s">
        <v>8</v>
      </c>
      <c r="F4799" s="22">
        <f t="shared" si="619"/>
        <v>3</v>
      </c>
      <c r="H4799" s="5" t="str">
        <f ca="1">_xlfn.FORMULATEXT(표1[[#This Row],[Q''ty]])</f>
        <v>=F4700</v>
      </c>
    </row>
    <row r="4800" spans="1:8" ht="15" hidden="1" customHeight="1" x14ac:dyDescent="0.4">
      <c r="A4800" s="6">
        <v>2026</v>
      </c>
      <c r="B4800" s="6">
        <f t="shared" si="614"/>
        <v>49</v>
      </c>
      <c r="C4800" s="13" t="s">
        <v>25</v>
      </c>
      <c r="D4800" s="2" t="s">
        <v>6</v>
      </c>
      <c r="E4800" s="14" t="s">
        <v>9</v>
      </c>
      <c r="F4800" s="22">
        <f t="shared" si="619"/>
        <v>2</v>
      </c>
      <c r="H4800" s="5" t="str">
        <f ca="1">_xlfn.FORMULATEXT(표1[[#This Row],[Q''ty]])</f>
        <v>=F4701</v>
      </c>
    </row>
    <row r="4801" spans="1:8" ht="15" hidden="1" customHeight="1" x14ac:dyDescent="0.4">
      <c r="A4801" s="6">
        <v>2026</v>
      </c>
      <c r="B4801" s="6">
        <f t="shared" si="614"/>
        <v>49</v>
      </c>
      <c r="C4801" s="13" t="s">
        <v>25</v>
      </c>
      <c r="D4801" s="2" t="s">
        <v>6</v>
      </c>
      <c r="E4801" s="14" t="s">
        <v>27</v>
      </c>
      <c r="F4801" s="22">
        <f t="shared" si="619"/>
        <v>2</v>
      </c>
      <c r="H4801" s="5" t="str">
        <f ca="1">_xlfn.FORMULATEXT(표1[[#This Row],[Q''ty]])</f>
        <v>=F4702</v>
      </c>
    </row>
    <row r="4802" spans="1:8" ht="15" hidden="1" customHeight="1" x14ac:dyDescent="0.4">
      <c r="A4802" s="6">
        <v>2026</v>
      </c>
      <c r="B4802" s="6">
        <f t="shared" si="614"/>
        <v>49</v>
      </c>
      <c r="C4802" s="13" t="s">
        <v>25</v>
      </c>
      <c r="D4802" s="2" t="s">
        <v>6</v>
      </c>
      <c r="E4802" s="14" t="s">
        <v>10</v>
      </c>
      <c r="F4802" s="22">
        <f t="shared" si="619"/>
        <v>3</v>
      </c>
      <c r="H4802" s="5" t="str">
        <f ca="1">_xlfn.FORMULATEXT(표1[[#This Row],[Q''ty]])</f>
        <v>=F4703</v>
      </c>
    </row>
    <row r="4803" spans="1:8" ht="15" hidden="1" customHeight="1" x14ac:dyDescent="0.4">
      <c r="A4803" s="6">
        <v>2026</v>
      </c>
      <c r="B4803" s="6">
        <f t="shared" si="614"/>
        <v>49</v>
      </c>
      <c r="C4803" s="13" t="s">
        <v>25</v>
      </c>
      <c r="D4803" s="2" t="s">
        <v>6</v>
      </c>
      <c r="E4803" s="14" t="s">
        <v>11</v>
      </c>
      <c r="F4803" s="22">
        <f t="shared" si="619"/>
        <v>4</v>
      </c>
      <c r="H4803" s="5" t="str">
        <f ca="1">_xlfn.FORMULATEXT(표1[[#This Row],[Q''ty]])</f>
        <v>=F4704</v>
      </c>
    </row>
    <row r="4804" spans="1:8" ht="15" hidden="1" customHeight="1" x14ac:dyDescent="0.4">
      <c r="A4804" s="6">
        <v>2026</v>
      </c>
      <c r="B4804" s="6">
        <f t="shared" si="614"/>
        <v>49</v>
      </c>
      <c r="C4804" s="13" t="s">
        <v>25</v>
      </c>
      <c r="D4804" s="2" t="s">
        <v>12</v>
      </c>
      <c r="E4804" s="14" t="s">
        <v>13</v>
      </c>
      <c r="F4804" s="22"/>
      <c r="H4804" s="5" t="e">
        <f ca="1">_xlfn.FORMULATEXT(표1[[#This Row],[Q''ty]])</f>
        <v>#N/A</v>
      </c>
    </row>
    <row r="4805" spans="1:8" ht="15" hidden="1" customHeight="1" x14ac:dyDescent="0.4">
      <c r="A4805" s="6">
        <v>2026</v>
      </c>
      <c r="B4805" s="6">
        <f t="shared" si="614"/>
        <v>49</v>
      </c>
      <c r="C4805" s="13" t="s">
        <v>25</v>
      </c>
      <c r="D4805" s="2" t="s">
        <v>12</v>
      </c>
      <c r="E4805" s="14" t="s">
        <v>14</v>
      </c>
      <c r="F4805" s="22"/>
      <c r="H4805" s="5" t="e">
        <f ca="1">_xlfn.FORMULATEXT(표1[[#This Row],[Q''ty]])</f>
        <v>#N/A</v>
      </c>
    </row>
    <row r="4806" spans="1:8" ht="15" hidden="1" customHeight="1" x14ac:dyDescent="0.4">
      <c r="A4806" s="6">
        <v>2026</v>
      </c>
      <c r="B4806" s="6">
        <f t="shared" si="614"/>
        <v>49</v>
      </c>
      <c r="C4806" s="13" t="s">
        <v>25</v>
      </c>
      <c r="D4806" s="2" t="s">
        <v>12</v>
      </c>
      <c r="E4806" s="14" t="s">
        <v>15</v>
      </c>
      <c r="F4806" s="22"/>
      <c r="H4806" s="5" t="e">
        <f ca="1">_xlfn.FORMULATEXT(표1[[#This Row],[Q''ty]])</f>
        <v>#N/A</v>
      </c>
    </row>
    <row r="4807" spans="1:8" ht="15" hidden="1" customHeight="1" x14ac:dyDescent="0.4">
      <c r="A4807" s="6">
        <v>2026</v>
      </c>
      <c r="B4807" s="6">
        <f t="shared" si="614"/>
        <v>49</v>
      </c>
      <c r="C4807" s="13" t="s">
        <v>25</v>
      </c>
      <c r="D4807" s="2" t="s">
        <v>12</v>
      </c>
      <c r="E4807" s="14" t="s">
        <v>16</v>
      </c>
      <c r="F4807" s="22"/>
      <c r="H4807" s="5" t="e">
        <f ca="1">_xlfn.FORMULATEXT(표1[[#This Row],[Q''ty]])</f>
        <v>#N/A</v>
      </c>
    </row>
    <row r="4808" spans="1:8" ht="15" hidden="1" customHeight="1" thickBot="1" x14ac:dyDescent="0.45">
      <c r="A4808" s="15">
        <v>2026</v>
      </c>
      <c r="B4808" s="15">
        <f t="shared" si="614"/>
        <v>49</v>
      </c>
      <c r="C4808" s="16" t="s">
        <v>25</v>
      </c>
      <c r="D4808" s="17" t="s">
        <v>12</v>
      </c>
      <c r="E4808" s="18" t="s">
        <v>17</v>
      </c>
      <c r="F4808" s="23"/>
      <c r="H4808" s="5" t="e">
        <f ca="1">_xlfn.FORMULATEXT(표1[[#This Row],[Q''ty]])</f>
        <v>#N/A</v>
      </c>
    </row>
    <row r="4809" spans="1:8" ht="15" hidden="1" customHeight="1" thickTop="1" x14ac:dyDescent="0.4">
      <c r="A4809" s="6">
        <v>2026</v>
      </c>
      <c r="B4809" s="6">
        <f t="shared" si="614"/>
        <v>49</v>
      </c>
      <c r="C4809" s="13" t="s">
        <v>26</v>
      </c>
      <c r="D4809" s="2" t="s">
        <v>6</v>
      </c>
      <c r="E4809" s="14" t="s">
        <v>7</v>
      </c>
      <c r="F4809" s="22">
        <f t="shared" ref="F4809:F4814" si="620">F4710</f>
        <v>6</v>
      </c>
      <c r="H4809" s="5" t="str">
        <f ca="1">_xlfn.FORMULATEXT(표1[[#This Row],[Q''ty]])</f>
        <v>=F4710</v>
      </c>
    </row>
    <row r="4810" spans="1:8" ht="15" hidden="1" customHeight="1" x14ac:dyDescent="0.4">
      <c r="A4810" s="6">
        <v>2026</v>
      </c>
      <c r="B4810" s="6">
        <f t="shared" si="614"/>
        <v>49</v>
      </c>
      <c r="C4810" s="13" t="s">
        <v>26</v>
      </c>
      <c r="D4810" s="2" t="s">
        <v>6</v>
      </c>
      <c r="E4810" s="14" t="s">
        <v>8</v>
      </c>
      <c r="F4810" s="22">
        <f t="shared" si="620"/>
        <v>4</v>
      </c>
      <c r="H4810" s="5" t="str">
        <f ca="1">_xlfn.FORMULATEXT(표1[[#This Row],[Q''ty]])</f>
        <v>=F4711</v>
      </c>
    </row>
    <row r="4811" spans="1:8" ht="15" hidden="1" customHeight="1" x14ac:dyDescent="0.4">
      <c r="A4811" s="6">
        <v>2026</v>
      </c>
      <c r="B4811" s="6">
        <f t="shared" si="614"/>
        <v>49</v>
      </c>
      <c r="C4811" s="13" t="s">
        <v>26</v>
      </c>
      <c r="D4811" s="2" t="s">
        <v>6</v>
      </c>
      <c r="E4811" s="14" t="s">
        <v>9</v>
      </c>
      <c r="F4811" s="22">
        <f t="shared" si="620"/>
        <v>2</v>
      </c>
      <c r="H4811" s="5" t="str">
        <f ca="1">_xlfn.FORMULATEXT(표1[[#This Row],[Q''ty]])</f>
        <v>=F4712</v>
      </c>
    </row>
    <row r="4812" spans="1:8" ht="15" hidden="1" customHeight="1" x14ac:dyDescent="0.4">
      <c r="A4812" s="6">
        <v>2026</v>
      </c>
      <c r="B4812" s="6">
        <f t="shared" si="614"/>
        <v>49</v>
      </c>
      <c r="C4812" s="13" t="s">
        <v>26</v>
      </c>
      <c r="D4812" s="2" t="s">
        <v>6</v>
      </c>
      <c r="E4812" s="14" t="s">
        <v>27</v>
      </c>
      <c r="F4812" s="22">
        <f t="shared" si="620"/>
        <v>3</v>
      </c>
      <c r="H4812" s="5" t="str">
        <f ca="1">_xlfn.FORMULATEXT(표1[[#This Row],[Q''ty]])</f>
        <v>=F4713</v>
      </c>
    </row>
    <row r="4813" spans="1:8" ht="15" hidden="1" customHeight="1" x14ac:dyDescent="0.4">
      <c r="A4813" s="6">
        <v>2026</v>
      </c>
      <c r="B4813" s="6">
        <f t="shared" si="614"/>
        <v>49</v>
      </c>
      <c r="C4813" s="13" t="s">
        <v>26</v>
      </c>
      <c r="D4813" s="2" t="s">
        <v>6</v>
      </c>
      <c r="E4813" s="14" t="s">
        <v>10</v>
      </c>
      <c r="F4813" s="22">
        <f t="shared" si="620"/>
        <v>4</v>
      </c>
      <c r="H4813" s="5" t="str">
        <f ca="1">_xlfn.FORMULATEXT(표1[[#This Row],[Q''ty]])</f>
        <v>=F4714</v>
      </c>
    </row>
    <row r="4814" spans="1:8" ht="15" hidden="1" customHeight="1" x14ac:dyDescent="0.4">
      <c r="A4814" s="6">
        <v>2026</v>
      </c>
      <c r="B4814" s="6">
        <f t="shared" si="614"/>
        <v>49</v>
      </c>
      <c r="C4814" s="13" t="s">
        <v>26</v>
      </c>
      <c r="D4814" s="2" t="s">
        <v>6</v>
      </c>
      <c r="E4814" s="14" t="s">
        <v>11</v>
      </c>
      <c r="F4814" s="22">
        <f t="shared" si="620"/>
        <v>6</v>
      </c>
      <c r="H4814" s="5" t="str">
        <f ca="1">_xlfn.FORMULATEXT(표1[[#This Row],[Q''ty]])</f>
        <v>=F4715</v>
      </c>
    </row>
    <row r="4815" spans="1:8" ht="15" hidden="1" customHeight="1" x14ac:dyDescent="0.4">
      <c r="A4815" s="6">
        <v>2026</v>
      </c>
      <c r="B4815" s="6">
        <f t="shared" si="614"/>
        <v>49</v>
      </c>
      <c r="C4815" s="13" t="s">
        <v>26</v>
      </c>
      <c r="D4815" s="2" t="s">
        <v>12</v>
      </c>
      <c r="E4815" s="14" t="str">
        <f t="shared" ref="E4815:E4852" si="621">E4716</f>
        <v>BT GT</v>
      </c>
      <c r="F4815" s="22"/>
      <c r="H4815" s="5" t="e">
        <f ca="1">_xlfn.FORMULATEXT(표1[[#This Row],[Q''ty]])</f>
        <v>#N/A</v>
      </c>
    </row>
    <row r="4816" spans="1:8" ht="15" hidden="1" customHeight="1" x14ac:dyDescent="0.4">
      <c r="A4816" s="6">
        <v>2026</v>
      </c>
      <c r="B4816" s="6">
        <f t="shared" si="614"/>
        <v>49</v>
      </c>
      <c r="C4816" s="13" t="s">
        <v>26</v>
      </c>
      <c r="D4816" s="2" t="s">
        <v>12</v>
      </c>
      <c r="E4816" s="14" t="str">
        <f t="shared" si="621"/>
        <v>WT GT</v>
      </c>
      <c r="F4816" s="22"/>
      <c r="H4816" s="5" t="e">
        <f ca="1">_xlfn.FORMULATEXT(표1[[#This Row],[Q''ty]])</f>
        <v>#N/A</v>
      </c>
    </row>
    <row r="4817" spans="1:8" ht="15" hidden="1" customHeight="1" x14ac:dyDescent="0.4">
      <c r="A4817" s="6">
        <v>2026</v>
      </c>
      <c r="B4817" s="6">
        <f t="shared" si="614"/>
        <v>49</v>
      </c>
      <c r="C4817" s="13" t="s">
        <v>26</v>
      </c>
      <c r="D4817" s="2" t="s">
        <v>12</v>
      </c>
      <c r="E4817" s="14" t="str">
        <f t="shared" si="621"/>
        <v>Bending</v>
      </c>
      <c r="F4817" s="22"/>
      <c r="H4817" s="5" t="e">
        <f ca="1">_xlfn.FORMULATEXT(표1[[#This Row],[Q''ty]])</f>
        <v>#N/A</v>
      </c>
    </row>
    <row r="4818" spans="1:8" ht="15" hidden="1" customHeight="1" x14ac:dyDescent="0.4">
      <c r="A4818" s="6">
        <v>2026</v>
      </c>
      <c r="B4818" s="6">
        <f t="shared" si="614"/>
        <v>49</v>
      </c>
      <c r="C4818" s="13" t="s">
        <v>26</v>
      </c>
      <c r="D4818" s="2" t="s">
        <v>12</v>
      </c>
      <c r="E4818" s="14" t="str">
        <f t="shared" si="621"/>
        <v>L/W</v>
      </c>
      <c r="F4818" s="22"/>
      <c r="H4818" s="5" t="e">
        <f ca="1">_xlfn.FORMULATEXT(표1[[#This Row],[Q''ty]])</f>
        <v>#N/A</v>
      </c>
    </row>
    <row r="4819" spans="1:8" ht="15" hidden="1" customHeight="1" thickBot="1" x14ac:dyDescent="0.45">
      <c r="A4819" s="15">
        <v>2026</v>
      </c>
      <c r="B4819" s="15">
        <f t="shared" ref="B4819:B4852" si="622">B4720+1</f>
        <v>49</v>
      </c>
      <c r="C4819" s="16" t="s">
        <v>26</v>
      </c>
      <c r="D4819" s="17" t="s">
        <v>12</v>
      </c>
      <c r="E4819" s="18" t="str">
        <f t="shared" si="621"/>
        <v>C/W</v>
      </c>
      <c r="F4819" s="23"/>
      <c r="H4819" s="5" t="e">
        <f ca="1">_xlfn.FORMULATEXT(표1[[#This Row],[Q''ty]])</f>
        <v>#N/A</v>
      </c>
    </row>
    <row r="4820" spans="1:8" ht="15" hidden="1" customHeight="1" thickTop="1" x14ac:dyDescent="0.4">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hidden="1" customHeight="1" x14ac:dyDescent="0.4">
      <c r="A4821" s="6">
        <v>2026</v>
      </c>
      <c r="B4821" s="6">
        <f t="shared" si="622"/>
        <v>49</v>
      </c>
      <c r="C4821" s="13" t="s">
        <v>20</v>
      </c>
      <c r="D4821" s="2" t="s">
        <v>6</v>
      </c>
      <c r="E4821" s="14" t="str">
        <f t="shared" si="621"/>
        <v>Paint Booth</v>
      </c>
      <c r="F4821" s="22">
        <f t="shared" si="623"/>
        <v>16</v>
      </c>
      <c r="H4821" s="5" t="str">
        <f ca="1">_xlfn.FORMULATEXT(표1[[#This Row],[Q''ty]])</f>
        <v>=F4722</v>
      </c>
    </row>
    <row r="4822" spans="1:8" ht="15" hidden="1" customHeight="1" x14ac:dyDescent="0.4">
      <c r="A4822" s="6">
        <v>2026</v>
      </c>
      <c r="B4822" s="6">
        <f t="shared" si="622"/>
        <v>49</v>
      </c>
      <c r="C4822" s="13" t="s">
        <v>20</v>
      </c>
      <c r="D4822" s="2" t="s">
        <v>6</v>
      </c>
      <c r="E4822" s="14" t="str">
        <f t="shared" si="621"/>
        <v>Paint Line</v>
      </c>
      <c r="F4822" s="22">
        <f t="shared" si="623"/>
        <v>8</v>
      </c>
      <c r="H4822" s="5" t="str">
        <f ca="1">_xlfn.FORMULATEXT(표1[[#This Row],[Q''ty]])</f>
        <v>=F4723</v>
      </c>
    </row>
    <row r="4823" spans="1:8" ht="15" hidden="1" customHeight="1" x14ac:dyDescent="0.4">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hidden="1" customHeight="1" x14ac:dyDescent="0.4">
      <c r="A4824" s="6">
        <v>2026</v>
      </c>
      <c r="B4824" s="6">
        <f t="shared" si="622"/>
        <v>49</v>
      </c>
      <c r="C4824" s="13" t="s">
        <v>20</v>
      </c>
      <c r="D4824" s="2" t="s">
        <v>6</v>
      </c>
      <c r="E4824" s="14" t="str">
        <f t="shared" si="621"/>
        <v>L/W Machine</v>
      </c>
      <c r="F4824" s="22">
        <f t="shared" si="623"/>
        <v>11</v>
      </c>
      <c r="H4824" s="5" t="str">
        <f ca="1">_xlfn.FORMULATEXT(표1[[#This Row],[Q''ty]])</f>
        <v>=F4725</v>
      </c>
    </row>
    <row r="4825" spans="1:8" ht="15" hidden="1" customHeight="1" x14ac:dyDescent="0.4">
      <c r="A4825" s="6">
        <v>2026</v>
      </c>
      <c r="B4825" s="6">
        <f t="shared" si="622"/>
        <v>49</v>
      </c>
      <c r="C4825" s="13" t="s">
        <v>20</v>
      </c>
      <c r="D4825" s="2" t="s">
        <v>6</v>
      </c>
      <c r="E4825" s="14" t="str">
        <f t="shared" si="621"/>
        <v>C/W Machine</v>
      </c>
      <c r="F4825" s="22">
        <f t="shared" si="623"/>
        <v>15</v>
      </c>
      <c r="H4825" s="5" t="str">
        <f ca="1">_xlfn.FORMULATEXT(표1[[#This Row],[Q''ty]])</f>
        <v>=F4726</v>
      </c>
    </row>
    <row r="4826" spans="1:8" ht="15" hidden="1" customHeight="1" x14ac:dyDescent="0.4">
      <c r="A4826" s="6">
        <v>2026</v>
      </c>
      <c r="B4826" s="6">
        <f t="shared" si="622"/>
        <v>49</v>
      </c>
      <c r="C4826" s="13" t="s">
        <v>20</v>
      </c>
      <c r="D4826" s="2" t="s">
        <v>12</v>
      </c>
      <c r="E4826" s="14" t="str">
        <f t="shared" si="621"/>
        <v>BT GT</v>
      </c>
      <c r="F4826" s="22"/>
      <c r="H4826" s="5" t="e">
        <f ca="1">_xlfn.FORMULATEXT(표1[[#This Row],[Q''ty]])</f>
        <v>#N/A</v>
      </c>
    </row>
    <row r="4827" spans="1:8" ht="15" hidden="1" customHeight="1" x14ac:dyDescent="0.4">
      <c r="A4827" s="6">
        <v>2026</v>
      </c>
      <c r="B4827" s="6">
        <f t="shared" si="622"/>
        <v>49</v>
      </c>
      <c r="C4827" s="13" t="s">
        <v>20</v>
      </c>
      <c r="D4827" s="2" t="s">
        <v>12</v>
      </c>
      <c r="E4827" s="14" t="str">
        <f t="shared" si="621"/>
        <v>WT GT</v>
      </c>
      <c r="F4827" s="22"/>
      <c r="H4827" s="5" t="e">
        <f ca="1">_xlfn.FORMULATEXT(표1[[#This Row],[Q''ty]])</f>
        <v>#N/A</v>
      </c>
    </row>
    <row r="4828" spans="1:8" ht="15" hidden="1" customHeight="1" x14ac:dyDescent="0.4">
      <c r="A4828" s="6">
        <v>2026</v>
      </c>
      <c r="B4828" s="6">
        <f t="shared" si="622"/>
        <v>49</v>
      </c>
      <c r="C4828" s="13" t="s">
        <v>20</v>
      </c>
      <c r="D4828" s="2" t="s">
        <v>12</v>
      </c>
      <c r="E4828" s="14" t="str">
        <f t="shared" si="621"/>
        <v>Bending</v>
      </c>
      <c r="F4828" s="22"/>
      <c r="H4828" s="5" t="e">
        <f ca="1">_xlfn.FORMULATEXT(표1[[#This Row],[Q''ty]])</f>
        <v>#N/A</v>
      </c>
    </row>
    <row r="4829" spans="1:8" ht="15" hidden="1" customHeight="1" x14ac:dyDescent="0.4">
      <c r="A4829" s="6">
        <v>2026</v>
      </c>
      <c r="B4829" s="6">
        <f t="shared" si="622"/>
        <v>49</v>
      </c>
      <c r="C4829" s="13" t="s">
        <v>20</v>
      </c>
      <c r="D4829" s="2" t="s">
        <v>12</v>
      </c>
      <c r="E4829" s="14" t="str">
        <f t="shared" si="621"/>
        <v>L/W</v>
      </c>
      <c r="F4829" s="22"/>
      <c r="H4829" s="5" t="e">
        <f ca="1">_xlfn.FORMULATEXT(표1[[#This Row],[Q''ty]])</f>
        <v>#N/A</v>
      </c>
    </row>
    <row r="4830" spans="1:8" ht="15" hidden="1" customHeight="1" thickBot="1" x14ac:dyDescent="0.45">
      <c r="A4830" s="15">
        <v>2026</v>
      </c>
      <c r="B4830" s="15">
        <f t="shared" si="622"/>
        <v>49</v>
      </c>
      <c r="C4830" s="16" t="s">
        <v>20</v>
      </c>
      <c r="D4830" s="17" t="s">
        <v>12</v>
      </c>
      <c r="E4830" s="18" t="str">
        <f t="shared" si="621"/>
        <v>C/W</v>
      </c>
      <c r="F4830" s="23"/>
      <c r="H4830" s="5" t="e">
        <f ca="1">_xlfn.FORMULATEXT(표1[[#This Row],[Q''ty]])</f>
        <v>#N/A</v>
      </c>
    </row>
    <row r="4831" spans="1:8" ht="15" hidden="1" customHeight="1" thickTop="1" x14ac:dyDescent="0.4">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hidden="1" customHeight="1" x14ac:dyDescent="0.4">
      <c r="A4832" s="6">
        <v>2026</v>
      </c>
      <c r="B4832" s="6">
        <f t="shared" si="622"/>
        <v>49</v>
      </c>
      <c r="C4832" s="13" t="s">
        <v>21</v>
      </c>
      <c r="D4832" s="2" t="s">
        <v>6</v>
      </c>
      <c r="E4832" s="14" t="str">
        <f t="shared" si="621"/>
        <v>Paint Booth</v>
      </c>
      <c r="F4832" s="22">
        <f t="shared" si="624"/>
        <v>4</v>
      </c>
      <c r="H4832" s="5" t="str">
        <f ca="1">_xlfn.FORMULATEXT(표1[[#This Row],[Q''ty]])</f>
        <v>=F4733</v>
      </c>
    </row>
    <row r="4833" spans="1:8" ht="15" hidden="1" customHeight="1" x14ac:dyDescent="0.4">
      <c r="A4833" s="6">
        <v>2026</v>
      </c>
      <c r="B4833" s="6">
        <f t="shared" si="622"/>
        <v>49</v>
      </c>
      <c r="C4833" s="13" t="s">
        <v>21</v>
      </c>
      <c r="D4833" s="2" t="s">
        <v>6</v>
      </c>
      <c r="E4833" s="14" t="str">
        <f t="shared" si="621"/>
        <v>Paint Line</v>
      </c>
      <c r="F4833" s="22">
        <f t="shared" si="624"/>
        <v>4</v>
      </c>
      <c r="H4833" s="5" t="str">
        <f ca="1">_xlfn.FORMULATEXT(표1[[#This Row],[Q''ty]])</f>
        <v>=F4734</v>
      </c>
    </row>
    <row r="4834" spans="1:8" ht="15" hidden="1" customHeight="1" x14ac:dyDescent="0.4">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hidden="1" customHeight="1" x14ac:dyDescent="0.4">
      <c r="A4835" s="6">
        <v>2026</v>
      </c>
      <c r="B4835" s="6">
        <f t="shared" si="622"/>
        <v>49</v>
      </c>
      <c r="C4835" s="13" t="s">
        <v>21</v>
      </c>
      <c r="D4835" s="2" t="s">
        <v>6</v>
      </c>
      <c r="E4835" s="14" t="str">
        <f t="shared" si="621"/>
        <v>L/W Machine</v>
      </c>
      <c r="F4835" s="22">
        <f t="shared" si="624"/>
        <v>4</v>
      </c>
      <c r="H4835" s="5" t="str">
        <f ca="1">_xlfn.FORMULATEXT(표1[[#This Row],[Q''ty]])</f>
        <v>=F4736</v>
      </c>
    </row>
    <row r="4836" spans="1:8" ht="15" hidden="1" customHeight="1" x14ac:dyDescent="0.4">
      <c r="A4836" s="6">
        <v>2026</v>
      </c>
      <c r="B4836" s="6">
        <f t="shared" si="622"/>
        <v>49</v>
      </c>
      <c r="C4836" s="13" t="s">
        <v>21</v>
      </c>
      <c r="D4836" s="2" t="s">
        <v>6</v>
      </c>
      <c r="E4836" s="14" t="str">
        <f t="shared" si="621"/>
        <v>C/W Machine</v>
      </c>
      <c r="F4836" s="22">
        <f t="shared" si="624"/>
        <v>6.5</v>
      </c>
      <c r="H4836" s="5" t="str">
        <f ca="1">_xlfn.FORMULATEXT(표1[[#This Row],[Q''ty]])</f>
        <v>=F4737</v>
      </c>
    </row>
    <row r="4837" spans="1:8" ht="15" hidden="1" customHeight="1" x14ac:dyDescent="0.4">
      <c r="A4837" s="6">
        <v>2026</v>
      </c>
      <c r="B4837" s="6">
        <f t="shared" si="622"/>
        <v>49</v>
      </c>
      <c r="C4837" s="13" t="s">
        <v>21</v>
      </c>
      <c r="D4837" s="2" t="s">
        <v>12</v>
      </c>
      <c r="E4837" s="14" t="str">
        <f t="shared" si="621"/>
        <v>BT GT</v>
      </c>
      <c r="F4837" s="22"/>
      <c r="H4837" s="5" t="e">
        <f ca="1">_xlfn.FORMULATEXT(표1[[#This Row],[Q''ty]])</f>
        <v>#N/A</v>
      </c>
    </row>
    <row r="4838" spans="1:8" ht="15" hidden="1" customHeight="1" x14ac:dyDescent="0.4">
      <c r="A4838" s="6">
        <v>2026</v>
      </c>
      <c r="B4838" s="6">
        <f t="shared" si="622"/>
        <v>49</v>
      </c>
      <c r="C4838" s="13" t="s">
        <v>21</v>
      </c>
      <c r="D4838" s="2" t="s">
        <v>12</v>
      </c>
      <c r="E4838" s="14" t="str">
        <f t="shared" si="621"/>
        <v>WT GT</v>
      </c>
      <c r="F4838" s="22"/>
      <c r="H4838" s="5" t="e">
        <f ca="1">_xlfn.FORMULATEXT(표1[[#This Row],[Q''ty]])</f>
        <v>#N/A</v>
      </c>
    </row>
    <row r="4839" spans="1:8" ht="15" hidden="1" customHeight="1" x14ac:dyDescent="0.4">
      <c r="A4839" s="6">
        <v>2026</v>
      </c>
      <c r="B4839" s="6">
        <f t="shared" si="622"/>
        <v>49</v>
      </c>
      <c r="C4839" s="13" t="s">
        <v>21</v>
      </c>
      <c r="D4839" s="2" t="s">
        <v>12</v>
      </c>
      <c r="E4839" s="14" t="str">
        <f t="shared" si="621"/>
        <v>Bending</v>
      </c>
      <c r="F4839" s="22"/>
      <c r="H4839" s="5" t="e">
        <f ca="1">_xlfn.FORMULATEXT(표1[[#This Row],[Q''ty]])</f>
        <v>#N/A</v>
      </c>
    </row>
    <row r="4840" spans="1:8" ht="15" hidden="1" customHeight="1" x14ac:dyDescent="0.4">
      <c r="A4840" s="6">
        <v>2026</v>
      </c>
      <c r="B4840" s="6">
        <f t="shared" si="622"/>
        <v>49</v>
      </c>
      <c r="C4840" s="13" t="s">
        <v>21</v>
      </c>
      <c r="D4840" s="2" t="s">
        <v>12</v>
      </c>
      <c r="E4840" s="14" t="str">
        <f t="shared" si="621"/>
        <v>L/W</v>
      </c>
      <c r="F4840" s="22"/>
      <c r="H4840" s="5" t="e">
        <f ca="1">_xlfn.FORMULATEXT(표1[[#This Row],[Q''ty]])</f>
        <v>#N/A</v>
      </c>
    </row>
    <row r="4841" spans="1:8" ht="15" hidden="1" customHeight="1" thickBot="1" x14ac:dyDescent="0.45">
      <c r="A4841" s="15">
        <v>2026</v>
      </c>
      <c r="B4841" s="15">
        <f t="shared" si="622"/>
        <v>49</v>
      </c>
      <c r="C4841" s="16" t="s">
        <v>21</v>
      </c>
      <c r="D4841" s="17" t="s">
        <v>12</v>
      </c>
      <c r="E4841" s="18" t="str">
        <f t="shared" si="621"/>
        <v>C/W</v>
      </c>
      <c r="F4841" s="23"/>
      <c r="H4841" s="5" t="e">
        <f ca="1">_xlfn.FORMULATEXT(표1[[#This Row],[Q''ty]])</f>
        <v>#N/A</v>
      </c>
    </row>
    <row r="4842" spans="1:8" ht="15" hidden="1" customHeight="1" thickTop="1" x14ac:dyDescent="0.4">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hidden="1" customHeight="1" x14ac:dyDescent="0.4">
      <c r="A4843" s="6">
        <v>2026</v>
      </c>
      <c r="B4843" s="6">
        <f t="shared" si="622"/>
        <v>49</v>
      </c>
      <c r="C4843" s="13" t="s">
        <v>22</v>
      </c>
      <c r="D4843" s="2" t="s">
        <v>6</v>
      </c>
      <c r="E4843" s="14" t="str">
        <f t="shared" si="621"/>
        <v>Paint Booth</v>
      </c>
      <c r="F4843" s="22">
        <f t="shared" si="625"/>
        <v>6</v>
      </c>
      <c r="H4843" s="5" t="str">
        <f ca="1">_xlfn.FORMULATEXT(표1[[#This Row],[Q''ty]])</f>
        <v>=F4744</v>
      </c>
    </row>
    <row r="4844" spans="1:8" ht="15" hidden="1" customHeight="1" x14ac:dyDescent="0.4">
      <c r="A4844" s="6">
        <v>2026</v>
      </c>
      <c r="B4844" s="6">
        <f t="shared" si="622"/>
        <v>49</v>
      </c>
      <c r="C4844" s="13" t="s">
        <v>22</v>
      </c>
      <c r="D4844" s="2" t="s">
        <v>6</v>
      </c>
      <c r="E4844" s="14" t="str">
        <f t="shared" si="621"/>
        <v>Paint Line</v>
      </c>
      <c r="F4844" s="22">
        <f t="shared" si="625"/>
        <v>4</v>
      </c>
      <c r="H4844" s="5" t="str">
        <f ca="1">_xlfn.FORMULATEXT(표1[[#This Row],[Q''ty]])</f>
        <v>=F4745</v>
      </c>
    </row>
    <row r="4845" spans="1:8" ht="15" hidden="1" customHeight="1" x14ac:dyDescent="0.4">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hidden="1" customHeight="1" x14ac:dyDescent="0.4">
      <c r="A4846" s="6">
        <v>2026</v>
      </c>
      <c r="B4846" s="6">
        <f t="shared" si="622"/>
        <v>49</v>
      </c>
      <c r="C4846" s="13" t="s">
        <v>22</v>
      </c>
      <c r="D4846" s="2" t="s">
        <v>6</v>
      </c>
      <c r="E4846" s="14" t="str">
        <f t="shared" si="621"/>
        <v>L/W Machine</v>
      </c>
      <c r="F4846" s="22">
        <f t="shared" si="625"/>
        <v>7</v>
      </c>
      <c r="H4846" s="5" t="str">
        <f ca="1">_xlfn.FORMULATEXT(표1[[#This Row],[Q''ty]])</f>
        <v>=F4747</v>
      </c>
    </row>
    <row r="4847" spans="1:8" ht="15" hidden="1" customHeight="1" x14ac:dyDescent="0.4">
      <c r="A4847" s="6">
        <v>2026</v>
      </c>
      <c r="B4847" s="6">
        <f t="shared" si="622"/>
        <v>49</v>
      </c>
      <c r="C4847" s="13" t="s">
        <v>22</v>
      </c>
      <c r="D4847" s="2" t="s">
        <v>6</v>
      </c>
      <c r="E4847" s="14" t="str">
        <f t="shared" si="621"/>
        <v>C/W Machine</v>
      </c>
      <c r="F4847" s="22">
        <f t="shared" si="625"/>
        <v>12.5</v>
      </c>
      <c r="H4847" s="5" t="str">
        <f ca="1">_xlfn.FORMULATEXT(표1[[#This Row],[Q''ty]])</f>
        <v>=F4748</v>
      </c>
    </row>
    <row r="4848" spans="1:8" ht="15" hidden="1" customHeight="1" x14ac:dyDescent="0.4">
      <c r="A4848" s="6">
        <v>2026</v>
      </c>
      <c r="B4848" s="6">
        <f t="shared" si="622"/>
        <v>49</v>
      </c>
      <c r="C4848" s="13" t="s">
        <v>22</v>
      </c>
      <c r="D4848" s="2" t="s">
        <v>12</v>
      </c>
      <c r="E4848" s="14" t="str">
        <f t="shared" si="621"/>
        <v>BT GT</v>
      </c>
      <c r="F4848" s="22"/>
      <c r="H4848" s="5" t="e">
        <f ca="1">_xlfn.FORMULATEXT(표1[[#This Row],[Q''ty]])</f>
        <v>#N/A</v>
      </c>
    </row>
    <row r="4849" spans="1:10" ht="15" hidden="1" customHeight="1" x14ac:dyDescent="0.4">
      <c r="A4849" s="6">
        <v>2026</v>
      </c>
      <c r="B4849" s="6">
        <f t="shared" si="622"/>
        <v>49</v>
      </c>
      <c r="C4849" s="13" t="s">
        <v>22</v>
      </c>
      <c r="D4849" s="2" t="s">
        <v>12</v>
      </c>
      <c r="E4849" s="14" t="str">
        <f t="shared" si="621"/>
        <v>WT GT</v>
      </c>
      <c r="F4849" s="22"/>
      <c r="H4849" s="5" t="e">
        <f ca="1">_xlfn.FORMULATEXT(표1[[#This Row],[Q''ty]])</f>
        <v>#N/A</v>
      </c>
    </row>
    <row r="4850" spans="1:10" ht="15" hidden="1" customHeight="1" x14ac:dyDescent="0.4">
      <c r="A4850" s="6">
        <v>2026</v>
      </c>
      <c r="B4850" s="6">
        <f t="shared" si="622"/>
        <v>49</v>
      </c>
      <c r="C4850" s="13" t="s">
        <v>22</v>
      </c>
      <c r="D4850" s="2" t="s">
        <v>12</v>
      </c>
      <c r="E4850" s="14" t="str">
        <f t="shared" si="621"/>
        <v>Bending</v>
      </c>
      <c r="F4850" s="22"/>
      <c r="H4850" s="5" t="e">
        <f ca="1">_xlfn.FORMULATEXT(표1[[#This Row],[Q''ty]])</f>
        <v>#N/A</v>
      </c>
    </row>
    <row r="4851" spans="1:10" ht="15" hidden="1" customHeight="1" x14ac:dyDescent="0.4">
      <c r="A4851" s="6">
        <v>2026</v>
      </c>
      <c r="B4851" s="6">
        <f t="shared" si="622"/>
        <v>49</v>
      </c>
      <c r="C4851" s="13" t="s">
        <v>22</v>
      </c>
      <c r="D4851" s="2" t="s">
        <v>12</v>
      </c>
      <c r="E4851" s="14" t="str">
        <f t="shared" si="621"/>
        <v>L/W</v>
      </c>
      <c r="F4851" s="22"/>
      <c r="H4851" s="5" t="e">
        <f ca="1">_xlfn.FORMULATEXT(표1[[#This Row],[Q''ty]])</f>
        <v>#N/A</v>
      </c>
    </row>
    <row r="4852" spans="1:10" ht="15" hidden="1" customHeight="1" thickBot="1" x14ac:dyDescent="0.45">
      <c r="A4852" s="6">
        <v>2026</v>
      </c>
      <c r="B4852" s="6">
        <f t="shared" si="622"/>
        <v>49</v>
      </c>
      <c r="C4852" s="13" t="s">
        <v>22</v>
      </c>
      <c r="D4852" s="2" t="s">
        <v>12</v>
      </c>
      <c r="E4852" s="14" t="str">
        <f t="shared" si="621"/>
        <v>C/W</v>
      </c>
      <c r="F4852" s="22"/>
      <c r="H4852" s="5" t="e">
        <f ca="1">_xlfn.FORMULATEXT(표1[[#This Row],[Q''ty]])</f>
        <v>#N/A</v>
      </c>
    </row>
    <row r="4853" spans="1:10" ht="15" hidden="1" customHeight="1" thickTop="1" x14ac:dyDescent="0.4">
      <c r="A4853" s="9">
        <v>2026</v>
      </c>
      <c r="B4853" s="9">
        <f>B4754+1</f>
        <v>50</v>
      </c>
      <c r="C4853" s="10" t="s">
        <v>28</v>
      </c>
      <c r="D4853" s="11" t="s">
        <v>6</v>
      </c>
      <c r="E4853" s="12" t="s">
        <v>7</v>
      </c>
      <c r="F4853" s="21">
        <f t="shared" ref="F4853:F4858" si="626">F4754</f>
        <v>15</v>
      </c>
      <c r="H4853" s="5" t="str">
        <f ca="1">_xlfn.FORMULATEXT(표1[[#This Row],[Q''ty]])</f>
        <v>=F4754</v>
      </c>
    </row>
    <row r="4854" spans="1:10" s="2" customFormat="1" ht="15" hidden="1" customHeight="1" x14ac:dyDescent="0.4">
      <c r="A4854" s="6">
        <v>2026</v>
      </c>
      <c r="B4854" s="6">
        <f t="shared" ref="B4854:B4917" si="627">B4755+1</f>
        <v>50</v>
      </c>
      <c r="C4854" s="13" t="s">
        <v>23</v>
      </c>
      <c r="D4854" s="2" t="s">
        <v>6</v>
      </c>
      <c r="E4854" s="14" t="s">
        <v>8</v>
      </c>
      <c r="F4854" s="22">
        <f t="shared" si="626"/>
        <v>10</v>
      </c>
      <c r="H4854" s="5" t="str">
        <f ca="1">_xlfn.FORMULATEXT(표1[[#This Row],[Q''ty]])</f>
        <v>=F4755</v>
      </c>
      <c r="I4854" s="26"/>
      <c r="J4854" s="26"/>
    </row>
    <row r="4855" spans="1:10" s="2" customFormat="1" ht="15" hidden="1" customHeight="1" x14ac:dyDescent="0.4">
      <c r="A4855" s="6">
        <v>2026</v>
      </c>
      <c r="B4855" s="6">
        <f t="shared" si="627"/>
        <v>50</v>
      </c>
      <c r="C4855" s="13" t="s">
        <v>23</v>
      </c>
      <c r="D4855" s="2" t="s">
        <v>6</v>
      </c>
      <c r="E4855" s="14" t="s">
        <v>9</v>
      </c>
      <c r="F4855" s="22">
        <f t="shared" si="626"/>
        <v>5</v>
      </c>
      <c r="H4855" s="5" t="str">
        <f ca="1">_xlfn.FORMULATEXT(표1[[#This Row],[Q''ty]])</f>
        <v>=F4756</v>
      </c>
      <c r="I4855" s="26"/>
      <c r="J4855" s="26"/>
    </row>
    <row r="4856" spans="1:10" ht="15" hidden="1" customHeight="1" x14ac:dyDescent="0.4">
      <c r="A4856" s="6">
        <v>2026</v>
      </c>
      <c r="B4856" s="6">
        <f t="shared" si="627"/>
        <v>50</v>
      </c>
      <c r="C4856" s="13" t="s">
        <v>23</v>
      </c>
      <c r="D4856" s="2" t="s">
        <v>6</v>
      </c>
      <c r="E4856" s="14" t="s">
        <v>27</v>
      </c>
      <c r="F4856" s="22">
        <f t="shared" si="626"/>
        <v>6</v>
      </c>
      <c r="H4856" s="5" t="str">
        <f ca="1">_xlfn.FORMULATEXT(표1[[#This Row],[Q''ty]])</f>
        <v>=F4757</v>
      </c>
    </row>
    <row r="4857" spans="1:10" ht="15" hidden="1" customHeight="1" x14ac:dyDescent="0.4">
      <c r="A4857" s="6">
        <v>2026</v>
      </c>
      <c r="B4857" s="6">
        <f t="shared" si="627"/>
        <v>50</v>
      </c>
      <c r="C4857" s="13" t="s">
        <v>23</v>
      </c>
      <c r="D4857" s="2" t="s">
        <v>6</v>
      </c>
      <c r="E4857" s="14" t="s">
        <v>10</v>
      </c>
      <c r="F4857" s="22">
        <f t="shared" si="626"/>
        <v>10</v>
      </c>
      <c r="H4857" s="5" t="str">
        <f ca="1">_xlfn.FORMULATEXT(표1[[#This Row],[Q''ty]])</f>
        <v>=F4758</v>
      </c>
    </row>
    <row r="4858" spans="1:10" ht="15" hidden="1" customHeight="1" x14ac:dyDescent="0.4">
      <c r="A4858" s="6">
        <v>2026</v>
      </c>
      <c r="B4858" s="6">
        <f t="shared" si="627"/>
        <v>50</v>
      </c>
      <c r="C4858" s="13" t="s">
        <v>23</v>
      </c>
      <c r="D4858" s="2" t="s">
        <v>6</v>
      </c>
      <c r="E4858" s="14" t="s">
        <v>11</v>
      </c>
      <c r="F4858" s="22">
        <f t="shared" si="626"/>
        <v>10</v>
      </c>
      <c r="H4858" s="5" t="str">
        <f ca="1">_xlfn.FORMULATEXT(표1[[#This Row],[Q''ty]])</f>
        <v>=F4759</v>
      </c>
    </row>
    <row r="4859" spans="1:10" ht="15" hidden="1" customHeight="1" x14ac:dyDescent="0.4">
      <c r="A4859" s="6">
        <v>2026</v>
      </c>
      <c r="B4859" s="6">
        <f t="shared" si="627"/>
        <v>50</v>
      </c>
      <c r="C4859" s="13" t="s">
        <v>23</v>
      </c>
      <c r="D4859" s="2" t="s">
        <v>12</v>
      </c>
      <c r="E4859" s="14" t="s">
        <v>13</v>
      </c>
      <c r="F4859" s="22"/>
      <c r="H4859" s="5" t="e">
        <f ca="1">_xlfn.FORMULATEXT(표1[[#This Row],[Q''ty]])</f>
        <v>#N/A</v>
      </c>
    </row>
    <row r="4860" spans="1:10" s="2" customFormat="1" ht="15" hidden="1" customHeight="1" x14ac:dyDescent="0.4">
      <c r="A4860" s="6">
        <v>2026</v>
      </c>
      <c r="B4860" s="6">
        <f t="shared" si="627"/>
        <v>50</v>
      </c>
      <c r="C4860" s="13" t="s">
        <v>23</v>
      </c>
      <c r="D4860" s="2" t="s">
        <v>12</v>
      </c>
      <c r="E4860" s="14" t="s">
        <v>14</v>
      </c>
      <c r="F4860" s="22"/>
      <c r="H4860" s="5" t="e">
        <f ca="1">_xlfn.FORMULATEXT(표1[[#This Row],[Q''ty]])</f>
        <v>#N/A</v>
      </c>
      <c r="I4860" s="26"/>
      <c r="J4860" s="26"/>
    </row>
    <row r="4861" spans="1:10" ht="15" hidden="1" customHeight="1" x14ac:dyDescent="0.4">
      <c r="A4861" s="6">
        <v>2026</v>
      </c>
      <c r="B4861" s="6">
        <f t="shared" si="627"/>
        <v>50</v>
      </c>
      <c r="C4861" s="13" t="s">
        <v>23</v>
      </c>
      <c r="D4861" s="2" t="s">
        <v>12</v>
      </c>
      <c r="E4861" s="14" t="s">
        <v>15</v>
      </c>
      <c r="F4861" s="22"/>
      <c r="H4861" s="5" t="e">
        <f ca="1">_xlfn.FORMULATEXT(표1[[#This Row],[Q''ty]])</f>
        <v>#N/A</v>
      </c>
    </row>
    <row r="4862" spans="1:10" ht="15" hidden="1" customHeight="1" x14ac:dyDescent="0.4">
      <c r="A4862" s="6">
        <v>2026</v>
      </c>
      <c r="B4862" s="6">
        <f t="shared" si="627"/>
        <v>50</v>
      </c>
      <c r="C4862" s="13" t="s">
        <v>23</v>
      </c>
      <c r="D4862" s="2" t="s">
        <v>12</v>
      </c>
      <c r="E4862" s="14" t="s">
        <v>16</v>
      </c>
      <c r="F4862" s="22"/>
      <c r="H4862" s="5" t="e">
        <f ca="1">_xlfn.FORMULATEXT(표1[[#This Row],[Q''ty]])</f>
        <v>#N/A</v>
      </c>
    </row>
    <row r="4863" spans="1:10" ht="15" hidden="1" customHeight="1" thickBot="1" x14ac:dyDescent="0.45">
      <c r="A4863" s="15">
        <v>2026</v>
      </c>
      <c r="B4863" s="15">
        <f t="shared" si="627"/>
        <v>50</v>
      </c>
      <c r="C4863" s="16" t="s">
        <v>23</v>
      </c>
      <c r="D4863" s="17" t="s">
        <v>12</v>
      </c>
      <c r="E4863" s="18" t="s">
        <v>17</v>
      </c>
      <c r="F4863" s="23"/>
      <c r="H4863" s="5" t="e">
        <f ca="1">_xlfn.FORMULATEXT(표1[[#This Row],[Q''ty]])</f>
        <v>#N/A</v>
      </c>
    </row>
    <row r="4864" spans="1:10" ht="15" hidden="1" customHeight="1" thickTop="1" x14ac:dyDescent="0.4">
      <c r="A4864" s="9">
        <v>2026</v>
      </c>
      <c r="B4864" s="9">
        <f t="shared" si="627"/>
        <v>50</v>
      </c>
      <c r="C4864" s="10" t="s">
        <v>29</v>
      </c>
      <c r="D4864" s="11" t="s">
        <v>6</v>
      </c>
      <c r="E4864" s="12" t="s">
        <v>7</v>
      </c>
      <c r="F4864" s="21">
        <f t="shared" ref="F4864:F4869" si="628">F4765</f>
        <v>14</v>
      </c>
      <c r="H4864" s="5" t="str">
        <f ca="1">_xlfn.FORMULATEXT(표1[[#This Row],[Q''ty]])</f>
        <v>=F4765</v>
      </c>
    </row>
    <row r="4865" spans="1:10" s="2" customFormat="1" ht="15" hidden="1" customHeight="1" x14ac:dyDescent="0.4">
      <c r="A4865" s="6">
        <v>2026</v>
      </c>
      <c r="B4865" s="6">
        <f t="shared" si="627"/>
        <v>50</v>
      </c>
      <c r="C4865" s="13" t="s">
        <v>24</v>
      </c>
      <c r="D4865" s="2" t="s">
        <v>6</v>
      </c>
      <c r="E4865" s="14" t="s">
        <v>8</v>
      </c>
      <c r="F4865" s="22">
        <f t="shared" si="628"/>
        <v>8</v>
      </c>
      <c r="H4865" s="5" t="str">
        <f ca="1">_xlfn.FORMULATEXT(표1[[#This Row],[Q''ty]])</f>
        <v>=F4766</v>
      </c>
      <c r="I4865" s="26"/>
      <c r="J4865" s="26"/>
    </row>
    <row r="4866" spans="1:10" s="2" customFormat="1" ht="15" hidden="1" customHeight="1" x14ac:dyDescent="0.4">
      <c r="A4866" s="6">
        <v>2026</v>
      </c>
      <c r="B4866" s="6">
        <f t="shared" si="627"/>
        <v>50</v>
      </c>
      <c r="C4866" s="13" t="s">
        <v>24</v>
      </c>
      <c r="D4866" s="2" t="s">
        <v>6</v>
      </c>
      <c r="E4866" s="14" t="s">
        <v>9</v>
      </c>
      <c r="F4866" s="22">
        <f t="shared" si="628"/>
        <v>4</v>
      </c>
      <c r="H4866" s="5" t="str">
        <f ca="1">_xlfn.FORMULATEXT(표1[[#This Row],[Q''ty]])</f>
        <v>=F4767</v>
      </c>
      <c r="I4866" s="26"/>
      <c r="J4866" s="26"/>
    </row>
    <row r="4867" spans="1:10" ht="15" hidden="1" customHeight="1" x14ac:dyDescent="0.4">
      <c r="A4867" s="6">
        <v>2026</v>
      </c>
      <c r="B4867" s="6">
        <f t="shared" si="627"/>
        <v>50</v>
      </c>
      <c r="C4867" s="13" t="s">
        <v>24</v>
      </c>
      <c r="D4867" s="2" t="s">
        <v>6</v>
      </c>
      <c r="E4867" s="14" t="s">
        <v>27</v>
      </c>
      <c r="F4867" s="22">
        <f t="shared" si="628"/>
        <v>3</v>
      </c>
      <c r="H4867" s="5" t="str">
        <f ca="1">_xlfn.FORMULATEXT(표1[[#This Row],[Q''ty]])</f>
        <v>=F4768</v>
      </c>
    </row>
    <row r="4868" spans="1:10" ht="15" hidden="1" customHeight="1" x14ac:dyDescent="0.4">
      <c r="A4868" s="6">
        <v>2026</v>
      </c>
      <c r="B4868" s="6">
        <f t="shared" si="627"/>
        <v>50</v>
      </c>
      <c r="C4868" s="13" t="s">
        <v>24</v>
      </c>
      <c r="D4868" s="2" t="s">
        <v>6</v>
      </c>
      <c r="E4868" s="14" t="s">
        <v>10</v>
      </c>
      <c r="F4868" s="22">
        <f t="shared" si="628"/>
        <v>6</v>
      </c>
      <c r="H4868" s="5" t="str">
        <f ca="1">_xlfn.FORMULATEXT(표1[[#This Row],[Q''ty]])</f>
        <v>=F4769</v>
      </c>
    </row>
    <row r="4869" spans="1:10" ht="15" hidden="1" customHeight="1" x14ac:dyDescent="0.4">
      <c r="A4869" s="6">
        <v>2026</v>
      </c>
      <c r="B4869" s="6">
        <f t="shared" si="627"/>
        <v>50</v>
      </c>
      <c r="C4869" s="13" t="s">
        <v>24</v>
      </c>
      <c r="D4869" s="2" t="s">
        <v>6</v>
      </c>
      <c r="E4869" s="14" t="s">
        <v>11</v>
      </c>
      <c r="F4869" s="22">
        <f t="shared" si="628"/>
        <v>8.8000000000000007</v>
      </c>
      <c r="H4869" s="5" t="str">
        <f ca="1">_xlfn.FORMULATEXT(표1[[#This Row],[Q''ty]])</f>
        <v>=F4770</v>
      </c>
    </row>
    <row r="4870" spans="1:10" ht="15" hidden="1" customHeight="1" x14ac:dyDescent="0.4">
      <c r="A4870" s="6">
        <v>2026</v>
      </c>
      <c r="B4870" s="6">
        <f t="shared" si="627"/>
        <v>50</v>
      </c>
      <c r="C4870" s="13" t="s">
        <v>24</v>
      </c>
      <c r="D4870" s="2" t="s">
        <v>12</v>
      </c>
      <c r="E4870" s="14" t="s">
        <v>13</v>
      </c>
      <c r="F4870" s="22"/>
      <c r="H4870" s="5" t="e">
        <f ca="1">_xlfn.FORMULATEXT(표1[[#This Row],[Q''ty]])</f>
        <v>#N/A</v>
      </c>
    </row>
    <row r="4871" spans="1:10" s="2" customFormat="1" ht="15" hidden="1" customHeight="1" x14ac:dyDescent="0.4">
      <c r="A4871" s="6">
        <v>2026</v>
      </c>
      <c r="B4871" s="6">
        <f t="shared" si="627"/>
        <v>50</v>
      </c>
      <c r="C4871" s="13" t="s">
        <v>24</v>
      </c>
      <c r="D4871" s="2" t="s">
        <v>12</v>
      </c>
      <c r="E4871" s="14" t="s">
        <v>14</v>
      </c>
      <c r="F4871" s="22"/>
      <c r="H4871" s="5" t="e">
        <f ca="1">_xlfn.FORMULATEXT(표1[[#This Row],[Q''ty]])</f>
        <v>#N/A</v>
      </c>
      <c r="I4871" s="26"/>
      <c r="J4871" s="26"/>
    </row>
    <row r="4872" spans="1:10" ht="15" hidden="1" customHeight="1" x14ac:dyDescent="0.4">
      <c r="A4872" s="6">
        <v>2026</v>
      </c>
      <c r="B4872" s="6">
        <f t="shared" si="627"/>
        <v>50</v>
      </c>
      <c r="C4872" s="13" t="s">
        <v>24</v>
      </c>
      <c r="D4872" s="2" t="s">
        <v>12</v>
      </c>
      <c r="E4872" s="14" t="s">
        <v>15</v>
      </c>
      <c r="F4872" s="22"/>
      <c r="H4872" s="5" t="e">
        <f ca="1">_xlfn.FORMULATEXT(표1[[#This Row],[Q''ty]])</f>
        <v>#N/A</v>
      </c>
    </row>
    <row r="4873" spans="1:10" ht="15" hidden="1" customHeight="1" x14ac:dyDescent="0.4">
      <c r="A4873" s="6">
        <v>2026</v>
      </c>
      <c r="B4873" s="6">
        <f t="shared" si="627"/>
        <v>50</v>
      </c>
      <c r="C4873" s="13" t="s">
        <v>24</v>
      </c>
      <c r="D4873" s="2" t="s">
        <v>12</v>
      </c>
      <c r="E4873" s="14" t="s">
        <v>16</v>
      </c>
      <c r="F4873" s="22"/>
      <c r="H4873" s="5" t="e">
        <f ca="1">_xlfn.FORMULATEXT(표1[[#This Row],[Q''ty]])</f>
        <v>#N/A</v>
      </c>
    </row>
    <row r="4874" spans="1:10" ht="15" hidden="1" customHeight="1" thickBot="1" x14ac:dyDescent="0.45">
      <c r="A4874" s="15">
        <v>2026</v>
      </c>
      <c r="B4874" s="15">
        <f t="shared" si="627"/>
        <v>50</v>
      </c>
      <c r="C4874" s="16" t="s">
        <v>24</v>
      </c>
      <c r="D4874" s="17" t="s">
        <v>12</v>
      </c>
      <c r="E4874" s="18" t="s">
        <v>17</v>
      </c>
      <c r="F4874" s="23"/>
      <c r="H4874" s="5" t="e">
        <f ca="1">_xlfn.FORMULATEXT(표1[[#This Row],[Q''ty]])</f>
        <v>#N/A</v>
      </c>
    </row>
    <row r="4875" spans="1:10" ht="15" hidden="1" customHeight="1" thickTop="1" x14ac:dyDescent="0.4">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10" ht="15" hidden="1" customHeight="1" x14ac:dyDescent="0.4">
      <c r="A4876" s="6">
        <v>2026</v>
      </c>
      <c r="B4876" s="6">
        <f t="shared" si="627"/>
        <v>50</v>
      </c>
      <c r="C4876" s="13" t="s">
        <v>18</v>
      </c>
      <c r="D4876" s="2" t="s">
        <v>6</v>
      </c>
      <c r="E4876" s="14" t="str">
        <f t="shared" si="629"/>
        <v>Paint Booth</v>
      </c>
      <c r="F4876" s="22">
        <f t="shared" si="629"/>
        <v>3</v>
      </c>
      <c r="H4876" s="5" t="str">
        <f ca="1">_xlfn.FORMULATEXT(표1[[#This Row],[Q''ty]])</f>
        <v>=F4777</v>
      </c>
    </row>
    <row r="4877" spans="1:10" ht="15" hidden="1" customHeight="1" x14ac:dyDescent="0.4">
      <c r="A4877" s="6">
        <v>2026</v>
      </c>
      <c r="B4877" s="6">
        <f t="shared" si="627"/>
        <v>50</v>
      </c>
      <c r="C4877" s="13" t="s">
        <v>18</v>
      </c>
      <c r="D4877" s="2" t="s">
        <v>6</v>
      </c>
      <c r="E4877" s="14" t="str">
        <f t="shared" si="629"/>
        <v>Paint Line</v>
      </c>
      <c r="F4877" s="22">
        <f t="shared" si="629"/>
        <v>2</v>
      </c>
      <c r="H4877" s="5" t="str">
        <f ca="1">_xlfn.FORMULATEXT(표1[[#This Row],[Q''ty]])</f>
        <v>=F4778</v>
      </c>
    </row>
    <row r="4878" spans="1:10" ht="15" hidden="1" customHeight="1" x14ac:dyDescent="0.4">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10" ht="15" hidden="1" customHeight="1" x14ac:dyDescent="0.4">
      <c r="A4879" s="6">
        <v>2026</v>
      </c>
      <c r="B4879" s="6">
        <f t="shared" si="627"/>
        <v>50</v>
      </c>
      <c r="C4879" s="13" t="s">
        <v>18</v>
      </c>
      <c r="D4879" s="2" t="s">
        <v>6</v>
      </c>
      <c r="E4879" s="14" t="str">
        <f t="shared" si="629"/>
        <v>L/W Machine</v>
      </c>
      <c r="F4879" s="22">
        <f t="shared" si="629"/>
        <v>2</v>
      </c>
      <c r="H4879" s="5" t="str">
        <f ca="1">_xlfn.FORMULATEXT(표1[[#This Row],[Q''ty]])</f>
        <v>=F4780</v>
      </c>
    </row>
    <row r="4880" spans="1:10" ht="15" hidden="1" customHeight="1" x14ac:dyDescent="0.4">
      <c r="A4880" s="6">
        <v>2026</v>
      </c>
      <c r="B4880" s="6">
        <f t="shared" si="627"/>
        <v>50</v>
      </c>
      <c r="C4880" s="13" t="s">
        <v>18</v>
      </c>
      <c r="D4880" s="2" t="s">
        <v>6</v>
      </c>
      <c r="E4880" s="14" t="str">
        <f t="shared" si="629"/>
        <v>C/W Machine</v>
      </c>
      <c r="F4880" s="22">
        <f t="shared" si="629"/>
        <v>3</v>
      </c>
      <c r="H4880" s="5" t="str">
        <f ca="1">_xlfn.FORMULATEXT(표1[[#This Row],[Q''ty]])</f>
        <v>=F4781</v>
      </c>
    </row>
    <row r="4881" spans="1:8" ht="15" hidden="1" customHeight="1" x14ac:dyDescent="0.4">
      <c r="A4881" s="6">
        <v>2026</v>
      </c>
      <c r="B4881" s="6">
        <f t="shared" si="627"/>
        <v>50</v>
      </c>
      <c r="C4881" s="13" t="s">
        <v>18</v>
      </c>
      <c r="D4881" s="2" t="s">
        <v>12</v>
      </c>
      <c r="E4881" s="14" t="str">
        <f t="shared" ref="E4881:E4896" si="630">E4782</f>
        <v>BT GT</v>
      </c>
      <c r="F4881" s="22"/>
      <c r="H4881" s="5" t="e">
        <f ca="1">_xlfn.FORMULATEXT(표1[[#This Row],[Q''ty]])</f>
        <v>#N/A</v>
      </c>
    </row>
    <row r="4882" spans="1:8" ht="15" hidden="1" customHeight="1" x14ac:dyDescent="0.4">
      <c r="A4882" s="6">
        <v>2026</v>
      </c>
      <c r="B4882" s="6">
        <f t="shared" si="627"/>
        <v>50</v>
      </c>
      <c r="C4882" s="13" t="s">
        <v>18</v>
      </c>
      <c r="D4882" s="2" t="s">
        <v>12</v>
      </c>
      <c r="E4882" s="14" t="str">
        <f t="shared" si="630"/>
        <v>WT GT</v>
      </c>
      <c r="F4882" s="22"/>
      <c r="H4882" s="5" t="e">
        <f ca="1">_xlfn.FORMULATEXT(표1[[#This Row],[Q''ty]])</f>
        <v>#N/A</v>
      </c>
    </row>
    <row r="4883" spans="1:8" ht="15" hidden="1" customHeight="1" x14ac:dyDescent="0.4">
      <c r="A4883" s="6">
        <v>2026</v>
      </c>
      <c r="B4883" s="6">
        <f t="shared" si="627"/>
        <v>50</v>
      </c>
      <c r="C4883" s="13" t="s">
        <v>18</v>
      </c>
      <c r="D4883" s="2" t="s">
        <v>12</v>
      </c>
      <c r="E4883" s="14" t="str">
        <f t="shared" si="630"/>
        <v>Bending</v>
      </c>
      <c r="F4883" s="22"/>
      <c r="H4883" s="5" t="e">
        <f ca="1">_xlfn.FORMULATEXT(표1[[#This Row],[Q''ty]])</f>
        <v>#N/A</v>
      </c>
    </row>
    <row r="4884" spans="1:8" ht="15" hidden="1" customHeight="1" x14ac:dyDescent="0.4">
      <c r="A4884" s="6">
        <v>2026</v>
      </c>
      <c r="B4884" s="6">
        <f t="shared" si="627"/>
        <v>50</v>
      </c>
      <c r="C4884" s="13" t="s">
        <v>18</v>
      </c>
      <c r="D4884" s="2" t="s">
        <v>12</v>
      </c>
      <c r="E4884" s="14" t="str">
        <f t="shared" si="630"/>
        <v>L/W</v>
      </c>
      <c r="F4884" s="22"/>
      <c r="H4884" s="5" t="e">
        <f ca="1">_xlfn.FORMULATEXT(표1[[#This Row],[Q''ty]])</f>
        <v>#N/A</v>
      </c>
    </row>
    <row r="4885" spans="1:8" ht="15" hidden="1" customHeight="1" thickBot="1" x14ac:dyDescent="0.45">
      <c r="A4885" s="15">
        <v>2026</v>
      </c>
      <c r="B4885" s="15">
        <f t="shared" si="627"/>
        <v>50</v>
      </c>
      <c r="C4885" s="16" t="s">
        <v>18</v>
      </c>
      <c r="D4885" s="17" t="s">
        <v>12</v>
      </c>
      <c r="E4885" s="18" t="str">
        <f t="shared" si="630"/>
        <v>C/W</v>
      </c>
      <c r="F4885" s="23"/>
      <c r="H4885" s="5" t="e">
        <f ca="1">_xlfn.FORMULATEXT(표1[[#This Row],[Q''ty]])</f>
        <v>#N/A</v>
      </c>
    </row>
    <row r="4886" spans="1:8" ht="15" hidden="1" customHeight="1" thickTop="1" x14ac:dyDescent="0.4">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hidden="1" customHeight="1" x14ac:dyDescent="0.4">
      <c r="A4887" s="6">
        <v>2026</v>
      </c>
      <c r="B4887" s="6">
        <f t="shared" si="627"/>
        <v>50</v>
      </c>
      <c r="C4887" s="13" t="s">
        <v>19</v>
      </c>
      <c r="D4887" s="2" t="s">
        <v>6</v>
      </c>
      <c r="E4887" s="14" t="str">
        <f t="shared" si="630"/>
        <v>Paint Booth</v>
      </c>
      <c r="F4887" s="22">
        <f t="shared" si="631"/>
        <v>22</v>
      </c>
      <c r="H4887" s="5" t="str">
        <f ca="1">_xlfn.FORMULATEXT(표1[[#This Row],[Q''ty]])</f>
        <v>=F4788</v>
      </c>
    </row>
    <row r="4888" spans="1:8" ht="15" hidden="1" customHeight="1" x14ac:dyDescent="0.4">
      <c r="A4888" s="6">
        <v>2026</v>
      </c>
      <c r="B4888" s="6">
        <f t="shared" si="627"/>
        <v>50</v>
      </c>
      <c r="C4888" s="13" t="s">
        <v>19</v>
      </c>
      <c r="D4888" s="2" t="s">
        <v>6</v>
      </c>
      <c r="E4888" s="14" t="str">
        <f t="shared" si="630"/>
        <v>Paint Line</v>
      </c>
      <c r="F4888" s="22">
        <f t="shared" si="631"/>
        <v>6</v>
      </c>
      <c r="H4888" s="5" t="str">
        <f ca="1">_xlfn.FORMULATEXT(표1[[#This Row],[Q''ty]])</f>
        <v>=F4789</v>
      </c>
    </row>
    <row r="4889" spans="1:8" ht="15" hidden="1" customHeight="1" x14ac:dyDescent="0.4">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hidden="1" customHeight="1" x14ac:dyDescent="0.4">
      <c r="A4890" s="6">
        <v>2026</v>
      </c>
      <c r="B4890" s="6">
        <f t="shared" si="627"/>
        <v>50</v>
      </c>
      <c r="C4890" s="13" t="s">
        <v>19</v>
      </c>
      <c r="D4890" s="2" t="s">
        <v>6</v>
      </c>
      <c r="E4890" s="14" t="str">
        <f t="shared" si="630"/>
        <v>L/W Machine</v>
      </c>
      <c r="F4890" s="22">
        <f t="shared" si="631"/>
        <v>10</v>
      </c>
      <c r="H4890" s="5" t="str">
        <f ca="1">_xlfn.FORMULATEXT(표1[[#This Row],[Q''ty]])</f>
        <v>=F4791</v>
      </c>
    </row>
    <row r="4891" spans="1:8" ht="15" hidden="1" customHeight="1" x14ac:dyDescent="0.4">
      <c r="A4891" s="6">
        <v>2026</v>
      </c>
      <c r="B4891" s="6">
        <f t="shared" si="627"/>
        <v>50</v>
      </c>
      <c r="C4891" s="13" t="s">
        <v>19</v>
      </c>
      <c r="D4891" s="2" t="s">
        <v>6</v>
      </c>
      <c r="E4891" s="14" t="str">
        <f t="shared" si="630"/>
        <v>C/W Machine</v>
      </c>
      <c r="F4891" s="22">
        <f t="shared" si="631"/>
        <v>12</v>
      </c>
      <c r="H4891" s="5" t="str">
        <f ca="1">_xlfn.FORMULATEXT(표1[[#This Row],[Q''ty]])</f>
        <v>=F4792</v>
      </c>
    </row>
    <row r="4892" spans="1:8" ht="15" hidden="1" customHeight="1" x14ac:dyDescent="0.4">
      <c r="A4892" s="6">
        <v>2026</v>
      </c>
      <c r="B4892" s="6">
        <f t="shared" si="627"/>
        <v>50</v>
      </c>
      <c r="C4892" s="13" t="s">
        <v>19</v>
      </c>
      <c r="D4892" s="2" t="s">
        <v>12</v>
      </c>
      <c r="E4892" s="14" t="str">
        <f t="shared" si="630"/>
        <v>BT GT</v>
      </c>
      <c r="F4892" s="22"/>
      <c r="H4892" s="5" t="e">
        <f ca="1">_xlfn.FORMULATEXT(표1[[#This Row],[Q''ty]])</f>
        <v>#N/A</v>
      </c>
    </row>
    <row r="4893" spans="1:8" ht="15" hidden="1" customHeight="1" x14ac:dyDescent="0.4">
      <c r="A4893" s="6">
        <v>2026</v>
      </c>
      <c r="B4893" s="6">
        <f t="shared" si="627"/>
        <v>50</v>
      </c>
      <c r="C4893" s="13" t="s">
        <v>19</v>
      </c>
      <c r="D4893" s="2" t="s">
        <v>12</v>
      </c>
      <c r="E4893" s="14" t="str">
        <f t="shared" si="630"/>
        <v>WT GT</v>
      </c>
      <c r="F4893" s="22"/>
      <c r="H4893" s="5" t="e">
        <f ca="1">_xlfn.FORMULATEXT(표1[[#This Row],[Q''ty]])</f>
        <v>#N/A</v>
      </c>
    </row>
    <row r="4894" spans="1:8" ht="15" hidden="1" customHeight="1" x14ac:dyDescent="0.4">
      <c r="A4894" s="6">
        <v>2026</v>
      </c>
      <c r="B4894" s="6">
        <f t="shared" si="627"/>
        <v>50</v>
      </c>
      <c r="C4894" s="13" t="s">
        <v>19</v>
      </c>
      <c r="D4894" s="2" t="s">
        <v>12</v>
      </c>
      <c r="E4894" s="14" t="str">
        <f t="shared" si="630"/>
        <v>Bending</v>
      </c>
      <c r="F4894" s="22"/>
      <c r="H4894" s="5" t="e">
        <f ca="1">_xlfn.FORMULATEXT(표1[[#This Row],[Q''ty]])</f>
        <v>#N/A</v>
      </c>
    </row>
    <row r="4895" spans="1:8" ht="15" hidden="1" customHeight="1" x14ac:dyDescent="0.4">
      <c r="A4895" s="6">
        <v>2026</v>
      </c>
      <c r="B4895" s="6">
        <f t="shared" si="627"/>
        <v>50</v>
      </c>
      <c r="C4895" s="13" t="s">
        <v>19</v>
      </c>
      <c r="D4895" s="2" t="s">
        <v>12</v>
      </c>
      <c r="E4895" s="14" t="str">
        <f t="shared" si="630"/>
        <v>L/W</v>
      </c>
      <c r="F4895" s="22"/>
      <c r="H4895" s="5" t="e">
        <f ca="1">_xlfn.FORMULATEXT(표1[[#This Row],[Q''ty]])</f>
        <v>#N/A</v>
      </c>
    </row>
    <row r="4896" spans="1:8" ht="15" hidden="1" customHeight="1" thickBot="1" x14ac:dyDescent="0.45">
      <c r="A4896" s="15">
        <v>2026</v>
      </c>
      <c r="B4896" s="15">
        <f t="shared" si="627"/>
        <v>50</v>
      </c>
      <c r="C4896" s="16" t="s">
        <v>19</v>
      </c>
      <c r="D4896" s="17" t="s">
        <v>12</v>
      </c>
      <c r="E4896" s="18" t="str">
        <f t="shared" si="630"/>
        <v>C/W</v>
      </c>
      <c r="F4896" s="23"/>
      <c r="H4896" s="5" t="e">
        <f ca="1">_xlfn.FORMULATEXT(표1[[#This Row],[Q''ty]])</f>
        <v>#N/A</v>
      </c>
    </row>
    <row r="4897" spans="1:8" ht="15" hidden="1" customHeight="1" thickTop="1" x14ac:dyDescent="0.4">
      <c r="A4897" s="6">
        <v>2026</v>
      </c>
      <c r="B4897" s="6">
        <f t="shared" si="627"/>
        <v>50</v>
      </c>
      <c r="C4897" s="13" t="s">
        <v>25</v>
      </c>
      <c r="D4897" s="2" t="s">
        <v>6</v>
      </c>
      <c r="E4897" s="14" t="s">
        <v>7</v>
      </c>
      <c r="F4897" s="22">
        <f t="shared" ref="F4897:F4902" si="632">F4798</f>
        <v>3</v>
      </c>
      <c r="H4897" s="5" t="str">
        <f ca="1">_xlfn.FORMULATEXT(표1[[#This Row],[Q''ty]])</f>
        <v>=F4798</v>
      </c>
    </row>
    <row r="4898" spans="1:8" ht="15" hidden="1" customHeight="1" x14ac:dyDescent="0.4">
      <c r="A4898" s="6">
        <v>2026</v>
      </c>
      <c r="B4898" s="6">
        <f t="shared" si="627"/>
        <v>50</v>
      </c>
      <c r="C4898" s="13" t="s">
        <v>25</v>
      </c>
      <c r="D4898" s="2" t="s">
        <v>6</v>
      </c>
      <c r="E4898" s="14" t="s">
        <v>8</v>
      </c>
      <c r="F4898" s="22">
        <f t="shared" si="632"/>
        <v>3</v>
      </c>
      <c r="H4898" s="5" t="str">
        <f ca="1">_xlfn.FORMULATEXT(표1[[#This Row],[Q''ty]])</f>
        <v>=F4799</v>
      </c>
    </row>
    <row r="4899" spans="1:8" ht="15" hidden="1" customHeight="1" x14ac:dyDescent="0.4">
      <c r="A4899" s="6">
        <v>2026</v>
      </c>
      <c r="B4899" s="6">
        <f t="shared" si="627"/>
        <v>50</v>
      </c>
      <c r="C4899" s="13" t="s">
        <v>25</v>
      </c>
      <c r="D4899" s="2" t="s">
        <v>6</v>
      </c>
      <c r="E4899" s="14" t="s">
        <v>9</v>
      </c>
      <c r="F4899" s="22">
        <f t="shared" si="632"/>
        <v>2</v>
      </c>
      <c r="H4899" s="5" t="str">
        <f ca="1">_xlfn.FORMULATEXT(표1[[#This Row],[Q''ty]])</f>
        <v>=F4800</v>
      </c>
    </row>
    <row r="4900" spans="1:8" ht="15" hidden="1" customHeight="1" x14ac:dyDescent="0.4">
      <c r="A4900" s="6">
        <v>2026</v>
      </c>
      <c r="B4900" s="6">
        <f t="shared" si="627"/>
        <v>50</v>
      </c>
      <c r="C4900" s="13" t="s">
        <v>25</v>
      </c>
      <c r="D4900" s="2" t="s">
        <v>6</v>
      </c>
      <c r="E4900" s="14" t="s">
        <v>27</v>
      </c>
      <c r="F4900" s="22">
        <f t="shared" si="632"/>
        <v>2</v>
      </c>
      <c r="H4900" s="5" t="str">
        <f ca="1">_xlfn.FORMULATEXT(표1[[#This Row],[Q''ty]])</f>
        <v>=F4801</v>
      </c>
    </row>
    <row r="4901" spans="1:8" ht="15" hidden="1" customHeight="1" x14ac:dyDescent="0.4">
      <c r="A4901" s="6">
        <v>2026</v>
      </c>
      <c r="B4901" s="6">
        <f t="shared" si="627"/>
        <v>50</v>
      </c>
      <c r="C4901" s="13" t="s">
        <v>25</v>
      </c>
      <c r="D4901" s="2" t="s">
        <v>6</v>
      </c>
      <c r="E4901" s="14" t="s">
        <v>10</v>
      </c>
      <c r="F4901" s="22">
        <f t="shared" si="632"/>
        <v>3</v>
      </c>
      <c r="H4901" s="5" t="str">
        <f ca="1">_xlfn.FORMULATEXT(표1[[#This Row],[Q''ty]])</f>
        <v>=F4802</v>
      </c>
    </row>
    <row r="4902" spans="1:8" ht="15" hidden="1" customHeight="1" x14ac:dyDescent="0.4">
      <c r="A4902" s="6">
        <v>2026</v>
      </c>
      <c r="B4902" s="6">
        <f t="shared" si="627"/>
        <v>50</v>
      </c>
      <c r="C4902" s="13" t="s">
        <v>25</v>
      </c>
      <c r="D4902" s="2" t="s">
        <v>6</v>
      </c>
      <c r="E4902" s="14" t="s">
        <v>11</v>
      </c>
      <c r="F4902" s="22">
        <f t="shared" si="632"/>
        <v>4</v>
      </c>
      <c r="H4902" s="5" t="str">
        <f ca="1">_xlfn.FORMULATEXT(표1[[#This Row],[Q''ty]])</f>
        <v>=F4803</v>
      </c>
    </row>
    <row r="4903" spans="1:8" ht="15" hidden="1" customHeight="1" x14ac:dyDescent="0.4">
      <c r="A4903" s="6">
        <v>2026</v>
      </c>
      <c r="B4903" s="6">
        <f t="shared" si="627"/>
        <v>50</v>
      </c>
      <c r="C4903" s="13" t="s">
        <v>25</v>
      </c>
      <c r="D4903" s="2" t="s">
        <v>12</v>
      </c>
      <c r="E4903" s="14" t="s">
        <v>13</v>
      </c>
      <c r="F4903" s="22"/>
      <c r="H4903" s="5" t="e">
        <f ca="1">_xlfn.FORMULATEXT(표1[[#This Row],[Q''ty]])</f>
        <v>#N/A</v>
      </c>
    </row>
    <row r="4904" spans="1:8" ht="15" hidden="1" customHeight="1" x14ac:dyDescent="0.4">
      <c r="A4904" s="6">
        <v>2026</v>
      </c>
      <c r="B4904" s="6">
        <f t="shared" si="627"/>
        <v>50</v>
      </c>
      <c r="C4904" s="13" t="s">
        <v>25</v>
      </c>
      <c r="D4904" s="2" t="s">
        <v>12</v>
      </c>
      <c r="E4904" s="14" t="s">
        <v>14</v>
      </c>
      <c r="F4904" s="22"/>
      <c r="H4904" s="5" t="e">
        <f ca="1">_xlfn.FORMULATEXT(표1[[#This Row],[Q''ty]])</f>
        <v>#N/A</v>
      </c>
    </row>
    <row r="4905" spans="1:8" ht="15" hidden="1" customHeight="1" x14ac:dyDescent="0.4">
      <c r="A4905" s="6">
        <v>2026</v>
      </c>
      <c r="B4905" s="6">
        <f t="shared" si="627"/>
        <v>50</v>
      </c>
      <c r="C4905" s="13" t="s">
        <v>25</v>
      </c>
      <c r="D4905" s="2" t="s">
        <v>12</v>
      </c>
      <c r="E4905" s="14" t="s">
        <v>15</v>
      </c>
      <c r="F4905" s="22"/>
      <c r="H4905" s="5" t="e">
        <f ca="1">_xlfn.FORMULATEXT(표1[[#This Row],[Q''ty]])</f>
        <v>#N/A</v>
      </c>
    </row>
    <row r="4906" spans="1:8" ht="15" hidden="1" customHeight="1" x14ac:dyDescent="0.4">
      <c r="A4906" s="6">
        <v>2026</v>
      </c>
      <c r="B4906" s="6">
        <f t="shared" si="627"/>
        <v>50</v>
      </c>
      <c r="C4906" s="13" t="s">
        <v>25</v>
      </c>
      <c r="D4906" s="2" t="s">
        <v>12</v>
      </c>
      <c r="E4906" s="14" t="s">
        <v>16</v>
      </c>
      <c r="F4906" s="22"/>
      <c r="H4906" s="5" t="e">
        <f ca="1">_xlfn.FORMULATEXT(표1[[#This Row],[Q''ty]])</f>
        <v>#N/A</v>
      </c>
    </row>
    <row r="4907" spans="1:8" ht="15" hidden="1" customHeight="1" thickBot="1" x14ac:dyDescent="0.45">
      <c r="A4907" s="15">
        <v>2026</v>
      </c>
      <c r="B4907" s="15">
        <f t="shared" si="627"/>
        <v>50</v>
      </c>
      <c r="C4907" s="16" t="s">
        <v>25</v>
      </c>
      <c r="D4907" s="17" t="s">
        <v>12</v>
      </c>
      <c r="E4907" s="18" t="s">
        <v>17</v>
      </c>
      <c r="F4907" s="23"/>
      <c r="H4907" s="5" t="e">
        <f ca="1">_xlfn.FORMULATEXT(표1[[#This Row],[Q''ty]])</f>
        <v>#N/A</v>
      </c>
    </row>
    <row r="4908" spans="1:8" ht="15" hidden="1" customHeight="1" thickTop="1" x14ac:dyDescent="0.4">
      <c r="A4908" s="6">
        <v>2026</v>
      </c>
      <c r="B4908" s="6">
        <f t="shared" si="627"/>
        <v>50</v>
      </c>
      <c r="C4908" s="13" t="s">
        <v>26</v>
      </c>
      <c r="D4908" s="2" t="s">
        <v>6</v>
      </c>
      <c r="E4908" s="14" t="s">
        <v>7</v>
      </c>
      <c r="F4908" s="22">
        <f t="shared" ref="F4908:F4913" si="633">F4809</f>
        <v>6</v>
      </c>
      <c r="H4908" s="5" t="str">
        <f ca="1">_xlfn.FORMULATEXT(표1[[#This Row],[Q''ty]])</f>
        <v>=F4809</v>
      </c>
    </row>
    <row r="4909" spans="1:8" ht="15" hidden="1" customHeight="1" x14ac:dyDescent="0.4">
      <c r="A4909" s="6">
        <v>2026</v>
      </c>
      <c r="B4909" s="6">
        <f t="shared" si="627"/>
        <v>50</v>
      </c>
      <c r="C4909" s="13" t="s">
        <v>26</v>
      </c>
      <c r="D4909" s="2" t="s">
        <v>6</v>
      </c>
      <c r="E4909" s="14" t="s">
        <v>8</v>
      </c>
      <c r="F4909" s="22">
        <f t="shared" si="633"/>
        <v>4</v>
      </c>
      <c r="H4909" s="5" t="str">
        <f ca="1">_xlfn.FORMULATEXT(표1[[#This Row],[Q''ty]])</f>
        <v>=F4810</v>
      </c>
    </row>
    <row r="4910" spans="1:8" ht="15" hidden="1" customHeight="1" x14ac:dyDescent="0.4">
      <c r="A4910" s="6">
        <v>2026</v>
      </c>
      <c r="B4910" s="6">
        <f t="shared" si="627"/>
        <v>50</v>
      </c>
      <c r="C4910" s="13" t="s">
        <v>26</v>
      </c>
      <c r="D4910" s="2" t="s">
        <v>6</v>
      </c>
      <c r="E4910" s="14" t="s">
        <v>9</v>
      </c>
      <c r="F4910" s="22">
        <f t="shared" si="633"/>
        <v>2</v>
      </c>
      <c r="H4910" s="5" t="str">
        <f ca="1">_xlfn.FORMULATEXT(표1[[#This Row],[Q''ty]])</f>
        <v>=F4811</v>
      </c>
    </row>
    <row r="4911" spans="1:8" ht="15" hidden="1" customHeight="1" x14ac:dyDescent="0.4">
      <c r="A4911" s="6">
        <v>2026</v>
      </c>
      <c r="B4911" s="6">
        <f t="shared" si="627"/>
        <v>50</v>
      </c>
      <c r="C4911" s="13" t="s">
        <v>26</v>
      </c>
      <c r="D4911" s="2" t="s">
        <v>6</v>
      </c>
      <c r="E4911" s="14" t="s">
        <v>27</v>
      </c>
      <c r="F4911" s="22">
        <f t="shared" si="633"/>
        <v>3</v>
      </c>
      <c r="H4911" s="5" t="str">
        <f ca="1">_xlfn.FORMULATEXT(표1[[#This Row],[Q''ty]])</f>
        <v>=F4812</v>
      </c>
    </row>
    <row r="4912" spans="1:8" ht="15" hidden="1" customHeight="1" x14ac:dyDescent="0.4">
      <c r="A4912" s="6">
        <v>2026</v>
      </c>
      <c r="B4912" s="6">
        <f t="shared" si="627"/>
        <v>50</v>
      </c>
      <c r="C4912" s="13" t="s">
        <v>26</v>
      </c>
      <c r="D4912" s="2" t="s">
        <v>6</v>
      </c>
      <c r="E4912" s="14" t="s">
        <v>10</v>
      </c>
      <c r="F4912" s="22">
        <f t="shared" si="633"/>
        <v>4</v>
      </c>
      <c r="H4912" s="5" t="str">
        <f ca="1">_xlfn.FORMULATEXT(표1[[#This Row],[Q''ty]])</f>
        <v>=F4813</v>
      </c>
    </row>
    <row r="4913" spans="1:8" ht="15" hidden="1" customHeight="1" x14ac:dyDescent="0.4">
      <c r="A4913" s="6">
        <v>2026</v>
      </c>
      <c r="B4913" s="6">
        <f t="shared" si="627"/>
        <v>50</v>
      </c>
      <c r="C4913" s="13" t="s">
        <v>26</v>
      </c>
      <c r="D4913" s="2" t="s">
        <v>6</v>
      </c>
      <c r="E4913" s="14" t="s">
        <v>11</v>
      </c>
      <c r="F4913" s="22">
        <f t="shared" si="633"/>
        <v>6</v>
      </c>
      <c r="H4913" s="5" t="str">
        <f ca="1">_xlfn.FORMULATEXT(표1[[#This Row],[Q''ty]])</f>
        <v>=F4814</v>
      </c>
    </row>
    <row r="4914" spans="1:8" ht="15" hidden="1" customHeight="1" x14ac:dyDescent="0.4">
      <c r="A4914" s="6">
        <v>2026</v>
      </c>
      <c r="B4914" s="6">
        <f t="shared" si="627"/>
        <v>50</v>
      </c>
      <c r="C4914" s="13" t="s">
        <v>26</v>
      </c>
      <c r="D4914" s="2" t="s">
        <v>12</v>
      </c>
      <c r="E4914" s="14" t="str">
        <f t="shared" ref="E4914:E4951" si="634">E4815</f>
        <v>BT GT</v>
      </c>
      <c r="F4914" s="22"/>
      <c r="H4914" s="5" t="e">
        <f ca="1">_xlfn.FORMULATEXT(표1[[#This Row],[Q''ty]])</f>
        <v>#N/A</v>
      </c>
    </row>
    <row r="4915" spans="1:8" ht="15" hidden="1" customHeight="1" x14ac:dyDescent="0.4">
      <c r="A4915" s="6">
        <v>2026</v>
      </c>
      <c r="B4915" s="6">
        <f t="shared" si="627"/>
        <v>50</v>
      </c>
      <c r="C4915" s="13" t="s">
        <v>26</v>
      </c>
      <c r="D4915" s="2" t="s">
        <v>12</v>
      </c>
      <c r="E4915" s="14" t="str">
        <f t="shared" si="634"/>
        <v>WT GT</v>
      </c>
      <c r="F4915" s="22"/>
      <c r="H4915" s="5" t="e">
        <f ca="1">_xlfn.FORMULATEXT(표1[[#This Row],[Q''ty]])</f>
        <v>#N/A</v>
      </c>
    </row>
    <row r="4916" spans="1:8" ht="15" hidden="1" customHeight="1" x14ac:dyDescent="0.4">
      <c r="A4916" s="6">
        <v>2026</v>
      </c>
      <c r="B4916" s="6">
        <f t="shared" si="627"/>
        <v>50</v>
      </c>
      <c r="C4916" s="13" t="s">
        <v>26</v>
      </c>
      <c r="D4916" s="2" t="s">
        <v>12</v>
      </c>
      <c r="E4916" s="14" t="str">
        <f t="shared" si="634"/>
        <v>Bending</v>
      </c>
      <c r="F4916" s="22"/>
      <c r="H4916" s="5" t="e">
        <f ca="1">_xlfn.FORMULATEXT(표1[[#This Row],[Q''ty]])</f>
        <v>#N/A</v>
      </c>
    </row>
    <row r="4917" spans="1:8" ht="15" hidden="1" customHeight="1" x14ac:dyDescent="0.4">
      <c r="A4917" s="6">
        <v>2026</v>
      </c>
      <c r="B4917" s="6">
        <f t="shared" si="627"/>
        <v>50</v>
      </c>
      <c r="C4917" s="13" t="s">
        <v>26</v>
      </c>
      <c r="D4917" s="2" t="s">
        <v>12</v>
      </c>
      <c r="E4917" s="14" t="str">
        <f t="shared" si="634"/>
        <v>L/W</v>
      </c>
      <c r="F4917" s="22"/>
      <c r="H4917" s="5" t="e">
        <f ca="1">_xlfn.FORMULATEXT(표1[[#This Row],[Q''ty]])</f>
        <v>#N/A</v>
      </c>
    </row>
    <row r="4918" spans="1:8" ht="15" hidden="1" customHeight="1" thickBot="1" x14ac:dyDescent="0.45">
      <c r="A4918" s="15">
        <v>2026</v>
      </c>
      <c r="B4918" s="15">
        <f t="shared" ref="B4918:B4951" si="635">B4819+1</f>
        <v>50</v>
      </c>
      <c r="C4918" s="16" t="s">
        <v>26</v>
      </c>
      <c r="D4918" s="17" t="s">
        <v>12</v>
      </c>
      <c r="E4918" s="18" t="str">
        <f t="shared" si="634"/>
        <v>C/W</v>
      </c>
      <c r="F4918" s="23"/>
      <c r="H4918" s="5" t="e">
        <f ca="1">_xlfn.FORMULATEXT(표1[[#This Row],[Q''ty]])</f>
        <v>#N/A</v>
      </c>
    </row>
    <row r="4919" spans="1:8" ht="15" hidden="1" customHeight="1" thickTop="1" x14ac:dyDescent="0.4">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hidden="1" customHeight="1" x14ac:dyDescent="0.4">
      <c r="A4920" s="6">
        <v>2026</v>
      </c>
      <c r="B4920" s="6">
        <f t="shared" si="635"/>
        <v>50</v>
      </c>
      <c r="C4920" s="13" t="s">
        <v>20</v>
      </c>
      <c r="D4920" s="2" t="s">
        <v>6</v>
      </c>
      <c r="E4920" s="14" t="str">
        <f t="shared" si="634"/>
        <v>Paint Booth</v>
      </c>
      <c r="F4920" s="22">
        <f t="shared" si="636"/>
        <v>16</v>
      </c>
      <c r="H4920" s="5" t="str">
        <f ca="1">_xlfn.FORMULATEXT(표1[[#This Row],[Q''ty]])</f>
        <v>=F4821</v>
      </c>
    </row>
    <row r="4921" spans="1:8" ht="15" hidden="1" customHeight="1" x14ac:dyDescent="0.4">
      <c r="A4921" s="6">
        <v>2026</v>
      </c>
      <c r="B4921" s="6">
        <f t="shared" si="635"/>
        <v>50</v>
      </c>
      <c r="C4921" s="13" t="s">
        <v>20</v>
      </c>
      <c r="D4921" s="2" t="s">
        <v>6</v>
      </c>
      <c r="E4921" s="14" t="str">
        <f t="shared" si="634"/>
        <v>Paint Line</v>
      </c>
      <c r="F4921" s="22">
        <f t="shared" si="636"/>
        <v>8</v>
      </c>
      <c r="H4921" s="5" t="str">
        <f ca="1">_xlfn.FORMULATEXT(표1[[#This Row],[Q''ty]])</f>
        <v>=F4822</v>
      </c>
    </row>
    <row r="4922" spans="1:8" ht="15" hidden="1" customHeight="1" x14ac:dyDescent="0.4">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hidden="1" customHeight="1" x14ac:dyDescent="0.4">
      <c r="A4923" s="6">
        <v>2026</v>
      </c>
      <c r="B4923" s="6">
        <f t="shared" si="635"/>
        <v>50</v>
      </c>
      <c r="C4923" s="13" t="s">
        <v>20</v>
      </c>
      <c r="D4923" s="2" t="s">
        <v>6</v>
      </c>
      <c r="E4923" s="14" t="str">
        <f t="shared" si="634"/>
        <v>L/W Machine</v>
      </c>
      <c r="F4923" s="22">
        <f t="shared" si="636"/>
        <v>11</v>
      </c>
      <c r="H4923" s="5" t="str">
        <f ca="1">_xlfn.FORMULATEXT(표1[[#This Row],[Q''ty]])</f>
        <v>=F4824</v>
      </c>
    </row>
    <row r="4924" spans="1:8" ht="15" hidden="1" customHeight="1" x14ac:dyDescent="0.4">
      <c r="A4924" s="6">
        <v>2026</v>
      </c>
      <c r="B4924" s="6">
        <f t="shared" si="635"/>
        <v>50</v>
      </c>
      <c r="C4924" s="13" t="s">
        <v>20</v>
      </c>
      <c r="D4924" s="2" t="s">
        <v>6</v>
      </c>
      <c r="E4924" s="14" t="str">
        <f t="shared" si="634"/>
        <v>C/W Machine</v>
      </c>
      <c r="F4924" s="22">
        <f t="shared" si="636"/>
        <v>15</v>
      </c>
      <c r="H4924" s="5" t="str">
        <f ca="1">_xlfn.FORMULATEXT(표1[[#This Row],[Q''ty]])</f>
        <v>=F4825</v>
      </c>
    </row>
    <row r="4925" spans="1:8" ht="15" hidden="1" customHeight="1" x14ac:dyDescent="0.4">
      <c r="A4925" s="6">
        <v>2026</v>
      </c>
      <c r="B4925" s="6">
        <f t="shared" si="635"/>
        <v>50</v>
      </c>
      <c r="C4925" s="13" t="s">
        <v>20</v>
      </c>
      <c r="D4925" s="2" t="s">
        <v>12</v>
      </c>
      <c r="E4925" s="14" t="str">
        <f t="shared" si="634"/>
        <v>BT GT</v>
      </c>
      <c r="F4925" s="22"/>
      <c r="H4925" s="5" t="e">
        <f ca="1">_xlfn.FORMULATEXT(표1[[#This Row],[Q''ty]])</f>
        <v>#N/A</v>
      </c>
    </row>
    <row r="4926" spans="1:8" ht="15" hidden="1" customHeight="1" x14ac:dyDescent="0.4">
      <c r="A4926" s="6">
        <v>2026</v>
      </c>
      <c r="B4926" s="6">
        <f t="shared" si="635"/>
        <v>50</v>
      </c>
      <c r="C4926" s="13" t="s">
        <v>20</v>
      </c>
      <c r="D4926" s="2" t="s">
        <v>12</v>
      </c>
      <c r="E4926" s="14" t="str">
        <f t="shared" si="634"/>
        <v>WT GT</v>
      </c>
      <c r="F4926" s="22"/>
      <c r="H4926" s="5" t="e">
        <f ca="1">_xlfn.FORMULATEXT(표1[[#This Row],[Q''ty]])</f>
        <v>#N/A</v>
      </c>
    </row>
    <row r="4927" spans="1:8" ht="15" hidden="1" customHeight="1" x14ac:dyDescent="0.4">
      <c r="A4927" s="6">
        <v>2026</v>
      </c>
      <c r="B4927" s="6">
        <f t="shared" si="635"/>
        <v>50</v>
      </c>
      <c r="C4927" s="13" t="s">
        <v>20</v>
      </c>
      <c r="D4927" s="2" t="s">
        <v>12</v>
      </c>
      <c r="E4927" s="14" t="str">
        <f t="shared" si="634"/>
        <v>Bending</v>
      </c>
      <c r="F4927" s="22"/>
      <c r="H4927" s="5" t="e">
        <f ca="1">_xlfn.FORMULATEXT(표1[[#This Row],[Q''ty]])</f>
        <v>#N/A</v>
      </c>
    </row>
    <row r="4928" spans="1:8" ht="15" hidden="1" customHeight="1" x14ac:dyDescent="0.4">
      <c r="A4928" s="6">
        <v>2026</v>
      </c>
      <c r="B4928" s="6">
        <f t="shared" si="635"/>
        <v>50</v>
      </c>
      <c r="C4928" s="13" t="s">
        <v>20</v>
      </c>
      <c r="D4928" s="2" t="s">
        <v>12</v>
      </c>
      <c r="E4928" s="14" t="str">
        <f t="shared" si="634"/>
        <v>L/W</v>
      </c>
      <c r="F4928" s="22"/>
      <c r="H4928" s="5" t="e">
        <f ca="1">_xlfn.FORMULATEXT(표1[[#This Row],[Q''ty]])</f>
        <v>#N/A</v>
      </c>
    </row>
    <row r="4929" spans="1:8" ht="15" hidden="1" customHeight="1" thickBot="1" x14ac:dyDescent="0.45">
      <c r="A4929" s="15">
        <v>2026</v>
      </c>
      <c r="B4929" s="15">
        <f t="shared" si="635"/>
        <v>50</v>
      </c>
      <c r="C4929" s="16" t="s">
        <v>20</v>
      </c>
      <c r="D4929" s="17" t="s">
        <v>12</v>
      </c>
      <c r="E4929" s="18" t="str">
        <f t="shared" si="634"/>
        <v>C/W</v>
      </c>
      <c r="F4929" s="23"/>
      <c r="H4929" s="5" t="e">
        <f ca="1">_xlfn.FORMULATEXT(표1[[#This Row],[Q''ty]])</f>
        <v>#N/A</v>
      </c>
    </row>
    <row r="4930" spans="1:8" ht="15" hidden="1" customHeight="1" thickTop="1" x14ac:dyDescent="0.4">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hidden="1" customHeight="1" x14ac:dyDescent="0.4">
      <c r="A4931" s="6">
        <v>2026</v>
      </c>
      <c r="B4931" s="6">
        <f t="shared" si="635"/>
        <v>50</v>
      </c>
      <c r="C4931" s="13" t="s">
        <v>21</v>
      </c>
      <c r="D4931" s="2" t="s">
        <v>6</v>
      </c>
      <c r="E4931" s="14" t="str">
        <f t="shared" si="634"/>
        <v>Paint Booth</v>
      </c>
      <c r="F4931" s="22">
        <f t="shared" si="637"/>
        <v>4</v>
      </c>
      <c r="H4931" s="5" t="str">
        <f ca="1">_xlfn.FORMULATEXT(표1[[#This Row],[Q''ty]])</f>
        <v>=F4832</v>
      </c>
    </row>
    <row r="4932" spans="1:8" ht="15" hidden="1" customHeight="1" x14ac:dyDescent="0.4">
      <c r="A4932" s="6">
        <v>2026</v>
      </c>
      <c r="B4932" s="6">
        <f t="shared" si="635"/>
        <v>50</v>
      </c>
      <c r="C4932" s="13" t="s">
        <v>21</v>
      </c>
      <c r="D4932" s="2" t="s">
        <v>6</v>
      </c>
      <c r="E4932" s="14" t="str">
        <f t="shared" si="634"/>
        <v>Paint Line</v>
      </c>
      <c r="F4932" s="22">
        <f t="shared" si="637"/>
        <v>4</v>
      </c>
      <c r="H4932" s="5" t="str">
        <f ca="1">_xlfn.FORMULATEXT(표1[[#This Row],[Q''ty]])</f>
        <v>=F4833</v>
      </c>
    </row>
    <row r="4933" spans="1:8" ht="15" hidden="1" customHeight="1" x14ac:dyDescent="0.4">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hidden="1" customHeight="1" x14ac:dyDescent="0.4">
      <c r="A4934" s="6">
        <v>2026</v>
      </c>
      <c r="B4934" s="6">
        <f t="shared" si="635"/>
        <v>50</v>
      </c>
      <c r="C4934" s="13" t="s">
        <v>21</v>
      </c>
      <c r="D4934" s="2" t="s">
        <v>6</v>
      </c>
      <c r="E4934" s="14" t="str">
        <f t="shared" si="634"/>
        <v>L/W Machine</v>
      </c>
      <c r="F4934" s="22">
        <f t="shared" si="637"/>
        <v>4</v>
      </c>
      <c r="H4934" s="5" t="str">
        <f ca="1">_xlfn.FORMULATEXT(표1[[#This Row],[Q''ty]])</f>
        <v>=F4835</v>
      </c>
    </row>
    <row r="4935" spans="1:8" ht="15" hidden="1" customHeight="1" x14ac:dyDescent="0.4">
      <c r="A4935" s="6">
        <v>2026</v>
      </c>
      <c r="B4935" s="6">
        <f t="shared" si="635"/>
        <v>50</v>
      </c>
      <c r="C4935" s="13" t="s">
        <v>21</v>
      </c>
      <c r="D4935" s="2" t="s">
        <v>6</v>
      </c>
      <c r="E4935" s="14" t="str">
        <f t="shared" si="634"/>
        <v>C/W Machine</v>
      </c>
      <c r="F4935" s="22">
        <f t="shared" si="637"/>
        <v>6.5</v>
      </c>
      <c r="H4935" s="5" t="str">
        <f ca="1">_xlfn.FORMULATEXT(표1[[#This Row],[Q''ty]])</f>
        <v>=F4836</v>
      </c>
    </row>
    <row r="4936" spans="1:8" ht="15" hidden="1" customHeight="1" x14ac:dyDescent="0.4">
      <c r="A4936" s="6">
        <v>2026</v>
      </c>
      <c r="B4936" s="6">
        <f t="shared" si="635"/>
        <v>50</v>
      </c>
      <c r="C4936" s="13" t="s">
        <v>21</v>
      </c>
      <c r="D4936" s="2" t="s">
        <v>12</v>
      </c>
      <c r="E4936" s="14" t="str">
        <f t="shared" si="634"/>
        <v>BT GT</v>
      </c>
      <c r="F4936" s="22"/>
      <c r="H4936" s="5" t="e">
        <f ca="1">_xlfn.FORMULATEXT(표1[[#This Row],[Q''ty]])</f>
        <v>#N/A</v>
      </c>
    </row>
    <row r="4937" spans="1:8" ht="15" hidden="1" customHeight="1" x14ac:dyDescent="0.4">
      <c r="A4937" s="6">
        <v>2026</v>
      </c>
      <c r="B4937" s="6">
        <f t="shared" si="635"/>
        <v>50</v>
      </c>
      <c r="C4937" s="13" t="s">
        <v>21</v>
      </c>
      <c r="D4937" s="2" t="s">
        <v>12</v>
      </c>
      <c r="E4937" s="14" t="str">
        <f t="shared" si="634"/>
        <v>WT GT</v>
      </c>
      <c r="F4937" s="22"/>
      <c r="H4937" s="5" t="e">
        <f ca="1">_xlfn.FORMULATEXT(표1[[#This Row],[Q''ty]])</f>
        <v>#N/A</v>
      </c>
    </row>
    <row r="4938" spans="1:8" ht="15" hidden="1" customHeight="1" x14ac:dyDescent="0.4">
      <c r="A4938" s="6">
        <v>2026</v>
      </c>
      <c r="B4938" s="6">
        <f t="shared" si="635"/>
        <v>50</v>
      </c>
      <c r="C4938" s="13" t="s">
        <v>21</v>
      </c>
      <c r="D4938" s="2" t="s">
        <v>12</v>
      </c>
      <c r="E4938" s="14" t="str">
        <f t="shared" si="634"/>
        <v>Bending</v>
      </c>
      <c r="F4938" s="22"/>
      <c r="H4938" s="5" t="e">
        <f ca="1">_xlfn.FORMULATEXT(표1[[#This Row],[Q''ty]])</f>
        <v>#N/A</v>
      </c>
    </row>
    <row r="4939" spans="1:8" ht="15" hidden="1" customHeight="1" x14ac:dyDescent="0.4">
      <c r="A4939" s="6">
        <v>2026</v>
      </c>
      <c r="B4939" s="6">
        <f t="shared" si="635"/>
        <v>50</v>
      </c>
      <c r="C4939" s="13" t="s">
        <v>21</v>
      </c>
      <c r="D4939" s="2" t="s">
        <v>12</v>
      </c>
      <c r="E4939" s="14" t="str">
        <f t="shared" si="634"/>
        <v>L/W</v>
      </c>
      <c r="F4939" s="22"/>
      <c r="H4939" s="5" t="e">
        <f ca="1">_xlfn.FORMULATEXT(표1[[#This Row],[Q''ty]])</f>
        <v>#N/A</v>
      </c>
    </row>
    <row r="4940" spans="1:8" ht="15" hidden="1" customHeight="1" thickBot="1" x14ac:dyDescent="0.45">
      <c r="A4940" s="15">
        <v>2026</v>
      </c>
      <c r="B4940" s="15">
        <f t="shared" si="635"/>
        <v>50</v>
      </c>
      <c r="C4940" s="16" t="s">
        <v>21</v>
      </c>
      <c r="D4940" s="17" t="s">
        <v>12</v>
      </c>
      <c r="E4940" s="18" t="str">
        <f t="shared" si="634"/>
        <v>C/W</v>
      </c>
      <c r="F4940" s="23"/>
      <c r="H4940" s="5" t="e">
        <f ca="1">_xlfn.FORMULATEXT(표1[[#This Row],[Q''ty]])</f>
        <v>#N/A</v>
      </c>
    </row>
    <row r="4941" spans="1:8" ht="15" hidden="1" customHeight="1" thickTop="1" x14ac:dyDescent="0.4">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hidden="1" customHeight="1" x14ac:dyDescent="0.4">
      <c r="A4942" s="6">
        <v>2026</v>
      </c>
      <c r="B4942" s="6">
        <f t="shared" si="635"/>
        <v>50</v>
      </c>
      <c r="C4942" s="13" t="s">
        <v>22</v>
      </c>
      <c r="D4942" s="2" t="s">
        <v>6</v>
      </c>
      <c r="E4942" s="14" t="str">
        <f t="shared" si="634"/>
        <v>Paint Booth</v>
      </c>
      <c r="F4942" s="22">
        <f t="shared" si="638"/>
        <v>6</v>
      </c>
      <c r="H4942" s="5" t="str">
        <f ca="1">_xlfn.FORMULATEXT(표1[[#This Row],[Q''ty]])</f>
        <v>=F4843</v>
      </c>
    </row>
    <row r="4943" spans="1:8" ht="15" hidden="1" customHeight="1" x14ac:dyDescent="0.4">
      <c r="A4943" s="6">
        <v>2026</v>
      </c>
      <c r="B4943" s="6">
        <f t="shared" si="635"/>
        <v>50</v>
      </c>
      <c r="C4943" s="13" t="s">
        <v>22</v>
      </c>
      <c r="D4943" s="2" t="s">
        <v>6</v>
      </c>
      <c r="E4943" s="14" t="str">
        <f t="shared" si="634"/>
        <v>Paint Line</v>
      </c>
      <c r="F4943" s="22">
        <f t="shared" si="638"/>
        <v>4</v>
      </c>
      <c r="H4943" s="5" t="str">
        <f ca="1">_xlfn.FORMULATEXT(표1[[#This Row],[Q''ty]])</f>
        <v>=F4844</v>
      </c>
    </row>
    <row r="4944" spans="1:8" ht="15" hidden="1" customHeight="1" x14ac:dyDescent="0.4">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10" ht="15" hidden="1" customHeight="1" x14ac:dyDescent="0.4">
      <c r="A4945" s="6">
        <v>2026</v>
      </c>
      <c r="B4945" s="6">
        <f t="shared" si="635"/>
        <v>50</v>
      </c>
      <c r="C4945" s="13" t="s">
        <v>22</v>
      </c>
      <c r="D4945" s="2" t="s">
        <v>6</v>
      </c>
      <c r="E4945" s="14" t="str">
        <f t="shared" si="634"/>
        <v>L/W Machine</v>
      </c>
      <c r="F4945" s="22">
        <f t="shared" si="638"/>
        <v>7</v>
      </c>
      <c r="H4945" s="5" t="str">
        <f ca="1">_xlfn.FORMULATEXT(표1[[#This Row],[Q''ty]])</f>
        <v>=F4846</v>
      </c>
    </row>
    <row r="4946" spans="1:10" ht="15" hidden="1" customHeight="1" x14ac:dyDescent="0.4">
      <c r="A4946" s="6">
        <v>2026</v>
      </c>
      <c r="B4946" s="6">
        <f t="shared" si="635"/>
        <v>50</v>
      </c>
      <c r="C4946" s="13" t="s">
        <v>22</v>
      </c>
      <c r="D4946" s="2" t="s">
        <v>6</v>
      </c>
      <c r="E4946" s="14" t="str">
        <f t="shared" si="634"/>
        <v>C/W Machine</v>
      </c>
      <c r="F4946" s="22">
        <f t="shared" si="638"/>
        <v>12.5</v>
      </c>
      <c r="H4946" s="5" t="str">
        <f ca="1">_xlfn.FORMULATEXT(표1[[#This Row],[Q''ty]])</f>
        <v>=F4847</v>
      </c>
    </row>
    <row r="4947" spans="1:10" ht="15" hidden="1" customHeight="1" x14ac:dyDescent="0.4">
      <c r="A4947" s="6">
        <v>2026</v>
      </c>
      <c r="B4947" s="6">
        <f t="shared" si="635"/>
        <v>50</v>
      </c>
      <c r="C4947" s="13" t="s">
        <v>22</v>
      </c>
      <c r="D4947" s="2" t="s">
        <v>12</v>
      </c>
      <c r="E4947" s="14" t="str">
        <f t="shared" si="634"/>
        <v>BT GT</v>
      </c>
      <c r="F4947" s="22"/>
      <c r="H4947" s="5" t="e">
        <f ca="1">_xlfn.FORMULATEXT(표1[[#This Row],[Q''ty]])</f>
        <v>#N/A</v>
      </c>
    </row>
    <row r="4948" spans="1:10" ht="15" hidden="1" customHeight="1" x14ac:dyDescent="0.4">
      <c r="A4948" s="6">
        <v>2026</v>
      </c>
      <c r="B4948" s="6">
        <f t="shared" si="635"/>
        <v>50</v>
      </c>
      <c r="C4948" s="13" t="s">
        <v>22</v>
      </c>
      <c r="D4948" s="2" t="s">
        <v>12</v>
      </c>
      <c r="E4948" s="14" t="str">
        <f t="shared" si="634"/>
        <v>WT GT</v>
      </c>
      <c r="F4948" s="22"/>
      <c r="H4948" s="5" t="e">
        <f ca="1">_xlfn.FORMULATEXT(표1[[#This Row],[Q''ty]])</f>
        <v>#N/A</v>
      </c>
    </row>
    <row r="4949" spans="1:10" ht="15" hidden="1" customHeight="1" x14ac:dyDescent="0.4">
      <c r="A4949" s="6">
        <v>2026</v>
      </c>
      <c r="B4949" s="6">
        <f t="shared" si="635"/>
        <v>50</v>
      </c>
      <c r="C4949" s="13" t="s">
        <v>22</v>
      </c>
      <c r="D4949" s="2" t="s">
        <v>12</v>
      </c>
      <c r="E4949" s="14" t="str">
        <f t="shared" si="634"/>
        <v>Bending</v>
      </c>
      <c r="F4949" s="22"/>
      <c r="H4949" s="5" t="e">
        <f ca="1">_xlfn.FORMULATEXT(표1[[#This Row],[Q''ty]])</f>
        <v>#N/A</v>
      </c>
    </row>
    <row r="4950" spans="1:10" ht="15" hidden="1" customHeight="1" x14ac:dyDescent="0.4">
      <c r="A4950" s="6">
        <v>2026</v>
      </c>
      <c r="B4950" s="6">
        <f t="shared" si="635"/>
        <v>50</v>
      </c>
      <c r="C4950" s="13" t="s">
        <v>22</v>
      </c>
      <c r="D4950" s="2" t="s">
        <v>12</v>
      </c>
      <c r="E4950" s="14" t="str">
        <f t="shared" si="634"/>
        <v>L/W</v>
      </c>
      <c r="F4950" s="22"/>
      <c r="H4950" s="5" t="e">
        <f ca="1">_xlfn.FORMULATEXT(표1[[#This Row],[Q''ty]])</f>
        <v>#N/A</v>
      </c>
    </row>
    <row r="4951" spans="1:10" ht="15" hidden="1" customHeight="1" thickBot="1" x14ac:dyDescent="0.45">
      <c r="A4951" s="6">
        <v>2026</v>
      </c>
      <c r="B4951" s="6">
        <f t="shared" si="635"/>
        <v>50</v>
      </c>
      <c r="C4951" s="13" t="s">
        <v>22</v>
      </c>
      <c r="D4951" s="2" t="s">
        <v>12</v>
      </c>
      <c r="E4951" s="14" t="str">
        <f t="shared" si="634"/>
        <v>C/W</v>
      </c>
      <c r="F4951" s="22"/>
      <c r="H4951" s="5" t="e">
        <f ca="1">_xlfn.FORMULATEXT(표1[[#This Row],[Q''ty]])</f>
        <v>#N/A</v>
      </c>
    </row>
    <row r="4952" spans="1:10" ht="15" hidden="1" customHeight="1" thickTop="1" x14ac:dyDescent="0.4">
      <c r="A4952" s="9">
        <v>2026</v>
      </c>
      <c r="B4952" s="9">
        <f>B4853+1</f>
        <v>51</v>
      </c>
      <c r="C4952" s="10" t="s">
        <v>28</v>
      </c>
      <c r="D4952" s="11" t="s">
        <v>6</v>
      </c>
      <c r="E4952" s="12" t="s">
        <v>7</v>
      </c>
      <c r="F4952" s="21">
        <f t="shared" ref="F4952:F4957" si="639">F4853</f>
        <v>15</v>
      </c>
      <c r="H4952" s="5" t="str">
        <f ca="1">_xlfn.FORMULATEXT(표1[[#This Row],[Q''ty]])</f>
        <v>=F4853</v>
      </c>
    </row>
    <row r="4953" spans="1:10" s="2" customFormat="1" ht="15" hidden="1" customHeight="1" x14ac:dyDescent="0.4">
      <c r="A4953" s="6">
        <v>2026</v>
      </c>
      <c r="B4953" s="6">
        <f t="shared" ref="B4953:B5016" si="640">B4854+1</f>
        <v>51</v>
      </c>
      <c r="C4953" s="13" t="s">
        <v>23</v>
      </c>
      <c r="D4953" s="2" t="s">
        <v>6</v>
      </c>
      <c r="E4953" s="14" t="s">
        <v>8</v>
      </c>
      <c r="F4953" s="22">
        <f t="shared" si="639"/>
        <v>10</v>
      </c>
      <c r="H4953" s="5" t="str">
        <f ca="1">_xlfn.FORMULATEXT(표1[[#This Row],[Q''ty]])</f>
        <v>=F4854</v>
      </c>
      <c r="I4953" s="26"/>
      <c r="J4953" s="26"/>
    </row>
    <row r="4954" spans="1:10" s="2" customFormat="1" ht="15" hidden="1" customHeight="1" x14ac:dyDescent="0.4">
      <c r="A4954" s="6">
        <v>2026</v>
      </c>
      <c r="B4954" s="6">
        <f t="shared" si="640"/>
        <v>51</v>
      </c>
      <c r="C4954" s="13" t="s">
        <v>23</v>
      </c>
      <c r="D4954" s="2" t="s">
        <v>6</v>
      </c>
      <c r="E4954" s="14" t="s">
        <v>9</v>
      </c>
      <c r="F4954" s="22">
        <f t="shared" si="639"/>
        <v>5</v>
      </c>
      <c r="H4954" s="5" t="str">
        <f ca="1">_xlfn.FORMULATEXT(표1[[#This Row],[Q''ty]])</f>
        <v>=F4855</v>
      </c>
      <c r="I4954" s="26"/>
      <c r="J4954" s="26"/>
    </row>
    <row r="4955" spans="1:10" ht="15" hidden="1" customHeight="1" x14ac:dyDescent="0.4">
      <c r="A4955" s="6">
        <v>2026</v>
      </c>
      <c r="B4955" s="6">
        <f t="shared" si="640"/>
        <v>51</v>
      </c>
      <c r="C4955" s="13" t="s">
        <v>23</v>
      </c>
      <c r="D4955" s="2" t="s">
        <v>6</v>
      </c>
      <c r="E4955" s="14" t="s">
        <v>27</v>
      </c>
      <c r="F4955" s="22">
        <f t="shared" si="639"/>
        <v>6</v>
      </c>
      <c r="H4955" s="5" t="str">
        <f ca="1">_xlfn.FORMULATEXT(표1[[#This Row],[Q''ty]])</f>
        <v>=F4856</v>
      </c>
    </row>
    <row r="4956" spans="1:10" ht="15" hidden="1" customHeight="1" x14ac:dyDescent="0.4">
      <c r="A4956" s="6">
        <v>2026</v>
      </c>
      <c r="B4956" s="6">
        <f t="shared" si="640"/>
        <v>51</v>
      </c>
      <c r="C4956" s="13" t="s">
        <v>23</v>
      </c>
      <c r="D4956" s="2" t="s">
        <v>6</v>
      </c>
      <c r="E4956" s="14" t="s">
        <v>10</v>
      </c>
      <c r="F4956" s="22">
        <f t="shared" si="639"/>
        <v>10</v>
      </c>
      <c r="H4956" s="5" t="str">
        <f ca="1">_xlfn.FORMULATEXT(표1[[#This Row],[Q''ty]])</f>
        <v>=F4857</v>
      </c>
    </row>
    <row r="4957" spans="1:10" ht="15" hidden="1" customHeight="1" x14ac:dyDescent="0.4">
      <c r="A4957" s="6">
        <v>2026</v>
      </c>
      <c r="B4957" s="6">
        <f t="shared" si="640"/>
        <v>51</v>
      </c>
      <c r="C4957" s="13" t="s">
        <v>23</v>
      </c>
      <c r="D4957" s="2" t="s">
        <v>6</v>
      </c>
      <c r="E4957" s="14" t="s">
        <v>11</v>
      </c>
      <c r="F4957" s="22">
        <f t="shared" si="639"/>
        <v>10</v>
      </c>
      <c r="H4957" s="5" t="str">
        <f ca="1">_xlfn.FORMULATEXT(표1[[#This Row],[Q''ty]])</f>
        <v>=F4858</v>
      </c>
    </row>
    <row r="4958" spans="1:10" ht="15" hidden="1" customHeight="1" x14ac:dyDescent="0.4">
      <c r="A4958" s="6">
        <v>2026</v>
      </c>
      <c r="B4958" s="6">
        <f t="shared" si="640"/>
        <v>51</v>
      </c>
      <c r="C4958" s="13" t="s">
        <v>23</v>
      </c>
      <c r="D4958" s="2" t="s">
        <v>12</v>
      </c>
      <c r="E4958" s="14" t="s">
        <v>13</v>
      </c>
      <c r="F4958" s="22"/>
      <c r="H4958" s="5" t="e">
        <f ca="1">_xlfn.FORMULATEXT(표1[[#This Row],[Q''ty]])</f>
        <v>#N/A</v>
      </c>
    </row>
    <row r="4959" spans="1:10" s="2" customFormat="1" ht="15" hidden="1" customHeight="1" x14ac:dyDescent="0.4">
      <c r="A4959" s="6">
        <v>2026</v>
      </c>
      <c r="B4959" s="6">
        <f t="shared" si="640"/>
        <v>51</v>
      </c>
      <c r="C4959" s="13" t="s">
        <v>23</v>
      </c>
      <c r="D4959" s="2" t="s">
        <v>12</v>
      </c>
      <c r="E4959" s="14" t="s">
        <v>14</v>
      </c>
      <c r="F4959" s="22"/>
      <c r="H4959" s="5" t="e">
        <f ca="1">_xlfn.FORMULATEXT(표1[[#This Row],[Q''ty]])</f>
        <v>#N/A</v>
      </c>
      <c r="I4959" s="26"/>
      <c r="J4959" s="26"/>
    </row>
    <row r="4960" spans="1:10" ht="15" hidden="1" customHeight="1" x14ac:dyDescent="0.4">
      <c r="A4960" s="6">
        <v>2026</v>
      </c>
      <c r="B4960" s="6">
        <f t="shared" si="640"/>
        <v>51</v>
      </c>
      <c r="C4960" s="13" t="s">
        <v>23</v>
      </c>
      <c r="D4960" s="2" t="s">
        <v>12</v>
      </c>
      <c r="E4960" s="14" t="s">
        <v>15</v>
      </c>
      <c r="F4960" s="22"/>
      <c r="H4960" s="5" t="e">
        <f ca="1">_xlfn.FORMULATEXT(표1[[#This Row],[Q''ty]])</f>
        <v>#N/A</v>
      </c>
    </row>
    <row r="4961" spans="1:10" ht="15" hidden="1" customHeight="1" x14ac:dyDescent="0.4">
      <c r="A4961" s="6">
        <v>2026</v>
      </c>
      <c r="B4961" s="6">
        <f t="shared" si="640"/>
        <v>51</v>
      </c>
      <c r="C4961" s="13" t="s">
        <v>23</v>
      </c>
      <c r="D4961" s="2" t="s">
        <v>12</v>
      </c>
      <c r="E4961" s="14" t="s">
        <v>16</v>
      </c>
      <c r="F4961" s="22"/>
      <c r="H4961" s="5" t="e">
        <f ca="1">_xlfn.FORMULATEXT(표1[[#This Row],[Q''ty]])</f>
        <v>#N/A</v>
      </c>
    </row>
    <row r="4962" spans="1:10" ht="15" hidden="1" customHeight="1" thickBot="1" x14ac:dyDescent="0.45">
      <c r="A4962" s="15">
        <v>2026</v>
      </c>
      <c r="B4962" s="15">
        <f t="shared" si="640"/>
        <v>51</v>
      </c>
      <c r="C4962" s="16" t="s">
        <v>23</v>
      </c>
      <c r="D4962" s="17" t="s">
        <v>12</v>
      </c>
      <c r="E4962" s="18" t="s">
        <v>17</v>
      </c>
      <c r="F4962" s="23"/>
      <c r="H4962" s="5" t="e">
        <f ca="1">_xlfn.FORMULATEXT(표1[[#This Row],[Q''ty]])</f>
        <v>#N/A</v>
      </c>
    </row>
    <row r="4963" spans="1:10" ht="15" hidden="1" customHeight="1" thickTop="1" x14ac:dyDescent="0.4">
      <c r="A4963" s="9">
        <v>2026</v>
      </c>
      <c r="B4963" s="9">
        <f t="shared" si="640"/>
        <v>51</v>
      </c>
      <c r="C4963" s="10" t="s">
        <v>29</v>
      </c>
      <c r="D4963" s="11" t="s">
        <v>6</v>
      </c>
      <c r="E4963" s="12" t="s">
        <v>7</v>
      </c>
      <c r="F4963" s="21">
        <f t="shared" ref="F4963:F4968" si="641">F4864</f>
        <v>14</v>
      </c>
      <c r="H4963" s="5" t="str">
        <f ca="1">_xlfn.FORMULATEXT(표1[[#This Row],[Q''ty]])</f>
        <v>=F4864</v>
      </c>
    </row>
    <row r="4964" spans="1:10" s="2" customFormat="1" ht="15" hidden="1" customHeight="1" x14ac:dyDescent="0.4">
      <c r="A4964" s="6">
        <v>2026</v>
      </c>
      <c r="B4964" s="6">
        <f t="shared" si="640"/>
        <v>51</v>
      </c>
      <c r="C4964" s="13" t="s">
        <v>24</v>
      </c>
      <c r="D4964" s="2" t="s">
        <v>6</v>
      </c>
      <c r="E4964" s="14" t="s">
        <v>8</v>
      </c>
      <c r="F4964" s="22">
        <f t="shared" si="641"/>
        <v>8</v>
      </c>
      <c r="H4964" s="5" t="str">
        <f ca="1">_xlfn.FORMULATEXT(표1[[#This Row],[Q''ty]])</f>
        <v>=F4865</v>
      </c>
      <c r="I4964" s="26"/>
      <c r="J4964" s="26"/>
    </row>
    <row r="4965" spans="1:10" s="2" customFormat="1" ht="15" hidden="1" customHeight="1" x14ac:dyDescent="0.4">
      <c r="A4965" s="6">
        <v>2026</v>
      </c>
      <c r="B4965" s="6">
        <f t="shared" si="640"/>
        <v>51</v>
      </c>
      <c r="C4965" s="13" t="s">
        <v>24</v>
      </c>
      <c r="D4965" s="2" t="s">
        <v>6</v>
      </c>
      <c r="E4965" s="14" t="s">
        <v>9</v>
      </c>
      <c r="F4965" s="22">
        <f t="shared" si="641"/>
        <v>4</v>
      </c>
      <c r="H4965" s="5" t="str">
        <f ca="1">_xlfn.FORMULATEXT(표1[[#This Row],[Q''ty]])</f>
        <v>=F4866</v>
      </c>
      <c r="I4965" s="26"/>
      <c r="J4965" s="26"/>
    </row>
    <row r="4966" spans="1:10" ht="15" hidden="1" customHeight="1" x14ac:dyDescent="0.4">
      <c r="A4966" s="6">
        <v>2026</v>
      </c>
      <c r="B4966" s="6">
        <f t="shared" si="640"/>
        <v>51</v>
      </c>
      <c r="C4966" s="13" t="s">
        <v>24</v>
      </c>
      <c r="D4966" s="2" t="s">
        <v>6</v>
      </c>
      <c r="E4966" s="14" t="s">
        <v>27</v>
      </c>
      <c r="F4966" s="22">
        <f t="shared" si="641"/>
        <v>3</v>
      </c>
      <c r="H4966" s="5" t="str">
        <f ca="1">_xlfn.FORMULATEXT(표1[[#This Row],[Q''ty]])</f>
        <v>=F4867</v>
      </c>
    </row>
    <row r="4967" spans="1:10" ht="15" hidden="1" customHeight="1" x14ac:dyDescent="0.4">
      <c r="A4967" s="6">
        <v>2026</v>
      </c>
      <c r="B4967" s="6">
        <f t="shared" si="640"/>
        <v>51</v>
      </c>
      <c r="C4967" s="13" t="s">
        <v>24</v>
      </c>
      <c r="D4967" s="2" t="s">
        <v>6</v>
      </c>
      <c r="E4967" s="14" t="s">
        <v>10</v>
      </c>
      <c r="F4967" s="22">
        <f t="shared" si="641"/>
        <v>6</v>
      </c>
      <c r="H4967" s="5" t="str">
        <f ca="1">_xlfn.FORMULATEXT(표1[[#This Row],[Q''ty]])</f>
        <v>=F4868</v>
      </c>
    </row>
    <row r="4968" spans="1:10" ht="15" hidden="1" customHeight="1" x14ac:dyDescent="0.4">
      <c r="A4968" s="6">
        <v>2026</v>
      </c>
      <c r="B4968" s="6">
        <f t="shared" si="640"/>
        <v>51</v>
      </c>
      <c r="C4968" s="13" t="s">
        <v>24</v>
      </c>
      <c r="D4968" s="2" t="s">
        <v>6</v>
      </c>
      <c r="E4968" s="14" t="s">
        <v>11</v>
      </c>
      <c r="F4968" s="22">
        <f t="shared" si="641"/>
        <v>8.8000000000000007</v>
      </c>
      <c r="H4968" s="5" t="str">
        <f ca="1">_xlfn.FORMULATEXT(표1[[#This Row],[Q''ty]])</f>
        <v>=F4869</v>
      </c>
    </row>
    <row r="4969" spans="1:10" ht="15" hidden="1" customHeight="1" x14ac:dyDescent="0.4">
      <c r="A4969" s="6">
        <v>2026</v>
      </c>
      <c r="B4969" s="6">
        <f t="shared" si="640"/>
        <v>51</v>
      </c>
      <c r="C4969" s="13" t="s">
        <v>24</v>
      </c>
      <c r="D4969" s="2" t="s">
        <v>12</v>
      </c>
      <c r="E4969" s="14" t="s">
        <v>13</v>
      </c>
      <c r="F4969" s="22"/>
      <c r="H4969" s="5" t="e">
        <f ca="1">_xlfn.FORMULATEXT(표1[[#This Row],[Q''ty]])</f>
        <v>#N/A</v>
      </c>
    </row>
    <row r="4970" spans="1:10" s="2" customFormat="1" ht="15" hidden="1" customHeight="1" x14ac:dyDescent="0.4">
      <c r="A4970" s="6">
        <v>2026</v>
      </c>
      <c r="B4970" s="6">
        <f t="shared" si="640"/>
        <v>51</v>
      </c>
      <c r="C4970" s="13" t="s">
        <v>24</v>
      </c>
      <c r="D4970" s="2" t="s">
        <v>12</v>
      </c>
      <c r="E4970" s="14" t="s">
        <v>14</v>
      </c>
      <c r="F4970" s="22"/>
      <c r="H4970" s="5" t="e">
        <f ca="1">_xlfn.FORMULATEXT(표1[[#This Row],[Q''ty]])</f>
        <v>#N/A</v>
      </c>
      <c r="I4970" s="26"/>
      <c r="J4970" s="26"/>
    </row>
    <row r="4971" spans="1:10" ht="15" hidden="1" customHeight="1" x14ac:dyDescent="0.4">
      <c r="A4971" s="6">
        <v>2026</v>
      </c>
      <c r="B4971" s="6">
        <f t="shared" si="640"/>
        <v>51</v>
      </c>
      <c r="C4971" s="13" t="s">
        <v>24</v>
      </c>
      <c r="D4971" s="2" t="s">
        <v>12</v>
      </c>
      <c r="E4971" s="14" t="s">
        <v>15</v>
      </c>
      <c r="F4971" s="22"/>
      <c r="H4971" s="5" t="e">
        <f ca="1">_xlfn.FORMULATEXT(표1[[#This Row],[Q''ty]])</f>
        <v>#N/A</v>
      </c>
    </row>
    <row r="4972" spans="1:10" ht="15" hidden="1" customHeight="1" x14ac:dyDescent="0.4">
      <c r="A4972" s="6">
        <v>2026</v>
      </c>
      <c r="B4972" s="6">
        <f t="shared" si="640"/>
        <v>51</v>
      </c>
      <c r="C4972" s="13" t="s">
        <v>24</v>
      </c>
      <c r="D4972" s="2" t="s">
        <v>12</v>
      </c>
      <c r="E4972" s="14" t="s">
        <v>16</v>
      </c>
      <c r="F4972" s="22"/>
      <c r="H4972" s="5" t="e">
        <f ca="1">_xlfn.FORMULATEXT(표1[[#This Row],[Q''ty]])</f>
        <v>#N/A</v>
      </c>
    </row>
    <row r="4973" spans="1:10" ht="15" hidden="1" customHeight="1" thickBot="1" x14ac:dyDescent="0.45">
      <c r="A4973" s="15">
        <v>2026</v>
      </c>
      <c r="B4973" s="15">
        <f t="shared" si="640"/>
        <v>51</v>
      </c>
      <c r="C4973" s="16" t="s">
        <v>24</v>
      </c>
      <c r="D4973" s="17" t="s">
        <v>12</v>
      </c>
      <c r="E4973" s="18" t="s">
        <v>17</v>
      </c>
      <c r="F4973" s="23"/>
      <c r="H4973" s="5" t="e">
        <f ca="1">_xlfn.FORMULATEXT(표1[[#This Row],[Q''ty]])</f>
        <v>#N/A</v>
      </c>
    </row>
    <row r="4974" spans="1:10" ht="15" hidden="1" customHeight="1" thickTop="1" x14ac:dyDescent="0.4">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10" ht="15" hidden="1" customHeight="1" x14ac:dyDescent="0.4">
      <c r="A4975" s="6">
        <v>2026</v>
      </c>
      <c r="B4975" s="6">
        <f t="shared" si="640"/>
        <v>51</v>
      </c>
      <c r="C4975" s="13" t="s">
        <v>18</v>
      </c>
      <c r="D4975" s="2" t="s">
        <v>6</v>
      </c>
      <c r="E4975" s="14" t="str">
        <f t="shared" si="642"/>
        <v>Paint Booth</v>
      </c>
      <c r="F4975" s="22">
        <f t="shared" si="642"/>
        <v>3</v>
      </c>
      <c r="H4975" s="5" t="str">
        <f ca="1">_xlfn.FORMULATEXT(표1[[#This Row],[Q''ty]])</f>
        <v>=F4876</v>
      </c>
    </row>
    <row r="4976" spans="1:10" ht="15" hidden="1" customHeight="1" x14ac:dyDescent="0.4">
      <c r="A4976" s="6">
        <v>2026</v>
      </c>
      <c r="B4976" s="6">
        <f t="shared" si="640"/>
        <v>51</v>
      </c>
      <c r="C4976" s="13" t="s">
        <v>18</v>
      </c>
      <c r="D4976" s="2" t="s">
        <v>6</v>
      </c>
      <c r="E4976" s="14" t="str">
        <f t="shared" si="642"/>
        <v>Paint Line</v>
      </c>
      <c r="F4976" s="22">
        <f t="shared" si="642"/>
        <v>2</v>
      </c>
      <c r="H4976" s="5" t="str">
        <f ca="1">_xlfn.FORMULATEXT(표1[[#This Row],[Q''ty]])</f>
        <v>=F4877</v>
      </c>
    </row>
    <row r="4977" spans="1:8" ht="15" hidden="1" customHeight="1" x14ac:dyDescent="0.4">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hidden="1" customHeight="1" x14ac:dyDescent="0.4">
      <c r="A4978" s="6">
        <v>2026</v>
      </c>
      <c r="B4978" s="6">
        <f t="shared" si="640"/>
        <v>51</v>
      </c>
      <c r="C4978" s="13" t="s">
        <v>18</v>
      </c>
      <c r="D4978" s="2" t="s">
        <v>6</v>
      </c>
      <c r="E4978" s="14" t="str">
        <f t="shared" si="642"/>
        <v>L/W Machine</v>
      </c>
      <c r="F4978" s="22">
        <f t="shared" si="642"/>
        <v>2</v>
      </c>
      <c r="H4978" s="5" t="str">
        <f ca="1">_xlfn.FORMULATEXT(표1[[#This Row],[Q''ty]])</f>
        <v>=F4879</v>
      </c>
    </row>
    <row r="4979" spans="1:8" ht="15" hidden="1" customHeight="1" x14ac:dyDescent="0.4">
      <c r="A4979" s="6">
        <v>2026</v>
      </c>
      <c r="B4979" s="6">
        <f t="shared" si="640"/>
        <v>51</v>
      </c>
      <c r="C4979" s="13" t="s">
        <v>18</v>
      </c>
      <c r="D4979" s="2" t="s">
        <v>6</v>
      </c>
      <c r="E4979" s="14" t="str">
        <f t="shared" si="642"/>
        <v>C/W Machine</v>
      </c>
      <c r="F4979" s="22">
        <f t="shared" si="642"/>
        <v>3</v>
      </c>
      <c r="H4979" s="5" t="str">
        <f ca="1">_xlfn.FORMULATEXT(표1[[#This Row],[Q''ty]])</f>
        <v>=F4880</v>
      </c>
    </row>
    <row r="4980" spans="1:8" ht="15" hidden="1" customHeight="1" x14ac:dyDescent="0.4">
      <c r="A4980" s="6">
        <v>2026</v>
      </c>
      <c r="B4980" s="6">
        <f t="shared" si="640"/>
        <v>51</v>
      </c>
      <c r="C4980" s="13" t="s">
        <v>18</v>
      </c>
      <c r="D4980" s="2" t="s">
        <v>12</v>
      </c>
      <c r="E4980" s="14" t="str">
        <f t="shared" ref="E4980:E4995" si="643">E4881</f>
        <v>BT GT</v>
      </c>
      <c r="F4980" s="22"/>
      <c r="H4980" s="5" t="e">
        <f ca="1">_xlfn.FORMULATEXT(표1[[#This Row],[Q''ty]])</f>
        <v>#N/A</v>
      </c>
    </row>
    <row r="4981" spans="1:8" ht="15" hidden="1" customHeight="1" x14ac:dyDescent="0.4">
      <c r="A4981" s="6">
        <v>2026</v>
      </c>
      <c r="B4981" s="6">
        <f t="shared" si="640"/>
        <v>51</v>
      </c>
      <c r="C4981" s="13" t="s">
        <v>18</v>
      </c>
      <c r="D4981" s="2" t="s">
        <v>12</v>
      </c>
      <c r="E4981" s="14" t="str">
        <f t="shared" si="643"/>
        <v>WT GT</v>
      </c>
      <c r="F4981" s="22"/>
      <c r="H4981" s="5" t="e">
        <f ca="1">_xlfn.FORMULATEXT(표1[[#This Row],[Q''ty]])</f>
        <v>#N/A</v>
      </c>
    </row>
    <row r="4982" spans="1:8" ht="15" hidden="1" customHeight="1" x14ac:dyDescent="0.4">
      <c r="A4982" s="6">
        <v>2026</v>
      </c>
      <c r="B4982" s="6">
        <f t="shared" si="640"/>
        <v>51</v>
      </c>
      <c r="C4982" s="13" t="s">
        <v>18</v>
      </c>
      <c r="D4982" s="2" t="s">
        <v>12</v>
      </c>
      <c r="E4982" s="14" t="str">
        <f t="shared" si="643"/>
        <v>Bending</v>
      </c>
      <c r="F4982" s="22"/>
      <c r="H4982" s="5" t="e">
        <f ca="1">_xlfn.FORMULATEXT(표1[[#This Row],[Q''ty]])</f>
        <v>#N/A</v>
      </c>
    </row>
    <row r="4983" spans="1:8" ht="15" hidden="1" customHeight="1" x14ac:dyDescent="0.4">
      <c r="A4983" s="6">
        <v>2026</v>
      </c>
      <c r="B4983" s="6">
        <f t="shared" si="640"/>
        <v>51</v>
      </c>
      <c r="C4983" s="13" t="s">
        <v>18</v>
      </c>
      <c r="D4983" s="2" t="s">
        <v>12</v>
      </c>
      <c r="E4983" s="14" t="str">
        <f t="shared" si="643"/>
        <v>L/W</v>
      </c>
      <c r="F4983" s="22"/>
      <c r="H4983" s="5" t="e">
        <f ca="1">_xlfn.FORMULATEXT(표1[[#This Row],[Q''ty]])</f>
        <v>#N/A</v>
      </c>
    </row>
    <row r="4984" spans="1:8" ht="15" hidden="1" customHeight="1" thickBot="1" x14ac:dyDescent="0.45">
      <c r="A4984" s="15">
        <v>2026</v>
      </c>
      <c r="B4984" s="15">
        <f t="shared" si="640"/>
        <v>51</v>
      </c>
      <c r="C4984" s="16" t="s">
        <v>18</v>
      </c>
      <c r="D4984" s="17" t="s">
        <v>12</v>
      </c>
      <c r="E4984" s="18" t="str">
        <f t="shared" si="643"/>
        <v>C/W</v>
      </c>
      <c r="F4984" s="23"/>
      <c r="H4984" s="5" t="e">
        <f ca="1">_xlfn.FORMULATEXT(표1[[#This Row],[Q''ty]])</f>
        <v>#N/A</v>
      </c>
    </row>
    <row r="4985" spans="1:8" ht="15" hidden="1" customHeight="1" thickTop="1" x14ac:dyDescent="0.4">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hidden="1" customHeight="1" x14ac:dyDescent="0.4">
      <c r="A4986" s="6">
        <v>2026</v>
      </c>
      <c r="B4986" s="6">
        <f t="shared" si="640"/>
        <v>51</v>
      </c>
      <c r="C4986" s="13" t="s">
        <v>19</v>
      </c>
      <c r="D4986" s="2" t="s">
        <v>6</v>
      </c>
      <c r="E4986" s="14" t="str">
        <f t="shared" si="643"/>
        <v>Paint Booth</v>
      </c>
      <c r="F4986" s="22">
        <f t="shared" si="644"/>
        <v>22</v>
      </c>
      <c r="H4986" s="5" t="str">
        <f ca="1">_xlfn.FORMULATEXT(표1[[#This Row],[Q''ty]])</f>
        <v>=F4887</v>
      </c>
    </row>
    <row r="4987" spans="1:8" ht="15" hidden="1" customHeight="1" x14ac:dyDescent="0.4">
      <c r="A4987" s="6">
        <v>2026</v>
      </c>
      <c r="B4987" s="6">
        <f t="shared" si="640"/>
        <v>51</v>
      </c>
      <c r="C4987" s="13" t="s">
        <v>19</v>
      </c>
      <c r="D4987" s="2" t="s">
        <v>6</v>
      </c>
      <c r="E4987" s="14" t="str">
        <f t="shared" si="643"/>
        <v>Paint Line</v>
      </c>
      <c r="F4987" s="22">
        <f t="shared" si="644"/>
        <v>6</v>
      </c>
      <c r="H4987" s="5" t="str">
        <f ca="1">_xlfn.FORMULATEXT(표1[[#This Row],[Q''ty]])</f>
        <v>=F4888</v>
      </c>
    </row>
    <row r="4988" spans="1:8" ht="15" hidden="1" customHeight="1" x14ac:dyDescent="0.4">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hidden="1" customHeight="1" x14ac:dyDescent="0.4">
      <c r="A4989" s="6">
        <v>2026</v>
      </c>
      <c r="B4989" s="6">
        <f t="shared" si="640"/>
        <v>51</v>
      </c>
      <c r="C4989" s="13" t="s">
        <v>19</v>
      </c>
      <c r="D4989" s="2" t="s">
        <v>6</v>
      </c>
      <c r="E4989" s="14" t="str">
        <f t="shared" si="643"/>
        <v>L/W Machine</v>
      </c>
      <c r="F4989" s="22">
        <f t="shared" si="644"/>
        <v>10</v>
      </c>
      <c r="H4989" s="5" t="str">
        <f ca="1">_xlfn.FORMULATEXT(표1[[#This Row],[Q''ty]])</f>
        <v>=F4890</v>
      </c>
    </row>
    <row r="4990" spans="1:8" ht="15" hidden="1" customHeight="1" x14ac:dyDescent="0.4">
      <c r="A4990" s="6">
        <v>2026</v>
      </c>
      <c r="B4990" s="6">
        <f t="shared" si="640"/>
        <v>51</v>
      </c>
      <c r="C4990" s="13" t="s">
        <v>19</v>
      </c>
      <c r="D4990" s="2" t="s">
        <v>6</v>
      </c>
      <c r="E4990" s="14" t="str">
        <f t="shared" si="643"/>
        <v>C/W Machine</v>
      </c>
      <c r="F4990" s="22">
        <f t="shared" si="644"/>
        <v>12</v>
      </c>
      <c r="H4990" s="5" t="str">
        <f ca="1">_xlfn.FORMULATEXT(표1[[#This Row],[Q''ty]])</f>
        <v>=F4891</v>
      </c>
    </row>
    <row r="4991" spans="1:8" ht="15" hidden="1" customHeight="1" x14ac:dyDescent="0.4">
      <c r="A4991" s="6">
        <v>2026</v>
      </c>
      <c r="B4991" s="6">
        <f t="shared" si="640"/>
        <v>51</v>
      </c>
      <c r="C4991" s="13" t="s">
        <v>19</v>
      </c>
      <c r="D4991" s="2" t="s">
        <v>12</v>
      </c>
      <c r="E4991" s="14" t="str">
        <f t="shared" si="643"/>
        <v>BT GT</v>
      </c>
      <c r="F4991" s="22"/>
      <c r="H4991" s="5" t="e">
        <f ca="1">_xlfn.FORMULATEXT(표1[[#This Row],[Q''ty]])</f>
        <v>#N/A</v>
      </c>
    </row>
    <row r="4992" spans="1:8" ht="15" hidden="1" customHeight="1" x14ac:dyDescent="0.4">
      <c r="A4992" s="6">
        <v>2026</v>
      </c>
      <c r="B4992" s="6">
        <f t="shared" si="640"/>
        <v>51</v>
      </c>
      <c r="C4992" s="13" t="s">
        <v>19</v>
      </c>
      <c r="D4992" s="2" t="s">
        <v>12</v>
      </c>
      <c r="E4992" s="14" t="str">
        <f t="shared" si="643"/>
        <v>WT GT</v>
      </c>
      <c r="F4992" s="22"/>
      <c r="H4992" s="5" t="e">
        <f ca="1">_xlfn.FORMULATEXT(표1[[#This Row],[Q''ty]])</f>
        <v>#N/A</v>
      </c>
    </row>
    <row r="4993" spans="1:8" ht="15" hidden="1" customHeight="1" x14ac:dyDescent="0.4">
      <c r="A4993" s="6">
        <v>2026</v>
      </c>
      <c r="B4993" s="6">
        <f t="shared" si="640"/>
        <v>51</v>
      </c>
      <c r="C4993" s="13" t="s">
        <v>19</v>
      </c>
      <c r="D4993" s="2" t="s">
        <v>12</v>
      </c>
      <c r="E4993" s="14" t="str">
        <f t="shared" si="643"/>
        <v>Bending</v>
      </c>
      <c r="F4993" s="22"/>
      <c r="H4993" s="5" t="e">
        <f ca="1">_xlfn.FORMULATEXT(표1[[#This Row],[Q''ty]])</f>
        <v>#N/A</v>
      </c>
    </row>
    <row r="4994" spans="1:8" ht="15" hidden="1" customHeight="1" x14ac:dyDescent="0.4">
      <c r="A4994" s="6">
        <v>2026</v>
      </c>
      <c r="B4994" s="6">
        <f t="shared" si="640"/>
        <v>51</v>
      </c>
      <c r="C4994" s="13" t="s">
        <v>19</v>
      </c>
      <c r="D4994" s="2" t="s">
        <v>12</v>
      </c>
      <c r="E4994" s="14" t="str">
        <f t="shared" si="643"/>
        <v>L/W</v>
      </c>
      <c r="F4994" s="22"/>
      <c r="H4994" s="5" t="e">
        <f ca="1">_xlfn.FORMULATEXT(표1[[#This Row],[Q''ty]])</f>
        <v>#N/A</v>
      </c>
    </row>
    <row r="4995" spans="1:8" ht="15" hidden="1" customHeight="1" thickBot="1" x14ac:dyDescent="0.45">
      <c r="A4995" s="15">
        <v>2026</v>
      </c>
      <c r="B4995" s="15">
        <f t="shared" si="640"/>
        <v>51</v>
      </c>
      <c r="C4995" s="16" t="s">
        <v>19</v>
      </c>
      <c r="D4995" s="17" t="s">
        <v>12</v>
      </c>
      <c r="E4995" s="18" t="str">
        <f t="shared" si="643"/>
        <v>C/W</v>
      </c>
      <c r="F4995" s="23"/>
      <c r="H4995" s="5" t="e">
        <f ca="1">_xlfn.FORMULATEXT(표1[[#This Row],[Q''ty]])</f>
        <v>#N/A</v>
      </c>
    </row>
    <row r="4996" spans="1:8" ht="15" hidden="1" customHeight="1" thickTop="1" x14ac:dyDescent="0.4">
      <c r="A4996" s="6">
        <v>2026</v>
      </c>
      <c r="B4996" s="6">
        <f t="shared" si="640"/>
        <v>51</v>
      </c>
      <c r="C4996" s="13" t="s">
        <v>25</v>
      </c>
      <c r="D4996" s="2" t="s">
        <v>6</v>
      </c>
      <c r="E4996" s="14" t="s">
        <v>7</v>
      </c>
      <c r="F4996" s="22">
        <f t="shared" ref="F4996:F5001" si="645">F4897</f>
        <v>3</v>
      </c>
      <c r="H4996" s="5" t="str">
        <f ca="1">_xlfn.FORMULATEXT(표1[[#This Row],[Q''ty]])</f>
        <v>=F4897</v>
      </c>
    </row>
    <row r="4997" spans="1:8" ht="15" hidden="1" customHeight="1" x14ac:dyDescent="0.4">
      <c r="A4997" s="6">
        <v>2026</v>
      </c>
      <c r="B4997" s="6">
        <f t="shared" si="640"/>
        <v>51</v>
      </c>
      <c r="C4997" s="13" t="s">
        <v>25</v>
      </c>
      <c r="D4997" s="2" t="s">
        <v>6</v>
      </c>
      <c r="E4997" s="14" t="s">
        <v>8</v>
      </c>
      <c r="F4997" s="22">
        <f t="shared" si="645"/>
        <v>3</v>
      </c>
      <c r="H4997" s="5" t="str">
        <f ca="1">_xlfn.FORMULATEXT(표1[[#This Row],[Q''ty]])</f>
        <v>=F4898</v>
      </c>
    </row>
    <row r="4998" spans="1:8" ht="15" hidden="1" customHeight="1" x14ac:dyDescent="0.4">
      <c r="A4998" s="6">
        <v>2026</v>
      </c>
      <c r="B4998" s="6">
        <f t="shared" si="640"/>
        <v>51</v>
      </c>
      <c r="C4998" s="13" t="s">
        <v>25</v>
      </c>
      <c r="D4998" s="2" t="s">
        <v>6</v>
      </c>
      <c r="E4998" s="14" t="s">
        <v>9</v>
      </c>
      <c r="F4998" s="22">
        <f t="shared" si="645"/>
        <v>2</v>
      </c>
      <c r="H4998" s="5" t="str">
        <f ca="1">_xlfn.FORMULATEXT(표1[[#This Row],[Q''ty]])</f>
        <v>=F4899</v>
      </c>
    </row>
    <row r="4999" spans="1:8" ht="15" hidden="1" customHeight="1" x14ac:dyDescent="0.4">
      <c r="A4999" s="6">
        <v>2026</v>
      </c>
      <c r="B4999" s="6">
        <f t="shared" si="640"/>
        <v>51</v>
      </c>
      <c r="C4999" s="13" t="s">
        <v>25</v>
      </c>
      <c r="D4999" s="2" t="s">
        <v>6</v>
      </c>
      <c r="E4999" s="14" t="s">
        <v>27</v>
      </c>
      <c r="F4999" s="22">
        <f t="shared" si="645"/>
        <v>2</v>
      </c>
      <c r="H4999" s="5" t="str">
        <f ca="1">_xlfn.FORMULATEXT(표1[[#This Row],[Q''ty]])</f>
        <v>=F4900</v>
      </c>
    </row>
    <row r="5000" spans="1:8" ht="15" hidden="1" customHeight="1" x14ac:dyDescent="0.4">
      <c r="A5000" s="6">
        <v>2026</v>
      </c>
      <c r="B5000" s="6">
        <f t="shared" si="640"/>
        <v>51</v>
      </c>
      <c r="C5000" s="13" t="s">
        <v>25</v>
      </c>
      <c r="D5000" s="2" t="s">
        <v>6</v>
      </c>
      <c r="E5000" s="14" t="s">
        <v>10</v>
      </c>
      <c r="F5000" s="22">
        <f t="shared" si="645"/>
        <v>3</v>
      </c>
      <c r="H5000" s="5" t="str">
        <f ca="1">_xlfn.FORMULATEXT(표1[[#This Row],[Q''ty]])</f>
        <v>=F4901</v>
      </c>
    </row>
    <row r="5001" spans="1:8" ht="15" hidden="1" customHeight="1" x14ac:dyDescent="0.4">
      <c r="A5001" s="6">
        <v>2026</v>
      </c>
      <c r="B5001" s="6">
        <f t="shared" si="640"/>
        <v>51</v>
      </c>
      <c r="C5001" s="13" t="s">
        <v>25</v>
      </c>
      <c r="D5001" s="2" t="s">
        <v>6</v>
      </c>
      <c r="E5001" s="14" t="s">
        <v>11</v>
      </c>
      <c r="F5001" s="22">
        <f t="shared" si="645"/>
        <v>4</v>
      </c>
      <c r="H5001" s="5" t="str">
        <f ca="1">_xlfn.FORMULATEXT(표1[[#This Row],[Q''ty]])</f>
        <v>=F4902</v>
      </c>
    </row>
    <row r="5002" spans="1:8" ht="15" hidden="1" customHeight="1" x14ac:dyDescent="0.4">
      <c r="A5002" s="6">
        <v>2026</v>
      </c>
      <c r="B5002" s="6">
        <f t="shared" si="640"/>
        <v>51</v>
      </c>
      <c r="C5002" s="13" t="s">
        <v>25</v>
      </c>
      <c r="D5002" s="2" t="s">
        <v>12</v>
      </c>
      <c r="E5002" s="14" t="s">
        <v>13</v>
      </c>
      <c r="F5002" s="22"/>
      <c r="H5002" s="5" t="e">
        <f ca="1">_xlfn.FORMULATEXT(표1[[#This Row],[Q''ty]])</f>
        <v>#N/A</v>
      </c>
    </row>
    <row r="5003" spans="1:8" ht="15" hidden="1" customHeight="1" x14ac:dyDescent="0.4">
      <c r="A5003" s="6">
        <v>2026</v>
      </c>
      <c r="B5003" s="6">
        <f t="shared" si="640"/>
        <v>51</v>
      </c>
      <c r="C5003" s="13" t="s">
        <v>25</v>
      </c>
      <c r="D5003" s="2" t="s">
        <v>12</v>
      </c>
      <c r="E5003" s="14" t="s">
        <v>14</v>
      </c>
      <c r="F5003" s="22"/>
      <c r="H5003" s="5" t="e">
        <f ca="1">_xlfn.FORMULATEXT(표1[[#This Row],[Q''ty]])</f>
        <v>#N/A</v>
      </c>
    </row>
    <row r="5004" spans="1:8" ht="15" hidden="1" customHeight="1" x14ac:dyDescent="0.4">
      <c r="A5004" s="6">
        <v>2026</v>
      </c>
      <c r="B5004" s="6">
        <f t="shared" si="640"/>
        <v>51</v>
      </c>
      <c r="C5004" s="13" t="s">
        <v>25</v>
      </c>
      <c r="D5004" s="2" t="s">
        <v>12</v>
      </c>
      <c r="E5004" s="14" t="s">
        <v>15</v>
      </c>
      <c r="F5004" s="22"/>
      <c r="H5004" s="5" t="e">
        <f ca="1">_xlfn.FORMULATEXT(표1[[#This Row],[Q''ty]])</f>
        <v>#N/A</v>
      </c>
    </row>
    <row r="5005" spans="1:8" ht="15" hidden="1" customHeight="1" x14ac:dyDescent="0.4">
      <c r="A5005" s="6">
        <v>2026</v>
      </c>
      <c r="B5005" s="6">
        <f t="shared" si="640"/>
        <v>51</v>
      </c>
      <c r="C5005" s="13" t="s">
        <v>25</v>
      </c>
      <c r="D5005" s="2" t="s">
        <v>12</v>
      </c>
      <c r="E5005" s="14" t="s">
        <v>16</v>
      </c>
      <c r="F5005" s="22"/>
      <c r="H5005" s="5" t="e">
        <f ca="1">_xlfn.FORMULATEXT(표1[[#This Row],[Q''ty]])</f>
        <v>#N/A</v>
      </c>
    </row>
    <row r="5006" spans="1:8" ht="15" hidden="1" customHeight="1" thickBot="1" x14ac:dyDescent="0.45">
      <c r="A5006" s="15">
        <v>2026</v>
      </c>
      <c r="B5006" s="15">
        <f t="shared" si="640"/>
        <v>51</v>
      </c>
      <c r="C5006" s="16" t="s">
        <v>25</v>
      </c>
      <c r="D5006" s="17" t="s">
        <v>12</v>
      </c>
      <c r="E5006" s="18" t="s">
        <v>17</v>
      </c>
      <c r="F5006" s="23"/>
      <c r="H5006" s="5" t="e">
        <f ca="1">_xlfn.FORMULATEXT(표1[[#This Row],[Q''ty]])</f>
        <v>#N/A</v>
      </c>
    </row>
    <row r="5007" spans="1:8" ht="15" hidden="1" customHeight="1" thickTop="1" x14ac:dyDescent="0.4">
      <c r="A5007" s="6">
        <v>2026</v>
      </c>
      <c r="B5007" s="6">
        <f t="shared" si="640"/>
        <v>51</v>
      </c>
      <c r="C5007" s="13" t="s">
        <v>26</v>
      </c>
      <c r="D5007" s="2" t="s">
        <v>6</v>
      </c>
      <c r="E5007" s="14" t="s">
        <v>7</v>
      </c>
      <c r="F5007" s="22">
        <f t="shared" ref="F5007:F5012" si="646">F4908</f>
        <v>6</v>
      </c>
      <c r="H5007" s="5" t="str">
        <f ca="1">_xlfn.FORMULATEXT(표1[[#This Row],[Q''ty]])</f>
        <v>=F4908</v>
      </c>
    </row>
    <row r="5008" spans="1:8" ht="15" hidden="1" customHeight="1" x14ac:dyDescent="0.4">
      <c r="A5008" s="6">
        <v>2026</v>
      </c>
      <c r="B5008" s="6">
        <f t="shared" si="640"/>
        <v>51</v>
      </c>
      <c r="C5008" s="13" t="s">
        <v>26</v>
      </c>
      <c r="D5008" s="2" t="s">
        <v>6</v>
      </c>
      <c r="E5008" s="14" t="s">
        <v>8</v>
      </c>
      <c r="F5008" s="22">
        <f t="shared" si="646"/>
        <v>4</v>
      </c>
      <c r="H5008" s="5" t="str">
        <f ca="1">_xlfn.FORMULATEXT(표1[[#This Row],[Q''ty]])</f>
        <v>=F4909</v>
      </c>
    </row>
    <row r="5009" spans="1:8" ht="15" hidden="1" customHeight="1" x14ac:dyDescent="0.4">
      <c r="A5009" s="6">
        <v>2026</v>
      </c>
      <c r="B5009" s="6">
        <f t="shared" si="640"/>
        <v>51</v>
      </c>
      <c r="C5009" s="13" t="s">
        <v>26</v>
      </c>
      <c r="D5009" s="2" t="s">
        <v>6</v>
      </c>
      <c r="E5009" s="14" t="s">
        <v>9</v>
      </c>
      <c r="F5009" s="22">
        <f t="shared" si="646"/>
        <v>2</v>
      </c>
      <c r="H5009" s="5" t="str">
        <f ca="1">_xlfn.FORMULATEXT(표1[[#This Row],[Q''ty]])</f>
        <v>=F4910</v>
      </c>
    </row>
    <row r="5010" spans="1:8" ht="15" hidden="1" customHeight="1" x14ac:dyDescent="0.4">
      <c r="A5010" s="6">
        <v>2026</v>
      </c>
      <c r="B5010" s="6">
        <f t="shared" si="640"/>
        <v>51</v>
      </c>
      <c r="C5010" s="13" t="s">
        <v>26</v>
      </c>
      <c r="D5010" s="2" t="s">
        <v>6</v>
      </c>
      <c r="E5010" s="14" t="s">
        <v>27</v>
      </c>
      <c r="F5010" s="22">
        <f t="shared" si="646"/>
        <v>3</v>
      </c>
      <c r="H5010" s="5" t="str">
        <f ca="1">_xlfn.FORMULATEXT(표1[[#This Row],[Q''ty]])</f>
        <v>=F4911</v>
      </c>
    </row>
    <row r="5011" spans="1:8" ht="15" hidden="1" customHeight="1" x14ac:dyDescent="0.4">
      <c r="A5011" s="6">
        <v>2026</v>
      </c>
      <c r="B5011" s="6">
        <f t="shared" si="640"/>
        <v>51</v>
      </c>
      <c r="C5011" s="13" t="s">
        <v>26</v>
      </c>
      <c r="D5011" s="2" t="s">
        <v>6</v>
      </c>
      <c r="E5011" s="14" t="s">
        <v>10</v>
      </c>
      <c r="F5011" s="22">
        <f t="shared" si="646"/>
        <v>4</v>
      </c>
      <c r="H5011" s="5" t="str">
        <f ca="1">_xlfn.FORMULATEXT(표1[[#This Row],[Q''ty]])</f>
        <v>=F4912</v>
      </c>
    </row>
    <row r="5012" spans="1:8" ht="15" hidden="1" customHeight="1" x14ac:dyDescent="0.4">
      <c r="A5012" s="6">
        <v>2026</v>
      </c>
      <c r="B5012" s="6">
        <f t="shared" si="640"/>
        <v>51</v>
      </c>
      <c r="C5012" s="13" t="s">
        <v>26</v>
      </c>
      <c r="D5012" s="2" t="s">
        <v>6</v>
      </c>
      <c r="E5012" s="14" t="s">
        <v>11</v>
      </c>
      <c r="F5012" s="22">
        <f t="shared" si="646"/>
        <v>6</v>
      </c>
      <c r="H5012" s="5" t="str">
        <f ca="1">_xlfn.FORMULATEXT(표1[[#This Row],[Q''ty]])</f>
        <v>=F4913</v>
      </c>
    </row>
    <row r="5013" spans="1:8" ht="15" hidden="1" customHeight="1" x14ac:dyDescent="0.4">
      <c r="A5013" s="6">
        <v>2026</v>
      </c>
      <c r="B5013" s="6">
        <f t="shared" si="640"/>
        <v>51</v>
      </c>
      <c r="C5013" s="13" t="s">
        <v>26</v>
      </c>
      <c r="D5013" s="2" t="s">
        <v>12</v>
      </c>
      <c r="E5013" s="14" t="str">
        <f t="shared" ref="E5013:E5050" si="647">E4914</f>
        <v>BT GT</v>
      </c>
      <c r="F5013" s="22"/>
      <c r="H5013" s="5" t="e">
        <f ca="1">_xlfn.FORMULATEXT(표1[[#This Row],[Q''ty]])</f>
        <v>#N/A</v>
      </c>
    </row>
    <row r="5014" spans="1:8" ht="15" hidden="1" customHeight="1" x14ac:dyDescent="0.4">
      <c r="A5014" s="6">
        <v>2026</v>
      </c>
      <c r="B5014" s="6">
        <f t="shared" si="640"/>
        <v>51</v>
      </c>
      <c r="C5014" s="13" t="s">
        <v>26</v>
      </c>
      <c r="D5014" s="2" t="s">
        <v>12</v>
      </c>
      <c r="E5014" s="14" t="str">
        <f t="shared" si="647"/>
        <v>WT GT</v>
      </c>
      <c r="F5014" s="22"/>
      <c r="H5014" s="5" t="e">
        <f ca="1">_xlfn.FORMULATEXT(표1[[#This Row],[Q''ty]])</f>
        <v>#N/A</v>
      </c>
    </row>
    <row r="5015" spans="1:8" ht="15" hidden="1" customHeight="1" x14ac:dyDescent="0.4">
      <c r="A5015" s="6">
        <v>2026</v>
      </c>
      <c r="B5015" s="6">
        <f t="shared" si="640"/>
        <v>51</v>
      </c>
      <c r="C5015" s="13" t="s">
        <v>26</v>
      </c>
      <c r="D5015" s="2" t="s">
        <v>12</v>
      </c>
      <c r="E5015" s="14" t="str">
        <f t="shared" si="647"/>
        <v>Bending</v>
      </c>
      <c r="F5015" s="22"/>
      <c r="H5015" s="5" t="e">
        <f ca="1">_xlfn.FORMULATEXT(표1[[#This Row],[Q''ty]])</f>
        <v>#N/A</v>
      </c>
    </row>
    <row r="5016" spans="1:8" ht="15" hidden="1" customHeight="1" x14ac:dyDescent="0.4">
      <c r="A5016" s="6">
        <v>2026</v>
      </c>
      <c r="B5016" s="6">
        <f t="shared" si="640"/>
        <v>51</v>
      </c>
      <c r="C5016" s="13" t="s">
        <v>26</v>
      </c>
      <c r="D5016" s="2" t="s">
        <v>12</v>
      </c>
      <c r="E5016" s="14" t="str">
        <f t="shared" si="647"/>
        <v>L/W</v>
      </c>
      <c r="F5016" s="22"/>
      <c r="H5016" s="5" t="e">
        <f ca="1">_xlfn.FORMULATEXT(표1[[#This Row],[Q''ty]])</f>
        <v>#N/A</v>
      </c>
    </row>
    <row r="5017" spans="1:8" ht="15" hidden="1" customHeight="1" thickBot="1" x14ac:dyDescent="0.45">
      <c r="A5017" s="15">
        <v>2026</v>
      </c>
      <c r="B5017" s="15">
        <f t="shared" ref="B5017:B5050" si="648">B4918+1</f>
        <v>51</v>
      </c>
      <c r="C5017" s="16" t="s">
        <v>26</v>
      </c>
      <c r="D5017" s="17" t="s">
        <v>12</v>
      </c>
      <c r="E5017" s="18" t="str">
        <f t="shared" si="647"/>
        <v>C/W</v>
      </c>
      <c r="F5017" s="23"/>
      <c r="H5017" s="5" t="e">
        <f ca="1">_xlfn.FORMULATEXT(표1[[#This Row],[Q''ty]])</f>
        <v>#N/A</v>
      </c>
    </row>
    <row r="5018" spans="1:8" ht="15" hidden="1" customHeight="1" thickTop="1" x14ac:dyDescent="0.4">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hidden="1" customHeight="1" x14ac:dyDescent="0.4">
      <c r="A5019" s="6">
        <v>2026</v>
      </c>
      <c r="B5019" s="6">
        <f t="shared" si="648"/>
        <v>51</v>
      </c>
      <c r="C5019" s="13" t="s">
        <v>20</v>
      </c>
      <c r="D5019" s="2" t="s">
        <v>6</v>
      </c>
      <c r="E5019" s="14" t="str">
        <f t="shared" si="647"/>
        <v>Paint Booth</v>
      </c>
      <c r="F5019" s="22">
        <f t="shared" si="649"/>
        <v>16</v>
      </c>
      <c r="H5019" s="5" t="str">
        <f ca="1">_xlfn.FORMULATEXT(표1[[#This Row],[Q''ty]])</f>
        <v>=F4920</v>
      </c>
    </row>
    <row r="5020" spans="1:8" ht="15" hidden="1" customHeight="1" x14ac:dyDescent="0.4">
      <c r="A5020" s="6">
        <v>2026</v>
      </c>
      <c r="B5020" s="6">
        <f t="shared" si="648"/>
        <v>51</v>
      </c>
      <c r="C5020" s="13" t="s">
        <v>20</v>
      </c>
      <c r="D5020" s="2" t="s">
        <v>6</v>
      </c>
      <c r="E5020" s="14" t="str">
        <f t="shared" si="647"/>
        <v>Paint Line</v>
      </c>
      <c r="F5020" s="22">
        <f t="shared" si="649"/>
        <v>8</v>
      </c>
      <c r="H5020" s="5" t="str">
        <f ca="1">_xlfn.FORMULATEXT(표1[[#This Row],[Q''ty]])</f>
        <v>=F4921</v>
      </c>
    </row>
    <row r="5021" spans="1:8" ht="15" hidden="1" customHeight="1" x14ac:dyDescent="0.4">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hidden="1" customHeight="1" x14ac:dyDescent="0.4">
      <c r="A5022" s="6">
        <v>2026</v>
      </c>
      <c r="B5022" s="6">
        <f t="shared" si="648"/>
        <v>51</v>
      </c>
      <c r="C5022" s="13" t="s">
        <v>20</v>
      </c>
      <c r="D5022" s="2" t="s">
        <v>6</v>
      </c>
      <c r="E5022" s="14" t="str">
        <f t="shared" si="647"/>
        <v>L/W Machine</v>
      </c>
      <c r="F5022" s="22">
        <f t="shared" si="649"/>
        <v>11</v>
      </c>
      <c r="H5022" s="5" t="str">
        <f ca="1">_xlfn.FORMULATEXT(표1[[#This Row],[Q''ty]])</f>
        <v>=F4923</v>
      </c>
    </row>
    <row r="5023" spans="1:8" ht="15" hidden="1" customHeight="1" x14ac:dyDescent="0.4">
      <c r="A5023" s="6">
        <v>2026</v>
      </c>
      <c r="B5023" s="6">
        <f t="shared" si="648"/>
        <v>51</v>
      </c>
      <c r="C5023" s="13" t="s">
        <v>20</v>
      </c>
      <c r="D5023" s="2" t="s">
        <v>6</v>
      </c>
      <c r="E5023" s="14" t="str">
        <f t="shared" si="647"/>
        <v>C/W Machine</v>
      </c>
      <c r="F5023" s="22">
        <f t="shared" si="649"/>
        <v>15</v>
      </c>
      <c r="H5023" s="5" t="str">
        <f ca="1">_xlfn.FORMULATEXT(표1[[#This Row],[Q''ty]])</f>
        <v>=F4924</v>
      </c>
    </row>
    <row r="5024" spans="1:8" ht="15" hidden="1" customHeight="1" x14ac:dyDescent="0.4">
      <c r="A5024" s="6">
        <v>2026</v>
      </c>
      <c r="B5024" s="6">
        <f t="shared" si="648"/>
        <v>51</v>
      </c>
      <c r="C5024" s="13" t="s">
        <v>20</v>
      </c>
      <c r="D5024" s="2" t="s">
        <v>12</v>
      </c>
      <c r="E5024" s="14" t="str">
        <f t="shared" si="647"/>
        <v>BT GT</v>
      </c>
      <c r="F5024" s="22"/>
      <c r="H5024" s="5" t="e">
        <f ca="1">_xlfn.FORMULATEXT(표1[[#This Row],[Q''ty]])</f>
        <v>#N/A</v>
      </c>
    </row>
    <row r="5025" spans="1:8" ht="15" hidden="1" customHeight="1" x14ac:dyDescent="0.4">
      <c r="A5025" s="6">
        <v>2026</v>
      </c>
      <c r="B5025" s="6">
        <f t="shared" si="648"/>
        <v>51</v>
      </c>
      <c r="C5025" s="13" t="s">
        <v>20</v>
      </c>
      <c r="D5025" s="2" t="s">
        <v>12</v>
      </c>
      <c r="E5025" s="14" t="str">
        <f t="shared" si="647"/>
        <v>WT GT</v>
      </c>
      <c r="F5025" s="22"/>
      <c r="H5025" s="5" t="e">
        <f ca="1">_xlfn.FORMULATEXT(표1[[#This Row],[Q''ty]])</f>
        <v>#N/A</v>
      </c>
    </row>
    <row r="5026" spans="1:8" ht="15" hidden="1" customHeight="1" x14ac:dyDescent="0.4">
      <c r="A5026" s="6">
        <v>2026</v>
      </c>
      <c r="B5026" s="6">
        <f t="shared" si="648"/>
        <v>51</v>
      </c>
      <c r="C5026" s="13" t="s">
        <v>20</v>
      </c>
      <c r="D5026" s="2" t="s">
        <v>12</v>
      </c>
      <c r="E5026" s="14" t="str">
        <f t="shared" si="647"/>
        <v>Bending</v>
      </c>
      <c r="F5026" s="22"/>
      <c r="H5026" s="5" t="e">
        <f ca="1">_xlfn.FORMULATEXT(표1[[#This Row],[Q''ty]])</f>
        <v>#N/A</v>
      </c>
    </row>
    <row r="5027" spans="1:8" ht="15" hidden="1" customHeight="1" x14ac:dyDescent="0.4">
      <c r="A5027" s="6">
        <v>2026</v>
      </c>
      <c r="B5027" s="6">
        <f t="shared" si="648"/>
        <v>51</v>
      </c>
      <c r="C5027" s="13" t="s">
        <v>20</v>
      </c>
      <c r="D5027" s="2" t="s">
        <v>12</v>
      </c>
      <c r="E5027" s="14" t="str">
        <f t="shared" si="647"/>
        <v>L/W</v>
      </c>
      <c r="F5027" s="22"/>
      <c r="H5027" s="5" t="e">
        <f ca="1">_xlfn.FORMULATEXT(표1[[#This Row],[Q''ty]])</f>
        <v>#N/A</v>
      </c>
    </row>
    <row r="5028" spans="1:8" ht="15" hidden="1" customHeight="1" thickBot="1" x14ac:dyDescent="0.45">
      <c r="A5028" s="15">
        <v>2026</v>
      </c>
      <c r="B5028" s="15">
        <f t="shared" si="648"/>
        <v>51</v>
      </c>
      <c r="C5028" s="16" t="s">
        <v>20</v>
      </c>
      <c r="D5028" s="17" t="s">
        <v>12</v>
      </c>
      <c r="E5028" s="18" t="str">
        <f t="shared" si="647"/>
        <v>C/W</v>
      </c>
      <c r="F5028" s="23"/>
      <c r="H5028" s="5" t="e">
        <f ca="1">_xlfn.FORMULATEXT(표1[[#This Row],[Q''ty]])</f>
        <v>#N/A</v>
      </c>
    </row>
    <row r="5029" spans="1:8" ht="15" hidden="1" customHeight="1" thickTop="1" x14ac:dyDescent="0.4">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hidden="1" customHeight="1" x14ac:dyDescent="0.4">
      <c r="A5030" s="6">
        <v>2026</v>
      </c>
      <c r="B5030" s="6">
        <f t="shared" si="648"/>
        <v>51</v>
      </c>
      <c r="C5030" s="13" t="s">
        <v>21</v>
      </c>
      <c r="D5030" s="2" t="s">
        <v>6</v>
      </c>
      <c r="E5030" s="14" t="str">
        <f t="shared" si="647"/>
        <v>Paint Booth</v>
      </c>
      <c r="F5030" s="22">
        <f t="shared" si="650"/>
        <v>4</v>
      </c>
      <c r="H5030" s="5" t="str">
        <f ca="1">_xlfn.FORMULATEXT(표1[[#This Row],[Q''ty]])</f>
        <v>=F4931</v>
      </c>
    </row>
    <row r="5031" spans="1:8" ht="15" hidden="1" customHeight="1" x14ac:dyDescent="0.4">
      <c r="A5031" s="6">
        <v>2026</v>
      </c>
      <c r="B5031" s="6">
        <f t="shared" si="648"/>
        <v>51</v>
      </c>
      <c r="C5031" s="13" t="s">
        <v>21</v>
      </c>
      <c r="D5031" s="2" t="s">
        <v>6</v>
      </c>
      <c r="E5031" s="14" t="str">
        <f t="shared" si="647"/>
        <v>Paint Line</v>
      </c>
      <c r="F5031" s="22">
        <f t="shared" si="650"/>
        <v>4</v>
      </c>
      <c r="H5031" s="5" t="str">
        <f ca="1">_xlfn.FORMULATEXT(표1[[#This Row],[Q''ty]])</f>
        <v>=F4932</v>
      </c>
    </row>
    <row r="5032" spans="1:8" ht="15" hidden="1" customHeight="1" x14ac:dyDescent="0.4">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hidden="1" customHeight="1" x14ac:dyDescent="0.4">
      <c r="A5033" s="6">
        <v>2026</v>
      </c>
      <c r="B5033" s="6">
        <f t="shared" si="648"/>
        <v>51</v>
      </c>
      <c r="C5033" s="13" t="s">
        <v>21</v>
      </c>
      <c r="D5033" s="2" t="s">
        <v>6</v>
      </c>
      <c r="E5033" s="14" t="str">
        <f t="shared" si="647"/>
        <v>L/W Machine</v>
      </c>
      <c r="F5033" s="22">
        <f t="shared" si="650"/>
        <v>4</v>
      </c>
      <c r="H5033" s="5" t="str">
        <f ca="1">_xlfn.FORMULATEXT(표1[[#This Row],[Q''ty]])</f>
        <v>=F4934</v>
      </c>
    </row>
    <row r="5034" spans="1:8" ht="15" hidden="1" customHeight="1" x14ac:dyDescent="0.4">
      <c r="A5034" s="6">
        <v>2026</v>
      </c>
      <c r="B5034" s="6">
        <f t="shared" si="648"/>
        <v>51</v>
      </c>
      <c r="C5034" s="13" t="s">
        <v>21</v>
      </c>
      <c r="D5034" s="2" t="s">
        <v>6</v>
      </c>
      <c r="E5034" s="14" t="str">
        <f t="shared" si="647"/>
        <v>C/W Machine</v>
      </c>
      <c r="F5034" s="22">
        <f t="shared" si="650"/>
        <v>6.5</v>
      </c>
      <c r="H5034" s="5" t="str">
        <f ca="1">_xlfn.FORMULATEXT(표1[[#This Row],[Q''ty]])</f>
        <v>=F4935</v>
      </c>
    </row>
    <row r="5035" spans="1:8" ht="15" hidden="1" customHeight="1" x14ac:dyDescent="0.4">
      <c r="A5035" s="6">
        <v>2026</v>
      </c>
      <c r="B5035" s="6">
        <f t="shared" si="648"/>
        <v>51</v>
      </c>
      <c r="C5035" s="13" t="s">
        <v>21</v>
      </c>
      <c r="D5035" s="2" t="s">
        <v>12</v>
      </c>
      <c r="E5035" s="14" t="str">
        <f t="shared" si="647"/>
        <v>BT GT</v>
      </c>
      <c r="F5035" s="22"/>
      <c r="H5035" s="5" t="e">
        <f ca="1">_xlfn.FORMULATEXT(표1[[#This Row],[Q''ty]])</f>
        <v>#N/A</v>
      </c>
    </row>
    <row r="5036" spans="1:8" ht="15" hidden="1" customHeight="1" x14ac:dyDescent="0.4">
      <c r="A5036" s="6">
        <v>2026</v>
      </c>
      <c r="B5036" s="6">
        <f t="shared" si="648"/>
        <v>51</v>
      </c>
      <c r="C5036" s="13" t="s">
        <v>21</v>
      </c>
      <c r="D5036" s="2" t="s">
        <v>12</v>
      </c>
      <c r="E5036" s="14" t="str">
        <f t="shared" si="647"/>
        <v>WT GT</v>
      </c>
      <c r="F5036" s="22"/>
      <c r="H5036" s="5" t="e">
        <f ca="1">_xlfn.FORMULATEXT(표1[[#This Row],[Q''ty]])</f>
        <v>#N/A</v>
      </c>
    </row>
    <row r="5037" spans="1:8" ht="15" hidden="1" customHeight="1" x14ac:dyDescent="0.4">
      <c r="A5037" s="6">
        <v>2026</v>
      </c>
      <c r="B5037" s="6">
        <f t="shared" si="648"/>
        <v>51</v>
      </c>
      <c r="C5037" s="13" t="s">
        <v>21</v>
      </c>
      <c r="D5037" s="2" t="s">
        <v>12</v>
      </c>
      <c r="E5037" s="14" t="str">
        <f t="shared" si="647"/>
        <v>Bending</v>
      </c>
      <c r="F5037" s="22"/>
      <c r="H5037" s="5" t="e">
        <f ca="1">_xlfn.FORMULATEXT(표1[[#This Row],[Q''ty]])</f>
        <v>#N/A</v>
      </c>
    </row>
    <row r="5038" spans="1:8" ht="15" hidden="1" customHeight="1" x14ac:dyDescent="0.4">
      <c r="A5038" s="6">
        <v>2026</v>
      </c>
      <c r="B5038" s="6">
        <f t="shared" si="648"/>
        <v>51</v>
      </c>
      <c r="C5038" s="13" t="s">
        <v>21</v>
      </c>
      <c r="D5038" s="2" t="s">
        <v>12</v>
      </c>
      <c r="E5038" s="14" t="str">
        <f t="shared" si="647"/>
        <v>L/W</v>
      </c>
      <c r="F5038" s="22"/>
      <c r="H5038" s="5" t="e">
        <f ca="1">_xlfn.FORMULATEXT(표1[[#This Row],[Q''ty]])</f>
        <v>#N/A</v>
      </c>
    </row>
    <row r="5039" spans="1:8" ht="15" hidden="1" customHeight="1" thickBot="1" x14ac:dyDescent="0.45">
      <c r="A5039" s="15">
        <v>2026</v>
      </c>
      <c r="B5039" s="15">
        <f t="shared" si="648"/>
        <v>51</v>
      </c>
      <c r="C5039" s="16" t="s">
        <v>21</v>
      </c>
      <c r="D5039" s="17" t="s">
        <v>12</v>
      </c>
      <c r="E5039" s="18" t="str">
        <f t="shared" si="647"/>
        <v>C/W</v>
      </c>
      <c r="F5039" s="23"/>
      <c r="H5039" s="5" t="e">
        <f ca="1">_xlfn.FORMULATEXT(표1[[#This Row],[Q''ty]])</f>
        <v>#N/A</v>
      </c>
    </row>
    <row r="5040" spans="1:8" ht="15" hidden="1" customHeight="1" thickTop="1" x14ac:dyDescent="0.4">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10" ht="15" hidden="1" customHeight="1" x14ac:dyDescent="0.4">
      <c r="A5041" s="6">
        <v>2026</v>
      </c>
      <c r="B5041" s="6">
        <f t="shared" si="648"/>
        <v>51</v>
      </c>
      <c r="C5041" s="13" t="s">
        <v>22</v>
      </c>
      <c r="D5041" s="2" t="s">
        <v>6</v>
      </c>
      <c r="E5041" s="14" t="str">
        <f t="shared" si="647"/>
        <v>Paint Booth</v>
      </c>
      <c r="F5041" s="22">
        <f t="shared" si="651"/>
        <v>6</v>
      </c>
      <c r="H5041" s="5" t="str">
        <f ca="1">_xlfn.FORMULATEXT(표1[[#This Row],[Q''ty]])</f>
        <v>=F4942</v>
      </c>
    </row>
    <row r="5042" spans="1:10" ht="15" hidden="1" customHeight="1" x14ac:dyDescent="0.4">
      <c r="A5042" s="6">
        <v>2026</v>
      </c>
      <c r="B5042" s="6">
        <f t="shared" si="648"/>
        <v>51</v>
      </c>
      <c r="C5042" s="13" t="s">
        <v>22</v>
      </c>
      <c r="D5042" s="2" t="s">
        <v>6</v>
      </c>
      <c r="E5042" s="14" t="str">
        <f t="shared" si="647"/>
        <v>Paint Line</v>
      </c>
      <c r="F5042" s="22">
        <f t="shared" si="651"/>
        <v>4</v>
      </c>
      <c r="H5042" s="5" t="str">
        <f ca="1">_xlfn.FORMULATEXT(표1[[#This Row],[Q''ty]])</f>
        <v>=F4943</v>
      </c>
    </row>
    <row r="5043" spans="1:10" ht="15" hidden="1" customHeight="1" x14ac:dyDescent="0.4">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10" ht="15" hidden="1" customHeight="1" x14ac:dyDescent="0.4">
      <c r="A5044" s="6">
        <v>2026</v>
      </c>
      <c r="B5044" s="6">
        <f t="shared" si="648"/>
        <v>51</v>
      </c>
      <c r="C5044" s="13" t="s">
        <v>22</v>
      </c>
      <c r="D5044" s="2" t="s">
        <v>6</v>
      </c>
      <c r="E5044" s="14" t="str">
        <f t="shared" si="647"/>
        <v>L/W Machine</v>
      </c>
      <c r="F5044" s="22">
        <f t="shared" si="651"/>
        <v>7</v>
      </c>
      <c r="H5044" s="5" t="str">
        <f ca="1">_xlfn.FORMULATEXT(표1[[#This Row],[Q''ty]])</f>
        <v>=F4945</v>
      </c>
    </row>
    <row r="5045" spans="1:10" ht="15" hidden="1" customHeight="1" x14ac:dyDescent="0.4">
      <c r="A5045" s="6">
        <v>2026</v>
      </c>
      <c r="B5045" s="6">
        <f t="shared" si="648"/>
        <v>51</v>
      </c>
      <c r="C5045" s="13" t="s">
        <v>22</v>
      </c>
      <c r="D5045" s="2" t="s">
        <v>6</v>
      </c>
      <c r="E5045" s="14" t="str">
        <f t="shared" si="647"/>
        <v>C/W Machine</v>
      </c>
      <c r="F5045" s="22">
        <f t="shared" si="651"/>
        <v>12.5</v>
      </c>
      <c r="H5045" s="5" t="str">
        <f ca="1">_xlfn.FORMULATEXT(표1[[#This Row],[Q''ty]])</f>
        <v>=F4946</v>
      </c>
    </row>
    <row r="5046" spans="1:10" ht="15" hidden="1" customHeight="1" x14ac:dyDescent="0.4">
      <c r="A5046" s="6">
        <v>2026</v>
      </c>
      <c r="B5046" s="6">
        <f t="shared" si="648"/>
        <v>51</v>
      </c>
      <c r="C5046" s="13" t="s">
        <v>22</v>
      </c>
      <c r="D5046" s="2" t="s">
        <v>12</v>
      </c>
      <c r="E5046" s="14" t="str">
        <f t="shared" si="647"/>
        <v>BT GT</v>
      </c>
      <c r="F5046" s="22"/>
      <c r="H5046" s="5" t="e">
        <f ca="1">_xlfn.FORMULATEXT(표1[[#This Row],[Q''ty]])</f>
        <v>#N/A</v>
      </c>
    </row>
    <row r="5047" spans="1:10" ht="15" hidden="1" customHeight="1" x14ac:dyDescent="0.4">
      <c r="A5047" s="6">
        <v>2026</v>
      </c>
      <c r="B5047" s="6">
        <f t="shared" si="648"/>
        <v>51</v>
      </c>
      <c r="C5047" s="13" t="s">
        <v>22</v>
      </c>
      <c r="D5047" s="2" t="s">
        <v>12</v>
      </c>
      <c r="E5047" s="14" t="str">
        <f t="shared" si="647"/>
        <v>WT GT</v>
      </c>
      <c r="F5047" s="22"/>
      <c r="H5047" s="5" t="e">
        <f ca="1">_xlfn.FORMULATEXT(표1[[#This Row],[Q''ty]])</f>
        <v>#N/A</v>
      </c>
    </row>
    <row r="5048" spans="1:10" ht="15" hidden="1" customHeight="1" x14ac:dyDescent="0.4">
      <c r="A5048" s="6">
        <v>2026</v>
      </c>
      <c r="B5048" s="6">
        <f t="shared" si="648"/>
        <v>51</v>
      </c>
      <c r="C5048" s="13" t="s">
        <v>22</v>
      </c>
      <c r="D5048" s="2" t="s">
        <v>12</v>
      </c>
      <c r="E5048" s="14" t="str">
        <f t="shared" si="647"/>
        <v>Bending</v>
      </c>
      <c r="F5048" s="22"/>
      <c r="H5048" s="5" t="e">
        <f ca="1">_xlfn.FORMULATEXT(표1[[#This Row],[Q''ty]])</f>
        <v>#N/A</v>
      </c>
    </row>
    <row r="5049" spans="1:10" ht="15" hidden="1" customHeight="1" x14ac:dyDescent="0.4">
      <c r="A5049" s="6">
        <v>2026</v>
      </c>
      <c r="B5049" s="6">
        <f t="shared" si="648"/>
        <v>51</v>
      </c>
      <c r="C5049" s="13" t="s">
        <v>22</v>
      </c>
      <c r="D5049" s="2" t="s">
        <v>12</v>
      </c>
      <c r="E5049" s="14" t="str">
        <f t="shared" si="647"/>
        <v>L/W</v>
      </c>
      <c r="F5049" s="22"/>
      <c r="H5049" s="5" t="e">
        <f ca="1">_xlfn.FORMULATEXT(표1[[#This Row],[Q''ty]])</f>
        <v>#N/A</v>
      </c>
    </row>
    <row r="5050" spans="1:10" ht="15" hidden="1" customHeight="1" thickBot="1" x14ac:dyDescent="0.45">
      <c r="A5050" s="6">
        <v>2026</v>
      </c>
      <c r="B5050" s="6">
        <f t="shared" si="648"/>
        <v>51</v>
      </c>
      <c r="C5050" s="13" t="s">
        <v>22</v>
      </c>
      <c r="D5050" s="2" t="s">
        <v>12</v>
      </c>
      <c r="E5050" s="14" t="str">
        <f t="shared" si="647"/>
        <v>C/W</v>
      </c>
      <c r="F5050" s="22"/>
      <c r="H5050" s="5" t="e">
        <f ca="1">_xlfn.FORMULATEXT(표1[[#This Row],[Q''ty]])</f>
        <v>#N/A</v>
      </c>
    </row>
    <row r="5051" spans="1:10" ht="15" hidden="1" customHeight="1" thickTop="1" x14ac:dyDescent="0.4">
      <c r="A5051" s="9">
        <v>2026</v>
      </c>
      <c r="B5051" s="9">
        <f>B4952+1</f>
        <v>52</v>
      </c>
      <c r="C5051" s="10" t="s">
        <v>28</v>
      </c>
      <c r="D5051" s="11" t="s">
        <v>6</v>
      </c>
      <c r="E5051" s="12" t="s">
        <v>7</v>
      </c>
      <c r="F5051" s="21">
        <f t="shared" ref="F5051:F5056" si="652">F4952</f>
        <v>15</v>
      </c>
      <c r="H5051" s="5" t="str">
        <f ca="1">_xlfn.FORMULATEXT(표1[[#This Row],[Q''ty]])</f>
        <v>=F4952</v>
      </c>
    </row>
    <row r="5052" spans="1:10" s="2" customFormat="1" ht="15" hidden="1" customHeight="1" x14ac:dyDescent="0.4">
      <c r="A5052" s="6">
        <v>2026</v>
      </c>
      <c r="B5052" s="6">
        <f t="shared" ref="B5052:B5115" si="653">B4953+1</f>
        <v>52</v>
      </c>
      <c r="C5052" s="13" t="s">
        <v>23</v>
      </c>
      <c r="D5052" s="2" t="s">
        <v>6</v>
      </c>
      <c r="E5052" s="14" t="s">
        <v>8</v>
      </c>
      <c r="F5052" s="22">
        <f t="shared" si="652"/>
        <v>10</v>
      </c>
      <c r="H5052" s="5" t="str">
        <f ca="1">_xlfn.FORMULATEXT(표1[[#This Row],[Q''ty]])</f>
        <v>=F4953</v>
      </c>
      <c r="I5052" s="26"/>
      <c r="J5052" s="26"/>
    </row>
    <row r="5053" spans="1:10" s="2" customFormat="1" ht="15" hidden="1" customHeight="1" x14ac:dyDescent="0.4">
      <c r="A5053" s="6">
        <v>2026</v>
      </c>
      <c r="B5053" s="6">
        <f t="shared" si="653"/>
        <v>52</v>
      </c>
      <c r="C5053" s="13" t="s">
        <v>23</v>
      </c>
      <c r="D5053" s="2" t="s">
        <v>6</v>
      </c>
      <c r="E5053" s="14" t="s">
        <v>9</v>
      </c>
      <c r="F5053" s="22">
        <f t="shared" si="652"/>
        <v>5</v>
      </c>
      <c r="H5053" s="5" t="str">
        <f ca="1">_xlfn.FORMULATEXT(표1[[#This Row],[Q''ty]])</f>
        <v>=F4954</v>
      </c>
      <c r="I5053" s="26"/>
      <c r="J5053" s="26"/>
    </row>
    <row r="5054" spans="1:10" ht="15" hidden="1" customHeight="1" x14ac:dyDescent="0.4">
      <c r="A5054" s="6">
        <v>2026</v>
      </c>
      <c r="B5054" s="6">
        <f t="shared" si="653"/>
        <v>52</v>
      </c>
      <c r="C5054" s="13" t="s">
        <v>23</v>
      </c>
      <c r="D5054" s="2" t="s">
        <v>6</v>
      </c>
      <c r="E5054" s="14" t="s">
        <v>27</v>
      </c>
      <c r="F5054" s="22">
        <f t="shared" si="652"/>
        <v>6</v>
      </c>
      <c r="H5054" s="5" t="str">
        <f ca="1">_xlfn.FORMULATEXT(표1[[#This Row],[Q''ty]])</f>
        <v>=F4955</v>
      </c>
    </row>
    <row r="5055" spans="1:10" ht="15" hidden="1" customHeight="1" x14ac:dyDescent="0.4">
      <c r="A5055" s="6">
        <v>2026</v>
      </c>
      <c r="B5055" s="6">
        <f t="shared" si="653"/>
        <v>52</v>
      </c>
      <c r="C5055" s="13" t="s">
        <v>23</v>
      </c>
      <c r="D5055" s="2" t="s">
        <v>6</v>
      </c>
      <c r="E5055" s="14" t="s">
        <v>10</v>
      </c>
      <c r="F5055" s="22">
        <f t="shared" si="652"/>
        <v>10</v>
      </c>
      <c r="H5055" s="5" t="str">
        <f ca="1">_xlfn.FORMULATEXT(표1[[#This Row],[Q''ty]])</f>
        <v>=F4956</v>
      </c>
    </row>
    <row r="5056" spans="1:10" ht="15" hidden="1" customHeight="1" x14ac:dyDescent="0.4">
      <c r="A5056" s="6">
        <v>2026</v>
      </c>
      <c r="B5056" s="6">
        <f t="shared" si="653"/>
        <v>52</v>
      </c>
      <c r="C5056" s="13" t="s">
        <v>23</v>
      </c>
      <c r="D5056" s="2" t="s">
        <v>6</v>
      </c>
      <c r="E5056" s="14" t="s">
        <v>11</v>
      </c>
      <c r="F5056" s="22">
        <f t="shared" si="652"/>
        <v>10</v>
      </c>
      <c r="H5056" s="5" t="str">
        <f ca="1">_xlfn.FORMULATEXT(표1[[#This Row],[Q''ty]])</f>
        <v>=F4957</v>
      </c>
    </row>
    <row r="5057" spans="1:10" ht="15" hidden="1" customHeight="1" x14ac:dyDescent="0.4">
      <c r="A5057" s="6">
        <v>2026</v>
      </c>
      <c r="B5057" s="6">
        <f t="shared" si="653"/>
        <v>52</v>
      </c>
      <c r="C5057" s="13" t="s">
        <v>23</v>
      </c>
      <c r="D5057" s="2" t="s">
        <v>12</v>
      </c>
      <c r="E5057" s="14" t="s">
        <v>13</v>
      </c>
      <c r="F5057" s="22"/>
      <c r="H5057" s="5" t="e">
        <f ca="1">_xlfn.FORMULATEXT(표1[[#This Row],[Q''ty]])</f>
        <v>#N/A</v>
      </c>
    </row>
    <row r="5058" spans="1:10" s="2" customFormat="1" ht="15" hidden="1" customHeight="1" x14ac:dyDescent="0.4">
      <c r="A5058" s="6">
        <v>2026</v>
      </c>
      <c r="B5058" s="6">
        <f t="shared" si="653"/>
        <v>52</v>
      </c>
      <c r="C5058" s="13" t="s">
        <v>23</v>
      </c>
      <c r="D5058" s="2" t="s">
        <v>12</v>
      </c>
      <c r="E5058" s="14" t="s">
        <v>14</v>
      </c>
      <c r="F5058" s="22"/>
      <c r="H5058" s="5" t="e">
        <f ca="1">_xlfn.FORMULATEXT(표1[[#This Row],[Q''ty]])</f>
        <v>#N/A</v>
      </c>
      <c r="I5058" s="26"/>
      <c r="J5058" s="26"/>
    </row>
    <row r="5059" spans="1:10" ht="15" hidden="1" customHeight="1" x14ac:dyDescent="0.4">
      <c r="A5059" s="6">
        <v>2026</v>
      </c>
      <c r="B5059" s="6">
        <f t="shared" si="653"/>
        <v>52</v>
      </c>
      <c r="C5059" s="13" t="s">
        <v>23</v>
      </c>
      <c r="D5059" s="2" t="s">
        <v>12</v>
      </c>
      <c r="E5059" s="14" t="s">
        <v>15</v>
      </c>
      <c r="F5059" s="22"/>
      <c r="H5059" s="5" t="e">
        <f ca="1">_xlfn.FORMULATEXT(표1[[#This Row],[Q''ty]])</f>
        <v>#N/A</v>
      </c>
    </row>
    <row r="5060" spans="1:10" ht="15" hidden="1" customHeight="1" x14ac:dyDescent="0.4">
      <c r="A5060" s="6">
        <v>2026</v>
      </c>
      <c r="B5060" s="6">
        <f t="shared" si="653"/>
        <v>52</v>
      </c>
      <c r="C5060" s="13" t="s">
        <v>23</v>
      </c>
      <c r="D5060" s="2" t="s">
        <v>12</v>
      </c>
      <c r="E5060" s="14" t="s">
        <v>16</v>
      </c>
      <c r="F5060" s="22"/>
      <c r="H5060" s="5" t="e">
        <f ca="1">_xlfn.FORMULATEXT(표1[[#This Row],[Q''ty]])</f>
        <v>#N/A</v>
      </c>
    </row>
    <row r="5061" spans="1:10" ht="15" hidden="1" customHeight="1" thickBot="1" x14ac:dyDescent="0.45">
      <c r="A5061" s="15">
        <v>2026</v>
      </c>
      <c r="B5061" s="15">
        <f t="shared" si="653"/>
        <v>52</v>
      </c>
      <c r="C5061" s="16" t="s">
        <v>23</v>
      </c>
      <c r="D5061" s="17" t="s">
        <v>12</v>
      </c>
      <c r="E5061" s="18" t="s">
        <v>17</v>
      </c>
      <c r="F5061" s="23"/>
      <c r="H5061" s="5" t="e">
        <f ca="1">_xlfn.FORMULATEXT(표1[[#This Row],[Q''ty]])</f>
        <v>#N/A</v>
      </c>
    </row>
    <row r="5062" spans="1:10" ht="15" hidden="1" customHeight="1" thickTop="1" x14ac:dyDescent="0.4">
      <c r="A5062" s="9">
        <v>2026</v>
      </c>
      <c r="B5062" s="9">
        <f t="shared" si="653"/>
        <v>52</v>
      </c>
      <c r="C5062" s="10" t="s">
        <v>29</v>
      </c>
      <c r="D5062" s="11" t="s">
        <v>6</v>
      </c>
      <c r="E5062" s="12" t="s">
        <v>7</v>
      </c>
      <c r="F5062" s="21">
        <f t="shared" ref="F5062:F5067" si="654">F4963</f>
        <v>14</v>
      </c>
      <c r="H5062" s="5" t="str">
        <f ca="1">_xlfn.FORMULATEXT(표1[[#This Row],[Q''ty]])</f>
        <v>=F4963</v>
      </c>
    </row>
    <row r="5063" spans="1:10" s="2" customFormat="1" ht="15" hidden="1" customHeight="1" x14ac:dyDescent="0.4">
      <c r="A5063" s="6">
        <v>2026</v>
      </c>
      <c r="B5063" s="6">
        <f t="shared" si="653"/>
        <v>52</v>
      </c>
      <c r="C5063" s="13" t="s">
        <v>24</v>
      </c>
      <c r="D5063" s="2" t="s">
        <v>6</v>
      </c>
      <c r="E5063" s="14" t="s">
        <v>8</v>
      </c>
      <c r="F5063" s="22">
        <f t="shared" si="654"/>
        <v>8</v>
      </c>
      <c r="H5063" s="5" t="str">
        <f ca="1">_xlfn.FORMULATEXT(표1[[#This Row],[Q''ty]])</f>
        <v>=F4964</v>
      </c>
      <c r="I5063" s="26"/>
      <c r="J5063" s="26"/>
    </row>
    <row r="5064" spans="1:10" s="2" customFormat="1" ht="15" hidden="1" customHeight="1" x14ac:dyDescent="0.4">
      <c r="A5064" s="6">
        <v>2026</v>
      </c>
      <c r="B5064" s="6">
        <f t="shared" si="653"/>
        <v>52</v>
      </c>
      <c r="C5064" s="13" t="s">
        <v>24</v>
      </c>
      <c r="D5064" s="2" t="s">
        <v>6</v>
      </c>
      <c r="E5064" s="14" t="s">
        <v>9</v>
      </c>
      <c r="F5064" s="22">
        <f t="shared" si="654"/>
        <v>4</v>
      </c>
      <c r="H5064" s="5" t="str">
        <f ca="1">_xlfn.FORMULATEXT(표1[[#This Row],[Q''ty]])</f>
        <v>=F4965</v>
      </c>
      <c r="I5064" s="26"/>
      <c r="J5064" s="26"/>
    </row>
    <row r="5065" spans="1:10" ht="15" hidden="1" customHeight="1" x14ac:dyDescent="0.4">
      <c r="A5065" s="6">
        <v>2026</v>
      </c>
      <c r="B5065" s="6">
        <f t="shared" si="653"/>
        <v>52</v>
      </c>
      <c r="C5065" s="13" t="s">
        <v>24</v>
      </c>
      <c r="D5065" s="2" t="s">
        <v>6</v>
      </c>
      <c r="E5065" s="14" t="s">
        <v>27</v>
      </c>
      <c r="F5065" s="22">
        <f t="shared" si="654"/>
        <v>3</v>
      </c>
      <c r="H5065" s="5" t="str">
        <f ca="1">_xlfn.FORMULATEXT(표1[[#This Row],[Q''ty]])</f>
        <v>=F4966</v>
      </c>
    </row>
    <row r="5066" spans="1:10" ht="15" hidden="1" customHeight="1" x14ac:dyDescent="0.4">
      <c r="A5066" s="6">
        <v>2026</v>
      </c>
      <c r="B5066" s="6">
        <f t="shared" si="653"/>
        <v>52</v>
      </c>
      <c r="C5066" s="13" t="s">
        <v>24</v>
      </c>
      <c r="D5066" s="2" t="s">
        <v>6</v>
      </c>
      <c r="E5066" s="14" t="s">
        <v>10</v>
      </c>
      <c r="F5066" s="22">
        <f t="shared" si="654"/>
        <v>6</v>
      </c>
      <c r="H5066" s="5" t="str">
        <f ca="1">_xlfn.FORMULATEXT(표1[[#This Row],[Q''ty]])</f>
        <v>=F4967</v>
      </c>
    </row>
    <row r="5067" spans="1:10" ht="15" hidden="1" customHeight="1" x14ac:dyDescent="0.4">
      <c r="A5067" s="6">
        <v>2026</v>
      </c>
      <c r="B5067" s="6">
        <f t="shared" si="653"/>
        <v>52</v>
      </c>
      <c r="C5067" s="13" t="s">
        <v>24</v>
      </c>
      <c r="D5067" s="2" t="s">
        <v>6</v>
      </c>
      <c r="E5067" s="14" t="s">
        <v>11</v>
      </c>
      <c r="F5067" s="22">
        <f t="shared" si="654"/>
        <v>8.8000000000000007</v>
      </c>
      <c r="H5067" s="5" t="str">
        <f ca="1">_xlfn.FORMULATEXT(표1[[#This Row],[Q''ty]])</f>
        <v>=F4968</v>
      </c>
    </row>
    <row r="5068" spans="1:10" ht="15" hidden="1" customHeight="1" x14ac:dyDescent="0.4">
      <c r="A5068" s="6">
        <v>2026</v>
      </c>
      <c r="B5068" s="6">
        <f t="shared" si="653"/>
        <v>52</v>
      </c>
      <c r="C5068" s="13" t="s">
        <v>24</v>
      </c>
      <c r="D5068" s="2" t="s">
        <v>12</v>
      </c>
      <c r="E5068" s="14" t="s">
        <v>13</v>
      </c>
      <c r="F5068" s="22"/>
      <c r="H5068" s="5" t="e">
        <f ca="1">_xlfn.FORMULATEXT(표1[[#This Row],[Q''ty]])</f>
        <v>#N/A</v>
      </c>
    </row>
    <row r="5069" spans="1:10" s="2" customFormat="1" ht="15" hidden="1" customHeight="1" x14ac:dyDescent="0.4">
      <c r="A5069" s="6">
        <v>2026</v>
      </c>
      <c r="B5069" s="6">
        <f t="shared" si="653"/>
        <v>52</v>
      </c>
      <c r="C5069" s="13" t="s">
        <v>24</v>
      </c>
      <c r="D5069" s="2" t="s">
        <v>12</v>
      </c>
      <c r="E5069" s="14" t="s">
        <v>14</v>
      </c>
      <c r="F5069" s="22"/>
      <c r="H5069" s="5" t="e">
        <f ca="1">_xlfn.FORMULATEXT(표1[[#This Row],[Q''ty]])</f>
        <v>#N/A</v>
      </c>
      <c r="I5069" s="26"/>
      <c r="J5069" s="26"/>
    </row>
    <row r="5070" spans="1:10" ht="15" hidden="1" customHeight="1" x14ac:dyDescent="0.4">
      <c r="A5070" s="6">
        <v>2026</v>
      </c>
      <c r="B5070" s="6">
        <f t="shared" si="653"/>
        <v>52</v>
      </c>
      <c r="C5070" s="13" t="s">
        <v>24</v>
      </c>
      <c r="D5070" s="2" t="s">
        <v>12</v>
      </c>
      <c r="E5070" s="14" t="s">
        <v>15</v>
      </c>
      <c r="F5070" s="22"/>
      <c r="H5070" s="5" t="e">
        <f ca="1">_xlfn.FORMULATEXT(표1[[#This Row],[Q''ty]])</f>
        <v>#N/A</v>
      </c>
    </row>
    <row r="5071" spans="1:10" ht="15" hidden="1" customHeight="1" x14ac:dyDescent="0.4">
      <c r="A5071" s="6">
        <v>2026</v>
      </c>
      <c r="B5071" s="6">
        <f t="shared" si="653"/>
        <v>52</v>
      </c>
      <c r="C5071" s="13" t="s">
        <v>24</v>
      </c>
      <c r="D5071" s="2" t="s">
        <v>12</v>
      </c>
      <c r="E5071" s="14" t="s">
        <v>16</v>
      </c>
      <c r="F5071" s="22"/>
      <c r="H5071" s="5" t="e">
        <f ca="1">_xlfn.FORMULATEXT(표1[[#This Row],[Q''ty]])</f>
        <v>#N/A</v>
      </c>
    </row>
    <row r="5072" spans="1:10" ht="15" hidden="1" customHeight="1" thickBot="1" x14ac:dyDescent="0.45">
      <c r="A5072" s="15">
        <v>2026</v>
      </c>
      <c r="B5072" s="15">
        <f t="shared" si="653"/>
        <v>52</v>
      </c>
      <c r="C5072" s="16" t="s">
        <v>24</v>
      </c>
      <c r="D5072" s="17" t="s">
        <v>12</v>
      </c>
      <c r="E5072" s="18" t="s">
        <v>17</v>
      </c>
      <c r="F5072" s="23"/>
      <c r="H5072" s="5" t="e">
        <f ca="1">_xlfn.FORMULATEXT(표1[[#This Row],[Q''ty]])</f>
        <v>#N/A</v>
      </c>
    </row>
    <row r="5073" spans="1:8" ht="15" hidden="1" customHeight="1" thickTop="1" x14ac:dyDescent="0.4">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hidden="1" customHeight="1" x14ac:dyDescent="0.4">
      <c r="A5074" s="6">
        <v>2026</v>
      </c>
      <c r="B5074" s="6">
        <f t="shared" si="653"/>
        <v>52</v>
      </c>
      <c r="C5074" s="13" t="s">
        <v>18</v>
      </c>
      <c r="D5074" s="2" t="s">
        <v>6</v>
      </c>
      <c r="E5074" s="14" t="str">
        <f t="shared" si="655"/>
        <v>Paint Booth</v>
      </c>
      <c r="F5074" s="22">
        <f t="shared" si="655"/>
        <v>3</v>
      </c>
      <c r="H5074" s="5" t="str">
        <f ca="1">_xlfn.FORMULATEXT(표1[[#This Row],[Q''ty]])</f>
        <v>=F4975</v>
      </c>
    </row>
    <row r="5075" spans="1:8" ht="15" hidden="1" customHeight="1" x14ac:dyDescent="0.4">
      <c r="A5075" s="6">
        <v>2026</v>
      </c>
      <c r="B5075" s="6">
        <f t="shared" si="653"/>
        <v>52</v>
      </c>
      <c r="C5075" s="13" t="s">
        <v>18</v>
      </c>
      <c r="D5075" s="2" t="s">
        <v>6</v>
      </c>
      <c r="E5075" s="14" t="str">
        <f t="shared" si="655"/>
        <v>Paint Line</v>
      </c>
      <c r="F5075" s="22">
        <f t="shared" si="655"/>
        <v>2</v>
      </c>
      <c r="H5075" s="5" t="str">
        <f ca="1">_xlfn.FORMULATEXT(표1[[#This Row],[Q''ty]])</f>
        <v>=F4976</v>
      </c>
    </row>
    <row r="5076" spans="1:8" ht="15" hidden="1" customHeight="1" x14ac:dyDescent="0.4">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hidden="1" customHeight="1" x14ac:dyDescent="0.4">
      <c r="A5077" s="6">
        <v>2026</v>
      </c>
      <c r="B5077" s="6">
        <f t="shared" si="653"/>
        <v>52</v>
      </c>
      <c r="C5077" s="13" t="s">
        <v>18</v>
      </c>
      <c r="D5077" s="2" t="s">
        <v>6</v>
      </c>
      <c r="E5077" s="14" t="str">
        <f t="shared" si="655"/>
        <v>L/W Machine</v>
      </c>
      <c r="F5077" s="22">
        <f t="shared" si="655"/>
        <v>2</v>
      </c>
      <c r="H5077" s="5" t="str">
        <f ca="1">_xlfn.FORMULATEXT(표1[[#This Row],[Q''ty]])</f>
        <v>=F4978</v>
      </c>
    </row>
    <row r="5078" spans="1:8" ht="15" hidden="1" customHeight="1" x14ac:dyDescent="0.4">
      <c r="A5078" s="6">
        <v>2026</v>
      </c>
      <c r="B5078" s="6">
        <f t="shared" si="653"/>
        <v>52</v>
      </c>
      <c r="C5078" s="13" t="s">
        <v>18</v>
      </c>
      <c r="D5078" s="2" t="s">
        <v>6</v>
      </c>
      <c r="E5078" s="14" t="str">
        <f t="shared" si="655"/>
        <v>C/W Machine</v>
      </c>
      <c r="F5078" s="22">
        <f t="shared" si="655"/>
        <v>3</v>
      </c>
      <c r="H5078" s="5" t="str">
        <f ca="1">_xlfn.FORMULATEXT(표1[[#This Row],[Q''ty]])</f>
        <v>=F4979</v>
      </c>
    </row>
    <row r="5079" spans="1:8" ht="15" hidden="1" customHeight="1" x14ac:dyDescent="0.4">
      <c r="A5079" s="6">
        <v>2026</v>
      </c>
      <c r="B5079" s="6">
        <f t="shared" si="653"/>
        <v>52</v>
      </c>
      <c r="C5079" s="13" t="s">
        <v>18</v>
      </c>
      <c r="D5079" s="2" t="s">
        <v>12</v>
      </c>
      <c r="E5079" s="14" t="str">
        <f t="shared" ref="E5079:E5094" si="656">E4980</f>
        <v>BT GT</v>
      </c>
      <c r="F5079" s="22"/>
      <c r="H5079" s="5" t="e">
        <f ca="1">_xlfn.FORMULATEXT(표1[[#This Row],[Q''ty]])</f>
        <v>#N/A</v>
      </c>
    </row>
    <row r="5080" spans="1:8" ht="15" hidden="1" customHeight="1" x14ac:dyDescent="0.4">
      <c r="A5080" s="6">
        <v>2026</v>
      </c>
      <c r="B5080" s="6">
        <f t="shared" si="653"/>
        <v>52</v>
      </c>
      <c r="C5080" s="13" t="s">
        <v>18</v>
      </c>
      <c r="D5080" s="2" t="s">
        <v>12</v>
      </c>
      <c r="E5080" s="14" t="str">
        <f t="shared" si="656"/>
        <v>WT GT</v>
      </c>
      <c r="F5080" s="22"/>
      <c r="H5080" s="5" t="e">
        <f ca="1">_xlfn.FORMULATEXT(표1[[#This Row],[Q''ty]])</f>
        <v>#N/A</v>
      </c>
    </row>
    <row r="5081" spans="1:8" ht="15" hidden="1" customHeight="1" x14ac:dyDescent="0.4">
      <c r="A5081" s="6">
        <v>2026</v>
      </c>
      <c r="B5081" s="6">
        <f t="shared" si="653"/>
        <v>52</v>
      </c>
      <c r="C5081" s="13" t="s">
        <v>18</v>
      </c>
      <c r="D5081" s="2" t="s">
        <v>12</v>
      </c>
      <c r="E5081" s="14" t="str">
        <f t="shared" si="656"/>
        <v>Bending</v>
      </c>
      <c r="F5081" s="22"/>
      <c r="H5081" s="5" t="e">
        <f ca="1">_xlfn.FORMULATEXT(표1[[#This Row],[Q''ty]])</f>
        <v>#N/A</v>
      </c>
    </row>
    <row r="5082" spans="1:8" ht="15" hidden="1" customHeight="1" x14ac:dyDescent="0.4">
      <c r="A5082" s="6">
        <v>2026</v>
      </c>
      <c r="B5082" s="6">
        <f t="shared" si="653"/>
        <v>52</v>
      </c>
      <c r="C5082" s="13" t="s">
        <v>18</v>
      </c>
      <c r="D5082" s="2" t="s">
        <v>12</v>
      </c>
      <c r="E5082" s="14" t="str">
        <f t="shared" si="656"/>
        <v>L/W</v>
      </c>
      <c r="F5082" s="22"/>
      <c r="H5082" s="5" t="e">
        <f ca="1">_xlfn.FORMULATEXT(표1[[#This Row],[Q''ty]])</f>
        <v>#N/A</v>
      </c>
    </row>
    <row r="5083" spans="1:8" ht="15" hidden="1" customHeight="1" thickBot="1" x14ac:dyDescent="0.45">
      <c r="A5083" s="15">
        <v>2026</v>
      </c>
      <c r="B5083" s="15">
        <f t="shared" si="653"/>
        <v>52</v>
      </c>
      <c r="C5083" s="16" t="s">
        <v>18</v>
      </c>
      <c r="D5083" s="17" t="s">
        <v>12</v>
      </c>
      <c r="E5083" s="18" t="str">
        <f t="shared" si="656"/>
        <v>C/W</v>
      </c>
      <c r="F5083" s="23"/>
      <c r="H5083" s="5" t="e">
        <f ca="1">_xlfn.FORMULATEXT(표1[[#This Row],[Q''ty]])</f>
        <v>#N/A</v>
      </c>
    </row>
    <row r="5084" spans="1:8" ht="15" hidden="1" customHeight="1" thickTop="1" x14ac:dyDescent="0.4">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hidden="1" customHeight="1" x14ac:dyDescent="0.4">
      <c r="A5085" s="6">
        <v>2026</v>
      </c>
      <c r="B5085" s="6">
        <f t="shared" si="653"/>
        <v>52</v>
      </c>
      <c r="C5085" s="13" t="s">
        <v>19</v>
      </c>
      <c r="D5085" s="2" t="s">
        <v>6</v>
      </c>
      <c r="E5085" s="14" t="str">
        <f t="shared" si="656"/>
        <v>Paint Booth</v>
      </c>
      <c r="F5085" s="22">
        <f t="shared" si="657"/>
        <v>22</v>
      </c>
      <c r="H5085" s="5" t="str">
        <f ca="1">_xlfn.FORMULATEXT(표1[[#This Row],[Q''ty]])</f>
        <v>=F4986</v>
      </c>
    </row>
    <row r="5086" spans="1:8" ht="15" hidden="1" customHeight="1" x14ac:dyDescent="0.4">
      <c r="A5086" s="6">
        <v>2026</v>
      </c>
      <c r="B5086" s="6">
        <f t="shared" si="653"/>
        <v>52</v>
      </c>
      <c r="C5086" s="13" t="s">
        <v>19</v>
      </c>
      <c r="D5086" s="2" t="s">
        <v>6</v>
      </c>
      <c r="E5086" s="14" t="str">
        <f t="shared" si="656"/>
        <v>Paint Line</v>
      </c>
      <c r="F5086" s="22">
        <f t="shared" si="657"/>
        <v>6</v>
      </c>
      <c r="H5086" s="5" t="str">
        <f ca="1">_xlfn.FORMULATEXT(표1[[#This Row],[Q''ty]])</f>
        <v>=F4987</v>
      </c>
    </row>
    <row r="5087" spans="1:8" ht="15" hidden="1" customHeight="1" x14ac:dyDescent="0.4">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hidden="1" customHeight="1" x14ac:dyDescent="0.4">
      <c r="A5088" s="6">
        <v>2026</v>
      </c>
      <c r="B5088" s="6">
        <f t="shared" si="653"/>
        <v>52</v>
      </c>
      <c r="C5088" s="13" t="s">
        <v>19</v>
      </c>
      <c r="D5088" s="2" t="s">
        <v>6</v>
      </c>
      <c r="E5088" s="14" t="str">
        <f t="shared" si="656"/>
        <v>L/W Machine</v>
      </c>
      <c r="F5088" s="22">
        <f t="shared" si="657"/>
        <v>10</v>
      </c>
      <c r="H5088" s="5" t="str">
        <f ca="1">_xlfn.FORMULATEXT(표1[[#This Row],[Q''ty]])</f>
        <v>=F4989</v>
      </c>
    </row>
    <row r="5089" spans="1:8" ht="15" hidden="1" customHeight="1" x14ac:dyDescent="0.4">
      <c r="A5089" s="6">
        <v>2026</v>
      </c>
      <c r="B5089" s="6">
        <f t="shared" si="653"/>
        <v>52</v>
      </c>
      <c r="C5089" s="13" t="s">
        <v>19</v>
      </c>
      <c r="D5089" s="2" t="s">
        <v>6</v>
      </c>
      <c r="E5089" s="14" t="str">
        <f t="shared" si="656"/>
        <v>C/W Machine</v>
      </c>
      <c r="F5089" s="22">
        <f t="shared" si="657"/>
        <v>12</v>
      </c>
      <c r="H5089" s="5" t="str">
        <f ca="1">_xlfn.FORMULATEXT(표1[[#This Row],[Q''ty]])</f>
        <v>=F4990</v>
      </c>
    </row>
    <row r="5090" spans="1:8" ht="15" hidden="1" customHeight="1" x14ac:dyDescent="0.4">
      <c r="A5090" s="6">
        <v>2026</v>
      </c>
      <c r="B5090" s="6">
        <f t="shared" si="653"/>
        <v>52</v>
      </c>
      <c r="C5090" s="13" t="s">
        <v>19</v>
      </c>
      <c r="D5090" s="2" t="s">
        <v>12</v>
      </c>
      <c r="E5090" s="14" t="str">
        <f t="shared" si="656"/>
        <v>BT GT</v>
      </c>
      <c r="F5090" s="22"/>
      <c r="H5090" s="5" t="e">
        <f ca="1">_xlfn.FORMULATEXT(표1[[#This Row],[Q''ty]])</f>
        <v>#N/A</v>
      </c>
    </row>
    <row r="5091" spans="1:8" ht="15" hidden="1" customHeight="1" x14ac:dyDescent="0.4">
      <c r="A5091" s="6">
        <v>2026</v>
      </c>
      <c r="B5091" s="6">
        <f t="shared" si="653"/>
        <v>52</v>
      </c>
      <c r="C5091" s="13" t="s">
        <v>19</v>
      </c>
      <c r="D5091" s="2" t="s">
        <v>12</v>
      </c>
      <c r="E5091" s="14" t="str">
        <f t="shared" si="656"/>
        <v>WT GT</v>
      </c>
      <c r="F5091" s="22"/>
      <c r="H5091" s="5" t="e">
        <f ca="1">_xlfn.FORMULATEXT(표1[[#This Row],[Q''ty]])</f>
        <v>#N/A</v>
      </c>
    </row>
    <row r="5092" spans="1:8" ht="15" hidden="1" customHeight="1" x14ac:dyDescent="0.4">
      <c r="A5092" s="6">
        <v>2026</v>
      </c>
      <c r="B5092" s="6">
        <f t="shared" si="653"/>
        <v>52</v>
      </c>
      <c r="C5092" s="13" t="s">
        <v>19</v>
      </c>
      <c r="D5092" s="2" t="s">
        <v>12</v>
      </c>
      <c r="E5092" s="14" t="str">
        <f t="shared" si="656"/>
        <v>Bending</v>
      </c>
      <c r="F5092" s="22"/>
      <c r="H5092" s="5" t="e">
        <f ca="1">_xlfn.FORMULATEXT(표1[[#This Row],[Q''ty]])</f>
        <v>#N/A</v>
      </c>
    </row>
    <row r="5093" spans="1:8" ht="15" hidden="1" customHeight="1" x14ac:dyDescent="0.4">
      <c r="A5093" s="6">
        <v>2026</v>
      </c>
      <c r="B5093" s="6">
        <f t="shared" si="653"/>
        <v>52</v>
      </c>
      <c r="C5093" s="13" t="s">
        <v>19</v>
      </c>
      <c r="D5093" s="2" t="s">
        <v>12</v>
      </c>
      <c r="E5093" s="14" t="str">
        <f t="shared" si="656"/>
        <v>L/W</v>
      </c>
      <c r="F5093" s="22"/>
      <c r="H5093" s="5" t="e">
        <f ca="1">_xlfn.FORMULATEXT(표1[[#This Row],[Q''ty]])</f>
        <v>#N/A</v>
      </c>
    </row>
    <row r="5094" spans="1:8" ht="15" hidden="1" customHeight="1" thickBot="1" x14ac:dyDescent="0.45">
      <c r="A5094" s="15">
        <v>2026</v>
      </c>
      <c r="B5094" s="15">
        <f t="shared" si="653"/>
        <v>52</v>
      </c>
      <c r="C5094" s="16" t="s">
        <v>19</v>
      </c>
      <c r="D5094" s="17" t="s">
        <v>12</v>
      </c>
      <c r="E5094" s="18" t="str">
        <f t="shared" si="656"/>
        <v>C/W</v>
      </c>
      <c r="F5094" s="23"/>
      <c r="H5094" s="5" t="e">
        <f ca="1">_xlfn.FORMULATEXT(표1[[#This Row],[Q''ty]])</f>
        <v>#N/A</v>
      </c>
    </row>
    <row r="5095" spans="1:8" ht="15" hidden="1" customHeight="1" thickTop="1" x14ac:dyDescent="0.4">
      <c r="A5095" s="6">
        <v>2026</v>
      </c>
      <c r="B5095" s="6">
        <f t="shared" si="653"/>
        <v>52</v>
      </c>
      <c r="C5095" s="13" t="s">
        <v>25</v>
      </c>
      <c r="D5095" s="2" t="s">
        <v>6</v>
      </c>
      <c r="E5095" s="14" t="s">
        <v>7</v>
      </c>
      <c r="F5095" s="22">
        <f t="shared" ref="F5095:F5100" si="658">F4996</f>
        <v>3</v>
      </c>
      <c r="H5095" s="5" t="str">
        <f ca="1">_xlfn.FORMULATEXT(표1[[#This Row],[Q''ty]])</f>
        <v>=F4996</v>
      </c>
    </row>
    <row r="5096" spans="1:8" ht="15" hidden="1" customHeight="1" x14ac:dyDescent="0.4">
      <c r="A5096" s="6">
        <v>2026</v>
      </c>
      <c r="B5096" s="6">
        <f t="shared" si="653"/>
        <v>52</v>
      </c>
      <c r="C5096" s="13" t="s">
        <v>25</v>
      </c>
      <c r="D5096" s="2" t="s">
        <v>6</v>
      </c>
      <c r="E5096" s="14" t="s">
        <v>8</v>
      </c>
      <c r="F5096" s="22">
        <f t="shared" si="658"/>
        <v>3</v>
      </c>
      <c r="H5096" s="5" t="str">
        <f ca="1">_xlfn.FORMULATEXT(표1[[#This Row],[Q''ty]])</f>
        <v>=F4997</v>
      </c>
    </row>
    <row r="5097" spans="1:8" ht="15" hidden="1" customHeight="1" x14ac:dyDescent="0.4">
      <c r="A5097" s="6">
        <v>2026</v>
      </c>
      <c r="B5097" s="6">
        <f t="shared" si="653"/>
        <v>52</v>
      </c>
      <c r="C5097" s="13" t="s">
        <v>25</v>
      </c>
      <c r="D5097" s="2" t="s">
        <v>6</v>
      </c>
      <c r="E5097" s="14" t="s">
        <v>9</v>
      </c>
      <c r="F5097" s="22">
        <f t="shared" si="658"/>
        <v>2</v>
      </c>
      <c r="H5097" s="5" t="str">
        <f ca="1">_xlfn.FORMULATEXT(표1[[#This Row],[Q''ty]])</f>
        <v>=F4998</v>
      </c>
    </row>
    <row r="5098" spans="1:8" ht="15" hidden="1" customHeight="1" x14ac:dyDescent="0.4">
      <c r="A5098" s="6">
        <v>2026</v>
      </c>
      <c r="B5098" s="6">
        <f t="shared" si="653"/>
        <v>52</v>
      </c>
      <c r="C5098" s="13" t="s">
        <v>25</v>
      </c>
      <c r="D5098" s="2" t="s">
        <v>6</v>
      </c>
      <c r="E5098" s="14" t="s">
        <v>27</v>
      </c>
      <c r="F5098" s="22">
        <f t="shared" si="658"/>
        <v>2</v>
      </c>
      <c r="H5098" s="5" t="str">
        <f ca="1">_xlfn.FORMULATEXT(표1[[#This Row],[Q''ty]])</f>
        <v>=F4999</v>
      </c>
    </row>
    <row r="5099" spans="1:8" ht="15" hidden="1" customHeight="1" x14ac:dyDescent="0.4">
      <c r="A5099" s="6">
        <v>2026</v>
      </c>
      <c r="B5099" s="6">
        <f t="shared" si="653"/>
        <v>52</v>
      </c>
      <c r="C5099" s="13" t="s">
        <v>25</v>
      </c>
      <c r="D5099" s="2" t="s">
        <v>6</v>
      </c>
      <c r="E5099" s="14" t="s">
        <v>10</v>
      </c>
      <c r="F5099" s="22">
        <f t="shared" si="658"/>
        <v>3</v>
      </c>
      <c r="H5099" s="5" t="str">
        <f ca="1">_xlfn.FORMULATEXT(표1[[#This Row],[Q''ty]])</f>
        <v>=F5000</v>
      </c>
    </row>
    <row r="5100" spans="1:8" ht="15" hidden="1" customHeight="1" x14ac:dyDescent="0.4">
      <c r="A5100" s="6">
        <v>2026</v>
      </c>
      <c r="B5100" s="6">
        <f t="shared" si="653"/>
        <v>52</v>
      </c>
      <c r="C5100" s="13" t="s">
        <v>25</v>
      </c>
      <c r="D5100" s="2" t="s">
        <v>6</v>
      </c>
      <c r="E5100" s="14" t="s">
        <v>11</v>
      </c>
      <c r="F5100" s="22">
        <f t="shared" si="658"/>
        <v>4</v>
      </c>
      <c r="H5100" s="5" t="str">
        <f ca="1">_xlfn.FORMULATEXT(표1[[#This Row],[Q''ty]])</f>
        <v>=F5001</v>
      </c>
    </row>
    <row r="5101" spans="1:8" ht="15" hidden="1" customHeight="1" x14ac:dyDescent="0.4">
      <c r="A5101" s="6">
        <v>2026</v>
      </c>
      <c r="B5101" s="6">
        <f t="shared" si="653"/>
        <v>52</v>
      </c>
      <c r="C5101" s="13" t="s">
        <v>25</v>
      </c>
      <c r="D5101" s="2" t="s">
        <v>12</v>
      </c>
      <c r="E5101" s="14" t="s">
        <v>13</v>
      </c>
      <c r="F5101" s="22"/>
      <c r="H5101" s="5" t="e">
        <f ca="1">_xlfn.FORMULATEXT(표1[[#This Row],[Q''ty]])</f>
        <v>#N/A</v>
      </c>
    </row>
    <row r="5102" spans="1:8" ht="15" hidden="1" customHeight="1" x14ac:dyDescent="0.4">
      <c r="A5102" s="6">
        <v>2026</v>
      </c>
      <c r="B5102" s="6">
        <f t="shared" si="653"/>
        <v>52</v>
      </c>
      <c r="C5102" s="13" t="s">
        <v>25</v>
      </c>
      <c r="D5102" s="2" t="s">
        <v>12</v>
      </c>
      <c r="E5102" s="14" t="s">
        <v>14</v>
      </c>
      <c r="F5102" s="22"/>
      <c r="H5102" s="5" t="e">
        <f ca="1">_xlfn.FORMULATEXT(표1[[#This Row],[Q''ty]])</f>
        <v>#N/A</v>
      </c>
    </row>
    <row r="5103" spans="1:8" ht="15" hidden="1" customHeight="1" x14ac:dyDescent="0.4">
      <c r="A5103" s="6">
        <v>2026</v>
      </c>
      <c r="B5103" s="6">
        <f t="shared" si="653"/>
        <v>52</v>
      </c>
      <c r="C5103" s="13" t="s">
        <v>25</v>
      </c>
      <c r="D5103" s="2" t="s">
        <v>12</v>
      </c>
      <c r="E5103" s="14" t="s">
        <v>15</v>
      </c>
      <c r="F5103" s="22"/>
      <c r="H5103" s="5" t="e">
        <f ca="1">_xlfn.FORMULATEXT(표1[[#This Row],[Q''ty]])</f>
        <v>#N/A</v>
      </c>
    </row>
    <row r="5104" spans="1:8" ht="15" hidden="1" customHeight="1" x14ac:dyDescent="0.4">
      <c r="A5104" s="6">
        <v>2026</v>
      </c>
      <c r="B5104" s="6">
        <f t="shared" si="653"/>
        <v>52</v>
      </c>
      <c r="C5104" s="13" t="s">
        <v>25</v>
      </c>
      <c r="D5104" s="2" t="s">
        <v>12</v>
      </c>
      <c r="E5104" s="14" t="s">
        <v>16</v>
      </c>
      <c r="F5104" s="22"/>
      <c r="H5104" s="5" t="e">
        <f ca="1">_xlfn.FORMULATEXT(표1[[#This Row],[Q''ty]])</f>
        <v>#N/A</v>
      </c>
    </row>
    <row r="5105" spans="1:8" ht="15" hidden="1" customHeight="1" thickBot="1" x14ac:dyDescent="0.45">
      <c r="A5105" s="15">
        <v>2026</v>
      </c>
      <c r="B5105" s="15">
        <f t="shared" si="653"/>
        <v>52</v>
      </c>
      <c r="C5105" s="16" t="s">
        <v>25</v>
      </c>
      <c r="D5105" s="17" t="s">
        <v>12</v>
      </c>
      <c r="E5105" s="18" t="s">
        <v>17</v>
      </c>
      <c r="F5105" s="23"/>
      <c r="H5105" s="5" t="e">
        <f ca="1">_xlfn.FORMULATEXT(표1[[#This Row],[Q''ty]])</f>
        <v>#N/A</v>
      </c>
    </row>
    <row r="5106" spans="1:8" ht="15" hidden="1" customHeight="1" thickTop="1" x14ac:dyDescent="0.4">
      <c r="A5106" s="6">
        <v>2026</v>
      </c>
      <c r="B5106" s="6">
        <f t="shared" si="653"/>
        <v>52</v>
      </c>
      <c r="C5106" s="13" t="s">
        <v>26</v>
      </c>
      <c r="D5106" s="2" t="s">
        <v>6</v>
      </c>
      <c r="E5106" s="14" t="s">
        <v>7</v>
      </c>
      <c r="F5106" s="22">
        <f t="shared" ref="F5106:F5111" si="659">F5007</f>
        <v>6</v>
      </c>
      <c r="H5106" s="5" t="str">
        <f ca="1">_xlfn.FORMULATEXT(표1[[#This Row],[Q''ty]])</f>
        <v>=F5007</v>
      </c>
    </row>
    <row r="5107" spans="1:8" ht="15" hidden="1" customHeight="1" x14ac:dyDescent="0.4">
      <c r="A5107" s="6">
        <v>2026</v>
      </c>
      <c r="B5107" s="6">
        <f t="shared" si="653"/>
        <v>52</v>
      </c>
      <c r="C5107" s="13" t="s">
        <v>26</v>
      </c>
      <c r="D5107" s="2" t="s">
        <v>6</v>
      </c>
      <c r="E5107" s="14" t="s">
        <v>8</v>
      </c>
      <c r="F5107" s="22">
        <f t="shared" si="659"/>
        <v>4</v>
      </c>
      <c r="H5107" s="5" t="str">
        <f ca="1">_xlfn.FORMULATEXT(표1[[#This Row],[Q''ty]])</f>
        <v>=F5008</v>
      </c>
    </row>
    <row r="5108" spans="1:8" ht="15" hidden="1" customHeight="1" x14ac:dyDescent="0.4">
      <c r="A5108" s="6">
        <v>2026</v>
      </c>
      <c r="B5108" s="6">
        <f t="shared" si="653"/>
        <v>52</v>
      </c>
      <c r="C5108" s="13" t="s">
        <v>26</v>
      </c>
      <c r="D5108" s="2" t="s">
        <v>6</v>
      </c>
      <c r="E5108" s="14" t="s">
        <v>9</v>
      </c>
      <c r="F5108" s="22">
        <f t="shared" si="659"/>
        <v>2</v>
      </c>
      <c r="H5108" s="5" t="str">
        <f ca="1">_xlfn.FORMULATEXT(표1[[#This Row],[Q''ty]])</f>
        <v>=F5009</v>
      </c>
    </row>
    <row r="5109" spans="1:8" ht="15" hidden="1" customHeight="1" x14ac:dyDescent="0.4">
      <c r="A5109" s="6">
        <v>2026</v>
      </c>
      <c r="B5109" s="6">
        <f t="shared" si="653"/>
        <v>52</v>
      </c>
      <c r="C5109" s="13" t="s">
        <v>26</v>
      </c>
      <c r="D5109" s="2" t="s">
        <v>6</v>
      </c>
      <c r="E5109" s="14" t="s">
        <v>27</v>
      </c>
      <c r="F5109" s="22">
        <f t="shared" si="659"/>
        <v>3</v>
      </c>
      <c r="H5109" s="5" t="str">
        <f ca="1">_xlfn.FORMULATEXT(표1[[#This Row],[Q''ty]])</f>
        <v>=F5010</v>
      </c>
    </row>
    <row r="5110" spans="1:8" ht="15" hidden="1" customHeight="1" x14ac:dyDescent="0.4">
      <c r="A5110" s="6">
        <v>2026</v>
      </c>
      <c r="B5110" s="6">
        <f t="shared" si="653"/>
        <v>52</v>
      </c>
      <c r="C5110" s="13" t="s">
        <v>26</v>
      </c>
      <c r="D5110" s="2" t="s">
        <v>6</v>
      </c>
      <c r="E5110" s="14" t="s">
        <v>10</v>
      </c>
      <c r="F5110" s="22">
        <f t="shared" si="659"/>
        <v>4</v>
      </c>
      <c r="H5110" s="5" t="str">
        <f ca="1">_xlfn.FORMULATEXT(표1[[#This Row],[Q''ty]])</f>
        <v>=F5011</v>
      </c>
    </row>
    <row r="5111" spans="1:8" ht="15" hidden="1" customHeight="1" x14ac:dyDescent="0.4">
      <c r="A5111" s="6">
        <v>2026</v>
      </c>
      <c r="B5111" s="6">
        <f t="shared" si="653"/>
        <v>52</v>
      </c>
      <c r="C5111" s="13" t="s">
        <v>26</v>
      </c>
      <c r="D5111" s="2" t="s">
        <v>6</v>
      </c>
      <c r="E5111" s="14" t="s">
        <v>11</v>
      </c>
      <c r="F5111" s="22">
        <f t="shared" si="659"/>
        <v>6</v>
      </c>
      <c r="H5111" s="5" t="str">
        <f ca="1">_xlfn.FORMULATEXT(표1[[#This Row],[Q''ty]])</f>
        <v>=F5012</v>
      </c>
    </row>
    <row r="5112" spans="1:8" ht="15" hidden="1" customHeight="1" x14ac:dyDescent="0.4">
      <c r="A5112" s="6">
        <v>2026</v>
      </c>
      <c r="B5112" s="6">
        <f t="shared" si="653"/>
        <v>52</v>
      </c>
      <c r="C5112" s="13" t="s">
        <v>26</v>
      </c>
      <c r="D5112" s="2" t="s">
        <v>12</v>
      </c>
      <c r="E5112" s="14" t="str">
        <f t="shared" ref="E5112:E5149" si="660">E5013</f>
        <v>BT GT</v>
      </c>
      <c r="F5112" s="22"/>
      <c r="H5112" s="5" t="e">
        <f ca="1">_xlfn.FORMULATEXT(표1[[#This Row],[Q''ty]])</f>
        <v>#N/A</v>
      </c>
    </row>
    <row r="5113" spans="1:8" ht="15" hidden="1" customHeight="1" x14ac:dyDescent="0.4">
      <c r="A5113" s="6">
        <v>2026</v>
      </c>
      <c r="B5113" s="6">
        <f t="shared" si="653"/>
        <v>52</v>
      </c>
      <c r="C5113" s="13" t="s">
        <v>26</v>
      </c>
      <c r="D5113" s="2" t="s">
        <v>12</v>
      </c>
      <c r="E5113" s="14" t="str">
        <f t="shared" si="660"/>
        <v>WT GT</v>
      </c>
      <c r="F5113" s="22"/>
      <c r="H5113" s="5" t="e">
        <f ca="1">_xlfn.FORMULATEXT(표1[[#This Row],[Q''ty]])</f>
        <v>#N/A</v>
      </c>
    </row>
    <row r="5114" spans="1:8" ht="15" hidden="1" customHeight="1" x14ac:dyDescent="0.4">
      <c r="A5114" s="6">
        <v>2026</v>
      </c>
      <c r="B5114" s="6">
        <f t="shared" si="653"/>
        <v>52</v>
      </c>
      <c r="C5114" s="13" t="s">
        <v>26</v>
      </c>
      <c r="D5114" s="2" t="s">
        <v>12</v>
      </c>
      <c r="E5114" s="14" t="str">
        <f t="shared" si="660"/>
        <v>Bending</v>
      </c>
      <c r="F5114" s="22"/>
      <c r="H5114" s="5" t="e">
        <f ca="1">_xlfn.FORMULATEXT(표1[[#This Row],[Q''ty]])</f>
        <v>#N/A</v>
      </c>
    </row>
    <row r="5115" spans="1:8" ht="15" hidden="1" customHeight="1" x14ac:dyDescent="0.4">
      <c r="A5115" s="6">
        <v>2026</v>
      </c>
      <c r="B5115" s="6">
        <f t="shared" si="653"/>
        <v>52</v>
      </c>
      <c r="C5115" s="13" t="s">
        <v>26</v>
      </c>
      <c r="D5115" s="2" t="s">
        <v>12</v>
      </c>
      <c r="E5115" s="14" t="str">
        <f t="shared" si="660"/>
        <v>L/W</v>
      </c>
      <c r="F5115" s="22"/>
      <c r="H5115" s="5" t="e">
        <f ca="1">_xlfn.FORMULATEXT(표1[[#This Row],[Q''ty]])</f>
        <v>#N/A</v>
      </c>
    </row>
    <row r="5116" spans="1:8" ht="15" hidden="1" customHeight="1" thickBot="1" x14ac:dyDescent="0.45">
      <c r="A5116" s="15">
        <v>2026</v>
      </c>
      <c r="B5116" s="15">
        <f t="shared" ref="B5116:B5149" si="661">B5017+1</f>
        <v>52</v>
      </c>
      <c r="C5116" s="16" t="s">
        <v>26</v>
      </c>
      <c r="D5116" s="17" t="s">
        <v>12</v>
      </c>
      <c r="E5116" s="18" t="str">
        <f t="shared" si="660"/>
        <v>C/W</v>
      </c>
      <c r="F5116" s="23"/>
      <c r="H5116" s="5" t="e">
        <f ca="1">_xlfn.FORMULATEXT(표1[[#This Row],[Q''ty]])</f>
        <v>#N/A</v>
      </c>
    </row>
    <row r="5117" spans="1:8" ht="15" hidden="1" customHeight="1" thickTop="1" x14ac:dyDescent="0.4">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hidden="1" customHeight="1" x14ac:dyDescent="0.4">
      <c r="A5118" s="6">
        <v>2026</v>
      </c>
      <c r="B5118" s="6">
        <f t="shared" si="661"/>
        <v>52</v>
      </c>
      <c r="C5118" s="13" t="s">
        <v>20</v>
      </c>
      <c r="D5118" s="2" t="s">
        <v>6</v>
      </c>
      <c r="E5118" s="14" t="str">
        <f t="shared" si="660"/>
        <v>Paint Booth</v>
      </c>
      <c r="F5118" s="22">
        <f t="shared" si="662"/>
        <v>16</v>
      </c>
      <c r="H5118" s="5" t="str">
        <f ca="1">_xlfn.FORMULATEXT(표1[[#This Row],[Q''ty]])</f>
        <v>=F5019</v>
      </c>
    </row>
    <row r="5119" spans="1:8" ht="15" hidden="1" customHeight="1" x14ac:dyDescent="0.4">
      <c r="A5119" s="6">
        <v>2026</v>
      </c>
      <c r="B5119" s="6">
        <f t="shared" si="661"/>
        <v>52</v>
      </c>
      <c r="C5119" s="13" t="s">
        <v>20</v>
      </c>
      <c r="D5119" s="2" t="s">
        <v>6</v>
      </c>
      <c r="E5119" s="14" t="str">
        <f t="shared" si="660"/>
        <v>Paint Line</v>
      </c>
      <c r="F5119" s="22">
        <f t="shared" si="662"/>
        <v>8</v>
      </c>
      <c r="H5119" s="5" t="str">
        <f ca="1">_xlfn.FORMULATEXT(표1[[#This Row],[Q''ty]])</f>
        <v>=F5020</v>
      </c>
    </row>
    <row r="5120" spans="1:8" ht="15" hidden="1" customHeight="1" x14ac:dyDescent="0.4">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hidden="1" customHeight="1" x14ac:dyDescent="0.4">
      <c r="A5121" s="6">
        <v>2026</v>
      </c>
      <c r="B5121" s="6">
        <f t="shared" si="661"/>
        <v>52</v>
      </c>
      <c r="C5121" s="13" t="s">
        <v>20</v>
      </c>
      <c r="D5121" s="2" t="s">
        <v>6</v>
      </c>
      <c r="E5121" s="14" t="str">
        <f t="shared" si="660"/>
        <v>L/W Machine</v>
      </c>
      <c r="F5121" s="22">
        <f t="shared" si="662"/>
        <v>11</v>
      </c>
      <c r="H5121" s="5" t="str">
        <f ca="1">_xlfn.FORMULATEXT(표1[[#This Row],[Q''ty]])</f>
        <v>=F5022</v>
      </c>
    </row>
    <row r="5122" spans="1:8" ht="15" hidden="1" customHeight="1" x14ac:dyDescent="0.4">
      <c r="A5122" s="6">
        <v>2026</v>
      </c>
      <c r="B5122" s="6">
        <f t="shared" si="661"/>
        <v>52</v>
      </c>
      <c r="C5122" s="13" t="s">
        <v>20</v>
      </c>
      <c r="D5122" s="2" t="s">
        <v>6</v>
      </c>
      <c r="E5122" s="14" t="str">
        <f t="shared" si="660"/>
        <v>C/W Machine</v>
      </c>
      <c r="F5122" s="22">
        <f t="shared" si="662"/>
        <v>15</v>
      </c>
      <c r="H5122" s="5" t="str">
        <f ca="1">_xlfn.FORMULATEXT(표1[[#This Row],[Q''ty]])</f>
        <v>=F5023</v>
      </c>
    </row>
    <row r="5123" spans="1:8" ht="15" hidden="1" customHeight="1" x14ac:dyDescent="0.4">
      <c r="A5123" s="6">
        <v>2026</v>
      </c>
      <c r="B5123" s="6">
        <f t="shared" si="661"/>
        <v>52</v>
      </c>
      <c r="C5123" s="13" t="s">
        <v>20</v>
      </c>
      <c r="D5123" s="2" t="s">
        <v>12</v>
      </c>
      <c r="E5123" s="14" t="str">
        <f t="shared" si="660"/>
        <v>BT GT</v>
      </c>
      <c r="F5123" s="22"/>
      <c r="H5123" s="5" t="e">
        <f ca="1">_xlfn.FORMULATEXT(표1[[#This Row],[Q''ty]])</f>
        <v>#N/A</v>
      </c>
    </row>
    <row r="5124" spans="1:8" ht="15" hidden="1" customHeight="1" x14ac:dyDescent="0.4">
      <c r="A5124" s="6">
        <v>2026</v>
      </c>
      <c r="B5124" s="6">
        <f t="shared" si="661"/>
        <v>52</v>
      </c>
      <c r="C5124" s="13" t="s">
        <v>20</v>
      </c>
      <c r="D5124" s="2" t="s">
        <v>12</v>
      </c>
      <c r="E5124" s="14" t="str">
        <f t="shared" si="660"/>
        <v>WT GT</v>
      </c>
      <c r="F5124" s="22"/>
      <c r="H5124" s="5" t="e">
        <f ca="1">_xlfn.FORMULATEXT(표1[[#This Row],[Q''ty]])</f>
        <v>#N/A</v>
      </c>
    </row>
    <row r="5125" spans="1:8" ht="15" hidden="1" customHeight="1" x14ac:dyDescent="0.4">
      <c r="A5125" s="6">
        <v>2026</v>
      </c>
      <c r="B5125" s="6">
        <f t="shared" si="661"/>
        <v>52</v>
      </c>
      <c r="C5125" s="13" t="s">
        <v>20</v>
      </c>
      <c r="D5125" s="2" t="s">
        <v>12</v>
      </c>
      <c r="E5125" s="14" t="str">
        <f t="shared" si="660"/>
        <v>Bending</v>
      </c>
      <c r="F5125" s="22"/>
      <c r="H5125" s="5" t="e">
        <f ca="1">_xlfn.FORMULATEXT(표1[[#This Row],[Q''ty]])</f>
        <v>#N/A</v>
      </c>
    </row>
    <row r="5126" spans="1:8" ht="15" hidden="1" customHeight="1" x14ac:dyDescent="0.4">
      <c r="A5126" s="6">
        <v>2026</v>
      </c>
      <c r="B5126" s="6">
        <f t="shared" si="661"/>
        <v>52</v>
      </c>
      <c r="C5126" s="13" t="s">
        <v>20</v>
      </c>
      <c r="D5126" s="2" t="s">
        <v>12</v>
      </c>
      <c r="E5126" s="14" t="str">
        <f t="shared" si="660"/>
        <v>L/W</v>
      </c>
      <c r="F5126" s="22"/>
      <c r="H5126" s="5" t="e">
        <f ca="1">_xlfn.FORMULATEXT(표1[[#This Row],[Q''ty]])</f>
        <v>#N/A</v>
      </c>
    </row>
    <row r="5127" spans="1:8" ht="15" hidden="1" customHeight="1" thickBot="1" x14ac:dyDescent="0.45">
      <c r="A5127" s="15">
        <v>2026</v>
      </c>
      <c r="B5127" s="15">
        <f t="shared" si="661"/>
        <v>52</v>
      </c>
      <c r="C5127" s="16" t="s">
        <v>20</v>
      </c>
      <c r="D5127" s="17" t="s">
        <v>12</v>
      </c>
      <c r="E5127" s="18" t="str">
        <f t="shared" si="660"/>
        <v>C/W</v>
      </c>
      <c r="F5127" s="23"/>
      <c r="H5127" s="5" t="e">
        <f ca="1">_xlfn.FORMULATEXT(표1[[#This Row],[Q''ty]])</f>
        <v>#N/A</v>
      </c>
    </row>
    <row r="5128" spans="1:8" ht="15" hidden="1" customHeight="1" thickTop="1" x14ac:dyDescent="0.4">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hidden="1" customHeight="1" x14ac:dyDescent="0.4">
      <c r="A5129" s="6">
        <v>2026</v>
      </c>
      <c r="B5129" s="6">
        <f t="shared" si="661"/>
        <v>52</v>
      </c>
      <c r="C5129" s="13" t="s">
        <v>21</v>
      </c>
      <c r="D5129" s="2" t="s">
        <v>6</v>
      </c>
      <c r="E5129" s="14" t="str">
        <f t="shared" si="660"/>
        <v>Paint Booth</v>
      </c>
      <c r="F5129" s="22">
        <f t="shared" si="663"/>
        <v>4</v>
      </c>
      <c r="H5129" s="5" t="str">
        <f ca="1">_xlfn.FORMULATEXT(표1[[#This Row],[Q''ty]])</f>
        <v>=F5030</v>
      </c>
    </row>
    <row r="5130" spans="1:8" ht="15" hidden="1" customHeight="1" x14ac:dyDescent="0.4">
      <c r="A5130" s="6">
        <v>2026</v>
      </c>
      <c r="B5130" s="6">
        <f t="shared" si="661"/>
        <v>52</v>
      </c>
      <c r="C5130" s="13" t="s">
        <v>21</v>
      </c>
      <c r="D5130" s="2" t="s">
        <v>6</v>
      </c>
      <c r="E5130" s="14" t="str">
        <f t="shared" si="660"/>
        <v>Paint Line</v>
      </c>
      <c r="F5130" s="22">
        <f t="shared" si="663"/>
        <v>4</v>
      </c>
      <c r="H5130" s="5" t="str">
        <f ca="1">_xlfn.FORMULATEXT(표1[[#This Row],[Q''ty]])</f>
        <v>=F5031</v>
      </c>
    </row>
    <row r="5131" spans="1:8" ht="15" hidden="1" customHeight="1" x14ac:dyDescent="0.4">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hidden="1" customHeight="1" x14ac:dyDescent="0.4">
      <c r="A5132" s="6">
        <v>2026</v>
      </c>
      <c r="B5132" s="6">
        <f t="shared" si="661"/>
        <v>52</v>
      </c>
      <c r="C5132" s="13" t="s">
        <v>21</v>
      </c>
      <c r="D5132" s="2" t="s">
        <v>6</v>
      </c>
      <c r="E5132" s="14" t="str">
        <f t="shared" si="660"/>
        <v>L/W Machine</v>
      </c>
      <c r="F5132" s="22">
        <f t="shared" si="663"/>
        <v>4</v>
      </c>
      <c r="H5132" s="5" t="str">
        <f ca="1">_xlfn.FORMULATEXT(표1[[#This Row],[Q''ty]])</f>
        <v>=F5033</v>
      </c>
    </row>
    <row r="5133" spans="1:8" ht="15" hidden="1" customHeight="1" x14ac:dyDescent="0.4">
      <c r="A5133" s="6">
        <v>2026</v>
      </c>
      <c r="B5133" s="6">
        <f t="shared" si="661"/>
        <v>52</v>
      </c>
      <c r="C5133" s="13" t="s">
        <v>21</v>
      </c>
      <c r="D5133" s="2" t="s">
        <v>6</v>
      </c>
      <c r="E5133" s="14" t="str">
        <f t="shared" si="660"/>
        <v>C/W Machine</v>
      </c>
      <c r="F5133" s="22">
        <f t="shared" si="663"/>
        <v>6.5</v>
      </c>
      <c r="H5133" s="5" t="str">
        <f ca="1">_xlfn.FORMULATEXT(표1[[#This Row],[Q''ty]])</f>
        <v>=F5034</v>
      </c>
    </row>
    <row r="5134" spans="1:8" ht="15" hidden="1" customHeight="1" x14ac:dyDescent="0.4">
      <c r="A5134" s="6">
        <v>2026</v>
      </c>
      <c r="B5134" s="6">
        <f t="shared" si="661"/>
        <v>52</v>
      </c>
      <c r="C5134" s="13" t="s">
        <v>21</v>
      </c>
      <c r="D5134" s="2" t="s">
        <v>12</v>
      </c>
      <c r="E5134" s="14" t="str">
        <f t="shared" si="660"/>
        <v>BT GT</v>
      </c>
      <c r="F5134" s="22"/>
      <c r="H5134" s="5" t="e">
        <f ca="1">_xlfn.FORMULATEXT(표1[[#This Row],[Q''ty]])</f>
        <v>#N/A</v>
      </c>
    </row>
    <row r="5135" spans="1:8" ht="15" hidden="1" customHeight="1" x14ac:dyDescent="0.4">
      <c r="A5135" s="6">
        <v>2026</v>
      </c>
      <c r="B5135" s="6">
        <f t="shared" si="661"/>
        <v>52</v>
      </c>
      <c r="C5135" s="13" t="s">
        <v>21</v>
      </c>
      <c r="D5135" s="2" t="s">
        <v>12</v>
      </c>
      <c r="E5135" s="14" t="str">
        <f t="shared" si="660"/>
        <v>WT GT</v>
      </c>
      <c r="F5135" s="22"/>
      <c r="H5135" s="5" t="e">
        <f ca="1">_xlfn.FORMULATEXT(표1[[#This Row],[Q''ty]])</f>
        <v>#N/A</v>
      </c>
    </row>
    <row r="5136" spans="1:8" ht="15" hidden="1" customHeight="1" x14ac:dyDescent="0.4">
      <c r="A5136" s="6">
        <v>2026</v>
      </c>
      <c r="B5136" s="6">
        <f t="shared" si="661"/>
        <v>52</v>
      </c>
      <c r="C5136" s="13" t="s">
        <v>21</v>
      </c>
      <c r="D5136" s="2" t="s">
        <v>12</v>
      </c>
      <c r="E5136" s="14" t="str">
        <f t="shared" si="660"/>
        <v>Bending</v>
      </c>
      <c r="F5136" s="22"/>
      <c r="H5136" s="5" t="e">
        <f ca="1">_xlfn.FORMULATEXT(표1[[#This Row],[Q''ty]])</f>
        <v>#N/A</v>
      </c>
    </row>
    <row r="5137" spans="1:10" ht="15" hidden="1" customHeight="1" x14ac:dyDescent="0.4">
      <c r="A5137" s="6">
        <v>2026</v>
      </c>
      <c r="B5137" s="6">
        <f t="shared" si="661"/>
        <v>52</v>
      </c>
      <c r="C5137" s="13" t="s">
        <v>21</v>
      </c>
      <c r="D5137" s="2" t="s">
        <v>12</v>
      </c>
      <c r="E5137" s="14" t="str">
        <f t="shared" si="660"/>
        <v>L/W</v>
      </c>
      <c r="F5137" s="22"/>
      <c r="H5137" s="5" t="e">
        <f ca="1">_xlfn.FORMULATEXT(표1[[#This Row],[Q''ty]])</f>
        <v>#N/A</v>
      </c>
    </row>
    <row r="5138" spans="1:10" ht="15" hidden="1" customHeight="1" thickBot="1" x14ac:dyDescent="0.45">
      <c r="A5138" s="15">
        <v>2026</v>
      </c>
      <c r="B5138" s="15">
        <f t="shared" si="661"/>
        <v>52</v>
      </c>
      <c r="C5138" s="16" t="s">
        <v>21</v>
      </c>
      <c r="D5138" s="17" t="s">
        <v>12</v>
      </c>
      <c r="E5138" s="18" t="str">
        <f t="shared" si="660"/>
        <v>C/W</v>
      </c>
      <c r="F5138" s="23"/>
      <c r="H5138" s="5" t="e">
        <f ca="1">_xlfn.FORMULATEXT(표1[[#This Row],[Q''ty]])</f>
        <v>#N/A</v>
      </c>
    </row>
    <row r="5139" spans="1:10" ht="15" hidden="1" customHeight="1" thickTop="1" x14ac:dyDescent="0.4">
      <c r="A5139" s="6">
        <v>2026</v>
      </c>
      <c r="B5139" s="6">
        <f t="shared" si="661"/>
        <v>52</v>
      </c>
      <c r="C5139" s="13" t="s">
        <v>22</v>
      </c>
      <c r="D5139" s="2" t="s">
        <v>6</v>
      </c>
      <c r="E5139" s="14" t="str">
        <f t="shared" si="660"/>
        <v>Growing Line</v>
      </c>
      <c r="F5139" s="21">
        <f>F5040</f>
        <v>11</v>
      </c>
      <c r="H5139" s="5" t="str">
        <f ca="1">_xlfn.FORMULATEXT(표1[[#This Row],[Q''ty]])</f>
        <v>=F5040</v>
      </c>
    </row>
    <row r="5140" spans="1:10" ht="15" hidden="1" customHeight="1" x14ac:dyDescent="0.4">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10" ht="15" hidden="1" customHeight="1" x14ac:dyDescent="0.4">
      <c r="A5141" s="6">
        <v>2026</v>
      </c>
      <c r="B5141" s="6">
        <f t="shared" si="661"/>
        <v>52</v>
      </c>
      <c r="C5141" s="13" t="s">
        <v>22</v>
      </c>
      <c r="D5141" s="2" t="s">
        <v>6</v>
      </c>
      <c r="E5141" s="14" t="str">
        <f t="shared" si="660"/>
        <v>Paint Line</v>
      </c>
      <c r="F5141" s="22">
        <f t="shared" si="664"/>
        <v>4</v>
      </c>
      <c r="H5141" s="5" t="str">
        <f ca="1">_xlfn.FORMULATEXT(표1[[#This Row],[Q''ty]])</f>
        <v>=F5042</v>
      </c>
    </row>
    <row r="5142" spans="1:10" ht="15" hidden="1" customHeight="1" x14ac:dyDescent="0.4">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10" ht="15" hidden="1" customHeight="1" x14ac:dyDescent="0.4">
      <c r="A5143" s="6">
        <v>2026</v>
      </c>
      <c r="B5143" s="6">
        <f t="shared" si="661"/>
        <v>52</v>
      </c>
      <c r="C5143" s="13" t="s">
        <v>22</v>
      </c>
      <c r="D5143" s="2" t="s">
        <v>6</v>
      </c>
      <c r="E5143" s="14" t="str">
        <f t="shared" si="660"/>
        <v>L/W Machine</v>
      </c>
      <c r="F5143" s="22">
        <f t="shared" si="664"/>
        <v>7</v>
      </c>
      <c r="H5143" s="5" t="str">
        <f ca="1">_xlfn.FORMULATEXT(표1[[#This Row],[Q''ty]])</f>
        <v>=F5044</v>
      </c>
    </row>
    <row r="5144" spans="1:10" ht="15" hidden="1" customHeight="1" x14ac:dyDescent="0.4">
      <c r="A5144" s="6">
        <v>2026</v>
      </c>
      <c r="B5144" s="6">
        <f t="shared" si="661"/>
        <v>52</v>
      </c>
      <c r="C5144" s="13" t="s">
        <v>22</v>
      </c>
      <c r="D5144" s="2" t="s">
        <v>6</v>
      </c>
      <c r="E5144" s="14" t="str">
        <f t="shared" si="660"/>
        <v>C/W Machine</v>
      </c>
      <c r="F5144" s="22">
        <f t="shared" si="664"/>
        <v>12.5</v>
      </c>
      <c r="H5144" s="5" t="str">
        <f ca="1">_xlfn.FORMULATEXT(표1[[#This Row],[Q''ty]])</f>
        <v>=F5045</v>
      </c>
    </row>
    <row r="5145" spans="1:10" ht="15" hidden="1" customHeight="1" x14ac:dyDescent="0.4">
      <c r="A5145" s="6">
        <v>2026</v>
      </c>
      <c r="B5145" s="6">
        <f t="shared" si="661"/>
        <v>52</v>
      </c>
      <c r="C5145" s="13" t="s">
        <v>22</v>
      </c>
      <c r="D5145" s="2" t="s">
        <v>12</v>
      </c>
      <c r="E5145" s="14" t="str">
        <f t="shared" si="660"/>
        <v>BT GT</v>
      </c>
      <c r="F5145" s="22"/>
      <c r="H5145" s="5" t="e">
        <f ca="1">_xlfn.FORMULATEXT(표1[[#This Row],[Q''ty]])</f>
        <v>#N/A</v>
      </c>
    </row>
    <row r="5146" spans="1:10" ht="15" hidden="1" customHeight="1" x14ac:dyDescent="0.4">
      <c r="A5146" s="6">
        <v>2026</v>
      </c>
      <c r="B5146" s="6">
        <f t="shared" si="661"/>
        <v>52</v>
      </c>
      <c r="C5146" s="13" t="s">
        <v>22</v>
      </c>
      <c r="D5146" s="2" t="s">
        <v>12</v>
      </c>
      <c r="E5146" s="14" t="str">
        <f t="shared" si="660"/>
        <v>WT GT</v>
      </c>
      <c r="F5146" s="22"/>
      <c r="H5146" s="5" t="e">
        <f ca="1">_xlfn.FORMULATEXT(표1[[#This Row],[Q''ty]])</f>
        <v>#N/A</v>
      </c>
    </row>
    <row r="5147" spans="1:10" ht="15" hidden="1" customHeight="1" x14ac:dyDescent="0.4">
      <c r="A5147" s="6">
        <v>2026</v>
      </c>
      <c r="B5147" s="6">
        <f t="shared" si="661"/>
        <v>52</v>
      </c>
      <c r="C5147" s="13" t="s">
        <v>22</v>
      </c>
      <c r="D5147" s="2" t="s">
        <v>12</v>
      </c>
      <c r="E5147" s="14" t="str">
        <f t="shared" si="660"/>
        <v>Bending</v>
      </c>
      <c r="F5147" s="22"/>
      <c r="H5147" s="5" t="e">
        <f ca="1">_xlfn.FORMULATEXT(표1[[#This Row],[Q''ty]])</f>
        <v>#N/A</v>
      </c>
    </row>
    <row r="5148" spans="1:10" ht="15" hidden="1" customHeight="1" x14ac:dyDescent="0.4">
      <c r="A5148" s="6">
        <v>2026</v>
      </c>
      <c r="B5148" s="6">
        <f t="shared" si="661"/>
        <v>52</v>
      </c>
      <c r="C5148" s="13" t="s">
        <v>22</v>
      </c>
      <c r="D5148" s="2" t="s">
        <v>12</v>
      </c>
      <c r="E5148" s="14" t="str">
        <f t="shared" si="660"/>
        <v>L/W</v>
      </c>
      <c r="F5148" s="22"/>
      <c r="H5148" s="5" t="e">
        <f ca="1">_xlfn.FORMULATEXT(표1[[#This Row],[Q''ty]])</f>
        <v>#N/A</v>
      </c>
    </row>
    <row r="5149" spans="1:10" ht="15" hidden="1" customHeight="1" thickBot="1" x14ac:dyDescent="0.45">
      <c r="A5149" s="6">
        <v>2026</v>
      </c>
      <c r="B5149" s="6">
        <f t="shared" si="661"/>
        <v>52</v>
      </c>
      <c r="C5149" s="13" t="s">
        <v>22</v>
      </c>
      <c r="D5149" s="2" t="s">
        <v>12</v>
      </c>
      <c r="E5149" s="14" t="str">
        <f t="shared" si="660"/>
        <v>C/W</v>
      </c>
      <c r="F5149" s="22"/>
      <c r="H5149" s="5" t="e">
        <f ca="1">_xlfn.FORMULATEXT(표1[[#This Row],[Q''ty]])</f>
        <v>#N/A</v>
      </c>
    </row>
    <row r="5150" spans="1:10" ht="15" hidden="1" customHeight="1" thickTop="1" x14ac:dyDescent="0.4">
      <c r="A5150" s="9">
        <v>2026</v>
      </c>
      <c r="B5150" s="9">
        <f>B5051+1</f>
        <v>53</v>
      </c>
      <c r="C5150" s="10" t="s">
        <v>28</v>
      </c>
      <c r="D5150" s="11" t="s">
        <v>6</v>
      </c>
      <c r="E5150" s="12" t="s">
        <v>7</v>
      </c>
      <c r="F5150" s="21">
        <f t="shared" ref="F5150:F5155" si="665">F5051</f>
        <v>15</v>
      </c>
      <c r="H5150" s="5" t="str">
        <f ca="1">_xlfn.FORMULATEXT(표1[[#This Row],[Q''ty]])</f>
        <v>=F5051</v>
      </c>
    </row>
    <row r="5151" spans="1:10" s="2" customFormat="1" ht="15" hidden="1" customHeight="1" x14ac:dyDescent="0.4">
      <c r="A5151" s="6">
        <v>2026</v>
      </c>
      <c r="B5151" s="6">
        <f t="shared" ref="B5151:B5214" si="666">B5052+1</f>
        <v>53</v>
      </c>
      <c r="C5151" s="13" t="s">
        <v>23</v>
      </c>
      <c r="D5151" s="2" t="s">
        <v>6</v>
      </c>
      <c r="E5151" s="14" t="s">
        <v>8</v>
      </c>
      <c r="F5151" s="22">
        <f t="shared" si="665"/>
        <v>10</v>
      </c>
      <c r="H5151" s="5" t="str">
        <f ca="1">_xlfn.FORMULATEXT(표1[[#This Row],[Q''ty]])</f>
        <v>=F5052</v>
      </c>
      <c r="I5151" s="26"/>
      <c r="J5151" s="26"/>
    </row>
    <row r="5152" spans="1:10" s="2" customFormat="1" ht="15" hidden="1" customHeight="1" x14ac:dyDescent="0.4">
      <c r="A5152" s="6">
        <v>2026</v>
      </c>
      <c r="B5152" s="6">
        <f t="shared" si="666"/>
        <v>53</v>
      </c>
      <c r="C5152" s="13" t="s">
        <v>23</v>
      </c>
      <c r="D5152" s="2" t="s">
        <v>6</v>
      </c>
      <c r="E5152" s="14" t="s">
        <v>9</v>
      </c>
      <c r="F5152" s="22">
        <f t="shared" si="665"/>
        <v>5</v>
      </c>
      <c r="H5152" s="5" t="str">
        <f ca="1">_xlfn.FORMULATEXT(표1[[#This Row],[Q''ty]])</f>
        <v>=F5053</v>
      </c>
      <c r="I5152" s="26"/>
      <c r="J5152" s="26"/>
    </row>
    <row r="5153" spans="1:10" ht="15" hidden="1" customHeight="1" x14ac:dyDescent="0.4">
      <c r="A5153" s="6">
        <v>2026</v>
      </c>
      <c r="B5153" s="6">
        <f t="shared" si="666"/>
        <v>53</v>
      </c>
      <c r="C5153" s="13" t="s">
        <v>23</v>
      </c>
      <c r="D5153" s="2" t="s">
        <v>6</v>
      </c>
      <c r="E5153" s="14" t="s">
        <v>27</v>
      </c>
      <c r="F5153" s="22">
        <f t="shared" si="665"/>
        <v>6</v>
      </c>
      <c r="H5153" s="5" t="str">
        <f ca="1">_xlfn.FORMULATEXT(표1[[#This Row],[Q''ty]])</f>
        <v>=F5054</v>
      </c>
    </row>
    <row r="5154" spans="1:10" ht="15" hidden="1" customHeight="1" x14ac:dyDescent="0.4">
      <c r="A5154" s="6">
        <v>2026</v>
      </c>
      <c r="B5154" s="6">
        <f t="shared" si="666"/>
        <v>53</v>
      </c>
      <c r="C5154" s="13" t="s">
        <v>23</v>
      </c>
      <c r="D5154" s="2" t="s">
        <v>6</v>
      </c>
      <c r="E5154" s="14" t="s">
        <v>10</v>
      </c>
      <c r="F5154" s="22">
        <f t="shared" si="665"/>
        <v>10</v>
      </c>
      <c r="H5154" s="5" t="str">
        <f ca="1">_xlfn.FORMULATEXT(표1[[#This Row],[Q''ty]])</f>
        <v>=F5055</v>
      </c>
    </row>
    <row r="5155" spans="1:10" ht="15" hidden="1" customHeight="1" x14ac:dyDescent="0.4">
      <c r="A5155" s="6">
        <v>2026</v>
      </c>
      <c r="B5155" s="6">
        <f t="shared" si="666"/>
        <v>53</v>
      </c>
      <c r="C5155" s="13" t="s">
        <v>23</v>
      </c>
      <c r="D5155" s="2" t="s">
        <v>6</v>
      </c>
      <c r="E5155" s="14" t="s">
        <v>11</v>
      </c>
      <c r="F5155" s="22">
        <f t="shared" si="665"/>
        <v>10</v>
      </c>
      <c r="H5155" s="5" t="str">
        <f ca="1">_xlfn.FORMULATEXT(표1[[#This Row],[Q''ty]])</f>
        <v>=F5056</v>
      </c>
    </row>
    <row r="5156" spans="1:10" ht="15" hidden="1" customHeight="1" x14ac:dyDescent="0.4">
      <c r="A5156" s="6">
        <v>2026</v>
      </c>
      <c r="B5156" s="6">
        <f t="shared" si="666"/>
        <v>53</v>
      </c>
      <c r="C5156" s="13" t="s">
        <v>23</v>
      </c>
      <c r="D5156" s="2" t="s">
        <v>12</v>
      </c>
      <c r="E5156" s="14" t="s">
        <v>13</v>
      </c>
      <c r="F5156" s="22"/>
      <c r="H5156" s="5" t="e">
        <f ca="1">_xlfn.FORMULATEXT(표1[[#This Row],[Q''ty]])</f>
        <v>#N/A</v>
      </c>
    </row>
    <row r="5157" spans="1:10" s="2" customFormat="1" ht="15" hidden="1" customHeight="1" x14ac:dyDescent="0.4">
      <c r="A5157" s="6">
        <v>2026</v>
      </c>
      <c r="B5157" s="6">
        <f t="shared" si="666"/>
        <v>53</v>
      </c>
      <c r="C5157" s="13" t="s">
        <v>23</v>
      </c>
      <c r="D5157" s="2" t="s">
        <v>12</v>
      </c>
      <c r="E5157" s="14" t="s">
        <v>14</v>
      </c>
      <c r="F5157" s="22"/>
      <c r="H5157" s="5" t="e">
        <f ca="1">_xlfn.FORMULATEXT(표1[[#This Row],[Q''ty]])</f>
        <v>#N/A</v>
      </c>
      <c r="I5157" s="26"/>
      <c r="J5157" s="26"/>
    </row>
    <row r="5158" spans="1:10" ht="15" hidden="1" customHeight="1" x14ac:dyDescent="0.4">
      <c r="A5158" s="6">
        <v>2026</v>
      </c>
      <c r="B5158" s="6">
        <f t="shared" si="666"/>
        <v>53</v>
      </c>
      <c r="C5158" s="13" t="s">
        <v>23</v>
      </c>
      <c r="D5158" s="2" t="s">
        <v>12</v>
      </c>
      <c r="E5158" s="14" t="s">
        <v>15</v>
      </c>
      <c r="F5158" s="22"/>
      <c r="H5158" s="5" t="e">
        <f ca="1">_xlfn.FORMULATEXT(표1[[#This Row],[Q''ty]])</f>
        <v>#N/A</v>
      </c>
    </row>
    <row r="5159" spans="1:10" ht="15" hidden="1" customHeight="1" x14ac:dyDescent="0.4">
      <c r="A5159" s="6">
        <v>2026</v>
      </c>
      <c r="B5159" s="6">
        <f t="shared" si="666"/>
        <v>53</v>
      </c>
      <c r="C5159" s="13" t="s">
        <v>23</v>
      </c>
      <c r="D5159" s="2" t="s">
        <v>12</v>
      </c>
      <c r="E5159" s="14" t="s">
        <v>16</v>
      </c>
      <c r="F5159" s="22"/>
      <c r="H5159" s="5" t="e">
        <f ca="1">_xlfn.FORMULATEXT(표1[[#This Row],[Q''ty]])</f>
        <v>#N/A</v>
      </c>
    </row>
    <row r="5160" spans="1:10" ht="15" hidden="1" customHeight="1" thickBot="1" x14ac:dyDescent="0.45">
      <c r="A5160" s="15">
        <v>2026</v>
      </c>
      <c r="B5160" s="15">
        <f t="shared" si="666"/>
        <v>53</v>
      </c>
      <c r="C5160" s="16" t="s">
        <v>23</v>
      </c>
      <c r="D5160" s="17" t="s">
        <v>12</v>
      </c>
      <c r="E5160" s="18" t="s">
        <v>17</v>
      </c>
      <c r="F5160" s="23"/>
      <c r="H5160" s="5" t="e">
        <f ca="1">_xlfn.FORMULATEXT(표1[[#This Row],[Q''ty]])</f>
        <v>#N/A</v>
      </c>
    </row>
    <row r="5161" spans="1:10" ht="15" hidden="1" customHeight="1" thickTop="1" x14ac:dyDescent="0.4">
      <c r="A5161" s="9">
        <v>2026</v>
      </c>
      <c r="B5161" s="9">
        <f t="shared" si="666"/>
        <v>53</v>
      </c>
      <c r="C5161" s="10" t="s">
        <v>29</v>
      </c>
      <c r="D5161" s="11" t="s">
        <v>6</v>
      </c>
      <c r="E5161" s="12" t="s">
        <v>7</v>
      </c>
      <c r="F5161" s="21">
        <f t="shared" ref="F5161:F5166" si="667">F5062</f>
        <v>14</v>
      </c>
      <c r="H5161" s="5" t="str">
        <f ca="1">_xlfn.FORMULATEXT(표1[[#This Row],[Q''ty]])</f>
        <v>=F5062</v>
      </c>
    </row>
    <row r="5162" spans="1:10" s="2" customFormat="1" ht="15" hidden="1" customHeight="1" x14ac:dyDescent="0.4">
      <c r="A5162" s="6">
        <v>2026</v>
      </c>
      <c r="B5162" s="6">
        <f t="shared" si="666"/>
        <v>53</v>
      </c>
      <c r="C5162" s="13" t="s">
        <v>24</v>
      </c>
      <c r="D5162" s="2" t="s">
        <v>6</v>
      </c>
      <c r="E5162" s="14" t="s">
        <v>8</v>
      </c>
      <c r="F5162" s="22">
        <f t="shared" si="667"/>
        <v>8</v>
      </c>
      <c r="H5162" s="5" t="str">
        <f ca="1">_xlfn.FORMULATEXT(표1[[#This Row],[Q''ty]])</f>
        <v>=F5063</v>
      </c>
      <c r="I5162" s="26"/>
      <c r="J5162" s="26"/>
    </row>
    <row r="5163" spans="1:10" s="2" customFormat="1" ht="15" hidden="1" customHeight="1" x14ac:dyDescent="0.4">
      <c r="A5163" s="6">
        <v>2026</v>
      </c>
      <c r="B5163" s="6">
        <f t="shared" si="666"/>
        <v>53</v>
      </c>
      <c r="C5163" s="13" t="s">
        <v>24</v>
      </c>
      <c r="D5163" s="2" t="s">
        <v>6</v>
      </c>
      <c r="E5163" s="14" t="s">
        <v>9</v>
      </c>
      <c r="F5163" s="22">
        <f t="shared" si="667"/>
        <v>4</v>
      </c>
      <c r="H5163" s="5" t="str">
        <f ca="1">_xlfn.FORMULATEXT(표1[[#This Row],[Q''ty]])</f>
        <v>=F5064</v>
      </c>
      <c r="I5163" s="26"/>
      <c r="J5163" s="26"/>
    </row>
    <row r="5164" spans="1:10" ht="15" hidden="1" customHeight="1" x14ac:dyDescent="0.4">
      <c r="A5164" s="6">
        <v>2026</v>
      </c>
      <c r="B5164" s="6">
        <f t="shared" si="666"/>
        <v>53</v>
      </c>
      <c r="C5164" s="13" t="s">
        <v>24</v>
      </c>
      <c r="D5164" s="2" t="s">
        <v>6</v>
      </c>
      <c r="E5164" s="14" t="s">
        <v>27</v>
      </c>
      <c r="F5164" s="22">
        <f t="shared" si="667"/>
        <v>3</v>
      </c>
      <c r="H5164" s="5" t="str">
        <f ca="1">_xlfn.FORMULATEXT(표1[[#This Row],[Q''ty]])</f>
        <v>=F5065</v>
      </c>
    </row>
    <row r="5165" spans="1:10" ht="15" hidden="1" customHeight="1" x14ac:dyDescent="0.4">
      <c r="A5165" s="6">
        <v>2026</v>
      </c>
      <c r="B5165" s="6">
        <f t="shared" si="666"/>
        <v>53</v>
      </c>
      <c r="C5165" s="13" t="s">
        <v>24</v>
      </c>
      <c r="D5165" s="2" t="s">
        <v>6</v>
      </c>
      <c r="E5165" s="14" t="s">
        <v>10</v>
      </c>
      <c r="F5165" s="22">
        <f t="shared" si="667"/>
        <v>6</v>
      </c>
      <c r="H5165" s="5" t="str">
        <f ca="1">_xlfn.FORMULATEXT(표1[[#This Row],[Q''ty]])</f>
        <v>=F5066</v>
      </c>
    </row>
    <row r="5166" spans="1:10" ht="15" hidden="1" customHeight="1" x14ac:dyDescent="0.4">
      <c r="A5166" s="6">
        <v>2026</v>
      </c>
      <c r="B5166" s="6">
        <f t="shared" si="666"/>
        <v>53</v>
      </c>
      <c r="C5166" s="13" t="s">
        <v>24</v>
      </c>
      <c r="D5166" s="2" t="s">
        <v>6</v>
      </c>
      <c r="E5166" s="14" t="s">
        <v>11</v>
      </c>
      <c r="F5166" s="22">
        <f t="shared" si="667"/>
        <v>8.8000000000000007</v>
      </c>
      <c r="H5166" s="5" t="str">
        <f ca="1">_xlfn.FORMULATEXT(표1[[#This Row],[Q''ty]])</f>
        <v>=F5067</v>
      </c>
    </row>
    <row r="5167" spans="1:10" ht="15" hidden="1" customHeight="1" x14ac:dyDescent="0.4">
      <c r="A5167" s="6">
        <v>2026</v>
      </c>
      <c r="B5167" s="6">
        <f t="shared" si="666"/>
        <v>53</v>
      </c>
      <c r="C5167" s="13" t="s">
        <v>24</v>
      </c>
      <c r="D5167" s="2" t="s">
        <v>12</v>
      </c>
      <c r="E5167" s="14" t="s">
        <v>13</v>
      </c>
      <c r="F5167" s="22"/>
      <c r="H5167" s="5" t="e">
        <f ca="1">_xlfn.FORMULATEXT(표1[[#This Row],[Q''ty]])</f>
        <v>#N/A</v>
      </c>
    </row>
    <row r="5168" spans="1:10" s="2" customFormat="1" ht="15" hidden="1" customHeight="1" x14ac:dyDescent="0.4">
      <c r="A5168" s="6">
        <v>2026</v>
      </c>
      <c r="B5168" s="6">
        <f t="shared" si="666"/>
        <v>53</v>
      </c>
      <c r="C5168" s="13" t="s">
        <v>24</v>
      </c>
      <c r="D5168" s="2" t="s">
        <v>12</v>
      </c>
      <c r="E5168" s="14" t="s">
        <v>14</v>
      </c>
      <c r="F5168" s="22"/>
      <c r="H5168" s="5" t="e">
        <f ca="1">_xlfn.FORMULATEXT(표1[[#This Row],[Q''ty]])</f>
        <v>#N/A</v>
      </c>
      <c r="I5168" s="26"/>
      <c r="J5168" s="26"/>
    </row>
    <row r="5169" spans="1:8" ht="15" hidden="1" customHeight="1" x14ac:dyDescent="0.4">
      <c r="A5169" s="6">
        <v>2026</v>
      </c>
      <c r="B5169" s="6">
        <f t="shared" si="666"/>
        <v>53</v>
      </c>
      <c r="C5169" s="13" t="s">
        <v>24</v>
      </c>
      <c r="D5169" s="2" t="s">
        <v>12</v>
      </c>
      <c r="E5169" s="14" t="s">
        <v>15</v>
      </c>
      <c r="F5169" s="22"/>
      <c r="H5169" s="5" t="e">
        <f ca="1">_xlfn.FORMULATEXT(표1[[#This Row],[Q''ty]])</f>
        <v>#N/A</v>
      </c>
    </row>
    <row r="5170" spans="1:8" ht="15" hidden="1" customHeight="1" x14ac:dyDescent="0.4">
      <c r="A5170" s="6">
        <v>2026</v>
      </c>
      <c r="B5170" s="6">
        <f t="shared" si="666"/>
        <v>53</v>
      </c>
      <c r="C5170" s="13" t="s">
        <v>24</v>
      </c>
      <c r="D5170" s="2" t="s">
        <v>12</v>
      </c>
      <c r="E5170" s="14" t="s">
        <v>16</v>
      </c>
      <c r="F5170" s="22"/>
      <c r="H5170" s="5" t="e">
        <f ca="1">_xlfn.FORMULATEXT(표1[[#This Row],[Q''ty]])</f>
        <v>#N/A</v>
      </c>
    </row>
    <row r="5171" spans="1:8" ht="15" hidden="1" customHeight="1" thickBot="1" x14ac:dyDescent="0.45">
      <c r="A5171" s="15">
        <v>2026</v>
      </c>
      <c r="B5171" s="15">
        <f t="shared" si="666"/>
        <v>53</v>
      </c>
      <c r="C5171" s="16" t="s">
        <v>24</v>
      </c>
      <c r="D5171" s="17" t="s">
        <v>12</v>
      </c>
      <c r="E5171" s="18" t="s">
        <v>17</v>
      </c>
      <c r="F5171" s="23"/>
      <c r="H5171" s="5" t="e">
        <f ca="1">_xlfn.FORMULATEXT(표1[[#This Row],[Q''ty]])</f>
        <v>#N/A</v>
      </c>
    </row>
    <row r="5172" spans="1:8" ht="15" hidden="1" customHeight="1" thickTop="1" x14ac:dyDescent="0.4">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hidden="1" customHeight="1" x14ac:dyDescent="0.4">
      <c r="A5173" s="6">
        <v>2026</v>
      </c>
      <c r="B5173" s="6">
        <f t="shared" si="666"/>
        <v>53</v>
      </c>
      <c r="C5173" s="13" t="s">
        <v>18</v>
      </c>
      <c r="D5173" s="2" t="s">
        <v>6</v>
      </c>
      <c r="E5173" s="14" t="str">
        <f t="shared" si="668"/>
        <v>Paint Booth</v>
      </c>
      <c r="F5173" s="22">
        <f t="shared" si="668"/>
        <v>3</v>
      </c>
      <c r="H5173" s="5" t="str">
        <f ca="1">_xlfn.FORMULATEXT(표1[[#This Row],[Q''ty]])</f>
        <v>=F5074</v>
      </c>
    </row>
    <row r="5174" spans="1:8" ht="15" hidden="1" customHeight="1" x14ac:dyDescent="0.4">
      <c r="A5174" s="6">
        <v>2026</v>
      </c>
      <c r="B5174" s="6">
        <f t="shared" si="666"/>
        <v>53</v>
      </c>
      <c r="C5174" s="13" t="s">
        <v>18</v>
      </c>
      <c r="D5174" s="2" t="s">
        <v>6</v>
      </c>
      <c r="E5174" s="14" t="str">
        <f t="shared" si="668"/>
        <v>Paint Line</v>
      </c>
      <c r="F5174" s="22">
        <f t="shared" si="668"/>
        <v>2</v>
      </c>
      <c r="H5174" s="5" t="str">
        <f ca="1">_xlfn.FORMULATEXT(표1[[#This Row],[Q''ty]])</f>
        <v>=F5075</v>
      </c>
    </row>
    <row r="5175" spans="1:8" ht="15" hidden="1" customHeight="1" x14ac:dyDescent="0.4">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hidden="1" customHeight="1" x14ac:dyDescent="0.4">
      <c r="A5176" s="6">
        <v>2026</v>
      </c>
      <c r="B5176" s="6">
        <f t="shared" si="666"/>
        <v>53</v>
      </c>
      <c r="C5176" s="13" t="s">
        <v>18</v>
      </c>
      <c r="D5176" s="2" t="s">
        <v>6</v>
      </c>
      <c r="E5176" s="14" t="str">
        <f t="shared" si="668"/>
        <v>L/W Machine</v>
      </c>
      <c r="F5176" s="22">
        <f t="shared" si="668"/>
        <v>2</v>
      </c>
      <c r="H5176" s="5" t="str">
        <f ca="1">_xlfn.FORMULATEXT(표1[[#This Row],[Q''ty]])</f>
        <v>=F5077</v>
      </c>
    </row>
    <row r="5177" spans="1:8" ht="15" hidden="1" customHeight="1" x14ac:dyDescent="0.4">
      <c r="A5177" s="6">
        <v>2026</v>
      </c>
      <c r="B5177" s="6">
        <f t="shared" si="666"/>
        <v>53</v>
      </c>
      <c r="C5177" s="13" t="s">
        <v>18</v>
      </c>
      <c r="D5177" s="2" t="s">
        <v>6</v>
      </c>
      <c r="E5177" s="14" t="str">
        <f t="shared" si="668"/>
        <v>C/W Machine</v>
      </c>
      <c r="F5177" s="22">
        <f t="shared" si="668"/>
        <v>3</v>
      </c>
      <c r="H5177" s="5" t="str">
        <f ca="1">_xlfn.FORMULATEXT(표1[[#This Row],[Q''ty]])</f>
        <v>=F5078</v>
      </c>
    </row>
    <row r="5178" spans="1:8" ht="15" hidden="1" customHeight="1" x14ac:dyDescent="0.4">
      <c r="A5178" s="6">
        <v>2026</v>
      </c>
      <c r="B5178" s="6">
        <f t="shared" si="666"/>
        <v>53</v>
      </c>
      <c r="C5178" s="13" t="s">
        <v>18</v>
      </c>
      <c r="D5178" s="2" t="s">
        <v>12</v>
      </c>
      <c r="E5178" s="14" t="str">
        <f t="shared" ref="E5178:E5193" si="669">E5079</f>
        <v>BT GT</v>
      </c>
      <c r="F5178" s="22"/>
      <c r="H5178" s="5" t="e">
        <f ca="1">_xlfn.FORMULATEXT(표1[[#This Row],[Q''ty]])</f>
        <v>#N/A</v>
      </c>
    </row>
    <row r="5179" spans="1:8" ht="15" hidden="1" customHeight="1" x14ac:dyDescent="0.4">
      <c r="A5179" s="6">
        <v>2026</v>
      </c>
      <c r="B5179" s="6">
        <f t="shared" si="666"/>
        <v>53</v>
      </c>
      <c r="C5179" s="13" t="s">
        <v>18</v>
      </c>
      <c r="D5179" s="2" t="s">
        <v>12</v>
      </c>
      <c r="E5179" s="14" t="str">
        <f t="shared" si="669"/>
        <v>WT GT</v>
      </c>
      <c r="F5179" s="22"/>
      <c r="H5179" s="5" t="e">
        <f ca="1">_xlfn.FORMULATEXT(표1[[#This Row],[Q''ty]])</f>
        <v>#N/A</v>
      </c>
    </row>
    <row r="5180" spans="1:8" ht="15" hidden="1" customHeight="1" x14ac:dyDescent="0.4">
      <c r="A5180" s="6">
        <v>2026</v>
      </c>
      <c r="B5180" s="6">
        <f t="shared" si="666"/>
        <v>53</v>
      </c>
      <c r="C5180" s="13" t="s">
        <v>18</v>
      </c>
      <c r="D5180" s="2" t="s">
        <v>12</v>
      </c>
      <c r="E5180" s="14" t="str">
        <f t="shared" si="669"/>
        <v>Bending</v>
      </c>
      <c r="F5180" s="22"/>
      <c r="H5180" s="5" t="e">
        <f ca="1">_xlfn.FORMULATEXT(표1[[#This Row],[Q''ty]])</f>
        <v>#N/A</v>
      </c>
    </row>
    <row r="5181" spans="1:8" ht="15" hidden="1" customHeight="1" x14ac:dyDescent="0.4">
      <c r="A5181" s="6">
        <v>2026</v>
      </c>
      <c r="B5181" s="6">
        <f t="shared" si="666"/>
        <v>53</v>
      </c>
      <c r="C5181" s="13" t="s">
        <v>18</v>
      </c>
      <c r="D5181" s="2" t="s">
        <v>12</v>
      </c>
      <c r="E5181" s="14" t="str">
        <f t="shared" si="669"/>
        <v>L/W</v>
      </c>
      <c r="F5181" s="22"/>
      <c r="H5181" s="5" t="e">
        <f ca="1">_xlfn.FORMULATEXT(표1[[#This Row],[Q''ty]])</f>
        <v>#N/A</v>
      </c>
    </row>
    <row r="5182" spans="1:8" ht="15" hidden="1" customHeight="1" thickBot="1" x14ac:dyDescent="0.45">
      <c r="A5182" s="15">
        <v>2026</v>
      </c>
      <c r="B5182" s="15">
        <f t="shared" si="666"/>
        <v>53</v>
      </c>
      <c r="C5182" s="16" t="s">
        <v>18</v>
      </c>
      <c r="D5182" s="17" t="s">
        <v>12</v>
      </c>
      <c r="E5182" s="18" t="str">
        <f t="shared" si="669"/>
        <v>C/W</v>
      </c>
      <c r="F5182" s="23"/>
      <c r="H5182" s="5" t="e">
        <f ca="1">_xlfn.FORMULATEXT(표1[[#This Row],[Q''ty]])</f>
        <v>#N/A</v>
      </c>
    </row>
    <row r="5183" spans="1:8" ht="15" hidden="1" customHeight="1" thickTop="1" x14ac:dyDescent="0.4">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hidden="1" customHeight="1" x14ac:dyDescent="0.4">
      <c r="A5184" s="6">
        <v>2026</v>
      </c>
      <c r="B5184" s="6">
        <f t="shared" si="666"/>
        <v>53</v>
      </c>
      <c r="C5184" s="13" t="s">
        <v>19</v>
      </c>
      <c r="D5184" s="2" t="s">
        <v>6</v>
      </c>
      <c r="E5184" s="14" t="str">
        <f t="shared" si="669"/>
        <v>Paint Booth</v>
      </c>
      <c r="F5184" s="22">
        <f t="shared" si="670"/>
        <v>22</v>
      </c>
      <c r="H5184" s="5" t="str">
        <f ca="1">_xlfn.FORMULATEXT(표1[[#This Row],[Q''ty]])</f>
        <v>=F5085</v>
      </c>
    </row>
    <row r="5185" spans="1:8" ht="15" hidden="1" customHeight="1" x14ac:dyDescent="0.4">
      <c r="A5185" s="6">
        <v>2026</v>
      </c>
      <c r="B5185" s="6">
        <f t="shared" si="666"/>
        <v>53</v>
      </c>
      <c r="C5185" s="13" t="s">
        <v>19</v>
      </c>
      <c r="D5185" s="2" t="s">
        <v>6</v>
      </c>
      <c r="E5185" s="14" t="str">
        <f t="shared" si="669"/>
        <v>Paint Line</v>
      </c>
      <c r="F5185" s="22">
        <f t="shared" si="670"/>
        <v>6</v>
      </c>
      <c r="H5185" s="5" t="str">
        <f ca="1">_xlfn.FORMULATEXT(표1[[#This Row],[Q''ty]])</f>
        <v>=F5086</v>
      </c>
    </row>
    <row r="5186" spans="1:8" ht="15" hidden="1" customHeight="1" x14ac:dyDescent="0.4">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hidden="1" customHeight="1" x14ac:dyDescent="0.4">
      <c r="A5187" s="6">
        <v>2026</v>
      </c>
      <c r="B5187" s="6">
        <f t="shared" si="666"/>
        <v>53</v>
      </c>
      <c r="C5187" s="13" t="s">
        <v>19</v>
      </c>
      <c r="D5187" s="2" t="s">
        <v>6</v>
      </c>
      <c r="E5187" s="14" t="str">
        <f t="shared" si="669"/>
        <v>L/W Machine</v>
      </c>
      <c r="F5187" s="22">
        <f t="shared" si="670"/>
        <v>10</v>
      </c>
      <c r="H5187" s="5" t="str">
        <f ca="1">_xlfn.FORMULATEXT(표1[[#This Row],[Q''ty]])</f>
        <v>=F5088</v>
      </c>
    </row>
    <row r="5188" spans="1:8" ht="15" hidden="1" customHeight="1" x14ac:dyDescent="0.4">
      <c r="A5188" s="6">
        <v>2026</v>
      </c>
      <c r="B5188" s="6">
        <f t="shared" si="666"/>
        <v>53</v>
      </c>
      <c r="C5188" s="13" t="s">
        <v>19</v>
      </c>
      <c r="D5188" s="2" t="s">
        <v>6</v>
      </c>
      <c r="E5188" s="14" t="str">
        <f t="shared" si="669"/>
        <v>C/W Machine</v>
      </c>
      <c r="F5188" s="22">
        <f t="shared" si="670"/>
        <v>12</v>
      </c>
      <c r="H5188" s="5" t="str">
        <f ca="1">_xlfn.FORMULATEXT(표1[[#This Row],[Q''ty]])</f>
        <v>=F5089</v>
      </c>
    </row>
    <row r="5189" spans="1:8" ht="15" hidden="1" customHeight="1" x14ac:dyDescent="0.4">
      <c r="A5189" s="6">
        <v>2026</v>
      </c>
      <c r="B5189" s="6">
        <f t="shared" si="666"/>
        <v>53</v>
      </c>
      <c r="C5189" s="13" t="s">
        <v>19</v>
      </c>
      <c r="D5189" s="2" t="s">
        <v>12</v>
      </c>
      <c r="E5189" s="14" t="str">
        <f t="shared" si="669"/>
        <v>BT GT</v>
      </c>
      <c r="F5189" s="22"/>
      <c r="H5189" s="5" t="e">
        <f ca="1">_xlfn.FORMULATEXT(표1[[#This Row],[Q''ty]])</f>
        <v>#N/A</v>
      </c>
    </row>
    <row r="5190" spans="1:8" ht="15" hidden="1" customHeight="1" x14ac:dyDescent="0.4">
      <c r="A5190" s="6">
        <v>2026</v>
      </c>
      <c r="B5190" s="6">
        <f t="shared" si="666"/>
        <v>53</v>
      </c>
      <c r="C5190" s="13" t="s">
        <v>19</v>
      </c>
      <c r="D5190" s="2" t="s">
        <v>12</v>
      </c>
      <c r="E5190" s="14" t="str">
        <f t="shared" si="669"/>
        <v>WT GT</v>
      </c>
      <c r="F5190" s="22"/>
      <c r="H5190" s="5" t="e">
        <f ca="1">_xlfn.FORMULATEXT(표1[[#This Row],[Q''ty]])</f>
        <v>#N/A</v>
      </c>
    </row>
    <row r="5191" spans="1:8" ht="15" hidden="1" customHeight="1" x14ac:dyDescent="0.4">
      <c r="A5191" s="6">
        <v>2026</v>
      </c>
      <c r="B5191" s="6">
        <f t="shared" si="666"/>
        <v>53</v>
      </c>
      <c r="C5191" s="13" t="s">
        <v>19</v>
      </c>
      <c r="D5191" s="2" t="s">
        <v>12</v>
      </c>
      <c r="E5191" s="14" t="str">
        <f t="shared" si="669"/>
        <v>Bending</v>
      </c>
      <c r="F5191" s="22"/>
      <c r="H5191" s="5" t="e">
        <f ca="1">_xlfn.FORMULATEXT(표1[[#This Row],[Q''ty]])</f>
        <v>#N/A</v>
      </c>
    </row>
    <row r="5192" spans="1:8" ht="15" hidden="1" customHeight="1" x14ac:dyDescent="0.4">
      <c r="A5192" s="6">
        <v>2026</v>
      </c>
      <c r="B5192" s="6">
        <f t="shared" si="666"/>
        <v>53</v>
      </c>
      <c r="C5192" s="13" t="s">
        <v>19</v>
      </c>
      <c r="D5192" s="2" t="s">
        <v>12</v>
      </c>
      <c r="E5192" s="14" t="str">
        <f t="shared" si="669"/>
        <v>L/W</v>
      </c>
      <c r="F5192" s="22"/>
      <c r="H5192" s="5" t="e">
        <f ca="1">_xlfn.FORMULATEXT(표1[[#This Row],[Q''ty]])</f>
        <v>#N/A</v>
      </c>
    </row>
    <row r="5193" spans="1:8" ht="15" hidden="1" customHeight="1" thickBot="1" x14ac:dyDescent="0.45">
      <c r="A5193" s="15">
        <v>2026</v>
      </c>
      <c r="B5193" s="15">
        <f t="shared" si="666"/>
        <v>53</v>
      </c>
      <c r="C5193" s="16" t="s">
        <v>19</v>
      </c>
      <c r="D5193" s="17" t="s">
        <v>12</v>
      </c>
      <c r="E5193" s="18" t="str">
        <f t="shared" si="669"/>
        <v>C/W</v>
      </c>
      <c r="F5193" s="23"/>
      <c r="H5193" s="5" t="e">
        <f ca="1">_xlfn.FORMULATEXT(표1[[#This Row],[Q''ty]])</f>
        <v>#N/A</v>
      </c>
    </row>
    <row r="5194" spans="1:8" ht="15" hidden="1" customHeight="1" thickTop="1" x14ac:dyDescent="0.4">
      <c r="A5194" s="6">
        <v>2026</v>
      </c>
      <c r="B5194" s="6">
        <f t="shared" si="666"/>
        <v>53</v>
      </c>
      <c r="C5194" s="13" t="s">
        <v>25</v>
      </c>
      <c r="D5194" s="2" t="s">
        <v>6</v>
      </c>
      <c r="E5194" s="14" t="s">
        <v>7</v>
      </c>
      <c r="F5194" s="22">
        <f t="shared" ref="F5194:F5199" si="671">F5095</f>
        <v>3</v>
      </c>
      <c r="H5194" s="5" t="str">
        <f ca="1">_xlfn.FORMULATEXT(표1[[#This Row],[Q''ty]])</f>
        <v>=F5095</v>
      </c>
    </row>
    <row r="5195" spans="1:8" ht="15" hidden="1" customHeight="1" x14ac:dyDescent="0.4">
      <c r="A5195" s="6">
        <v>2026</v>
      </c>
      <c r="B5195" s="6">
        <f t="shared" si="666"/>
        <v>53</v>
      </c>
      <c r="C5195" s="13" t="s">
        <v>25</v>
      </c>
      <c r="D5195" s="2" t="s">
        <v>6</v>
      </c>
      <c r="E5195" s="14" t="s">
        <v>8</v>
      </c>
      <c r="F5195" s="22">
        <f t="shared" si="671"/>
        <v>3</v>
      </c>
      <c r="H5195" s="5" t="str">
        <f ca="1">_xlfn.FORMULATEXT(표1[[#This Row],[Q''ty]])</f>
        <v>=F5096</v>
      </c>
    </row>
    <row r="5196" spans="1:8" ht="15" hidden="1" customHeight="1" x14ac:dyDescent="0.4">
      <c r="A5196" s="6">
        <v>2026</v>
      </c>
      <c r="B5196" s="6">
        <f t="shared" si="666"/>
        <v>53</v>
      </c>
      <c r="C5196" s="13" t="s">
        <v>25</v>
      </c>
      <c r="D5196" s="2" t="s">
        <v>6</v>
      </c>
      <c r="E5196" s="14" t="s">
        <v>9</v>
      </c>
      <c r="F5196" s="22">
        <f t="shared" si="671"/>
        <v>2</v>
      </c>
      <c r="H5196" s="5" t="str">
        <f ca="1">_xlfn.FORMULATEXT(표1[[#This Row],[Q''ty]])</f>
        <v>=F5097</v>
      </c>
    </row>
    <row r="5197" spans="1:8" ht="15" hidden="1" customHeight="1" x14ac:dyDescent="0.4">
      <c r="A5197" s="6">
        <v>2026</v>
      </c>
      <c r="B5197" s="6">
        <f t="shared" si="666"/>
        <v>53</v>
      </c>
      <c r="C5197" s="13" t="s">
        <v>25</v>
      </c>
      <c r="D5197" s="2" t="s">
        <v>6</v>
      </c>
      <c r="E5197" s="14" t="s">
        <v>27</v>
      </c>
      <c r="F5197" s="22">
        <f t="shared" si="671"/>
        <v>2</v>
      </c>
      <c r="H5197" s="5" t="str">
        <f ca="1">_xlfn.FORMULATEXT(표1[[#This Row],[Q''ty]])</f>
        <v>=F5098</v>
      </c>
    </row>
    <row r="5198" spans="1:8" ht="15" hidden="1" customHeight="1" x14ac:dyDescent="0.4">
      <c r="A5198" s="6">
        <v>2026</v>
      </c>
      <c r="B5198" s="6">
        <f t="shared" si="666"/>
        <v>53</v>
      </c>
      <c r="C5198" s="13" t="s">
        <v>25</v>
      </c>
      <c r="D5198" s="2" t="s">
        <v>6</v>
      </c>
      <c r="E5198" s="14" t="s">
        <v>10</v>
      </c>
      <c r="F5198" s="22">
        <f t="shared" si="671"/>
        <v>3</v>
      </c>
      <c r="H5198" s="5" t="str">
        <f ca="1">_xlfn.FORMULATEXT(표1[[#This Row],[Q''ty]])</f>
        <v>=F5099</v>
      </c>
    </row>
    <row r="5199" spans="1:8" ht="15" hidden="1" customHeight="1" x14ac:dyDescent="0.4">
      <c r="A5199" s="6">
        <v>2026</v>
      </c>
      <c r="B5199" s="6">
        <f t="shared" si="666"/>
        <v>53</v>
      </c>
      <c r="C5199" s="13" t="s">
        <v>25</v>
      </c>
      <c r="D5199" s="2" t="s">
        <v>6</v>
      </c>
      <c r="E5199" s="14" t="s">
        <v>11</v>
      </c>
      <c r="F5199" s="22">
        <f t="shared" si="671"/>
        <v>4</v>
      </c>
      <c r="H5199" s="5" t="str">
        <f ca="1">_xlfn.FORMULATEXT(표1[[#This Row],[Q''ty]])</f>
        <v>=F5100</v>
      </c>
    </row>
    <row r="5200" spans="1:8" ht="15" hidden="1" customHeight="1" x14ac:dyDescent="0.4">
      <c r="A5200" s="6">
        <v>2026</v>
      </c>
      <c r="B5200" s="6">
        <f t="shared" si="666"/>
        <v>53</v>
      </c>
      <c r="C5200" s="13" t="s">
        <v>25</v>
      </c>
      <c r="D5200" s="2" t="s">
        <v>12</v>
      </c>
      <c r="E5200" s="14" t="s">
        <v>13</v>
      </c>
      <c r="F5200" s="22"/>
      <c r="H5200" s="5" t="e">
        <f ca="1">_xlfn.FORMULATEXT(표1[[#This Row],[Q''ty]])</f>
        <v>#N/A</v>
      </c>
    </row>
    <row r="5201" spans="1:8" ht="15" hidden="1" customHeight="1" x14ac:dyDescent="0.4">
      <c r="A5201" s="6">
        <v>2026</v>
      </c>
      <c r="B5201" s="6">
        <f t="shared" si="666"/>
        <v>53</v>
      </c>
      <c r="C5201" s="13" t="s">
        <v>25</v>
      </c>
      <c r="D5201" s="2" t="s">
        <v>12</v>
      </c>
      <c r="E5201" s="14" t="s">
        <v>14</v>
      </c>
      <c r="F5201" s="22"/>
      <c r="H5201" s="5" t="e">
        <f ca="1">_xlfn.FORMULATEXT(표1[[#This Row],[Q''ty]])</f>
        <v>#N/A</v>
      </c>
    </row>
    <row r="5202" spans="1:8" ht="15" hidden="1" customHeight="1" x14ac:dyDescent="0.4">
      <c r="A5202" s="6">
        <v>2026</v>
      </c>
      <c r="B5202" s="6">
        <f t="shared" si="666"/>
        <v>53</v>
      </c>
      <c r="C5202" s="13" t="s">
        <v>25</v>
      </c>
      <c r="D5202" s="2" t="s">
        <v>12</v>
      </c>
      <c r="E5202" s="14" t="s">
        <v>15</v>
      </c>
      <c r="F5202" s="22"/>
      <c r="H5202" s="5" t="e">
        <f ca="1">_xlfn.FORMULATEXT(표1[[#This Row],[Q''ty]])</f>
        <v>#N/A</v>
      </c>
    </row>
    <row r="5203" spans="1:8" ht="15" hidden="1" customHeight="1" x14ac:dyDescent="0.4">
      <c r="A5203" s="6">
        <v>2026</v>
      </c>
      <c r="B5203" s="6">
        <f t="shared" si="666"/>
        <v>53</v>
      </c>
      <c r="C5203" s="13" t="s">
        <v>25</v>
      </c>
      <c r="D5203" s="2" t="s">
        <v>12</v>
      </c>
      <c r="E5203" s="14" t="s">
        <v>16</v>
      </c>
      <c r="F5203" s="22"/>
      <c r="H5203" s="5" t="e">
        <f ca="1">_xlfn.FORMULATEXT(표1[[#This Row],[Q''ty]])</f>
        <v>#N/A</v>
      </c>
    </row>
    <row r="5204" spans="1:8" ht="15" hidden="1" customHeight="1" thickBot="1" x14ac:dyDescent="0.45">
      <c r="A5204" s="15">
        <v>2026</v>
      </c>
      <c r="B5204" s="15">
        <f t="shared" si="666"/>
        <v>53</v>
      </c>
      <c r="C5204" s="16" t="s">
        <v>25</v>
      </c>
      <c r="D5204" s="17" t="s">
        <v>12</v>
      </c>
      <c r="E5204" s="18" t="s">
        <v>17</v>
      </c>
      <c r="F5204" s="23"/>
      <c r="H5204" s="5" t="e">
        <f ca="1">_xlfn.FORMULATEXT(표1[[#This Row],[Q''ty]])</f>
        <v>#N/A</v>
      </c>
    </row>
    <row r="5205" spans="1:8" ht="15" hidden="1" customHeight="1" thickTop="1" x14ac:dyDescent="0.4">
      <c r="A5205" s="6">
        <v>2026</v>
      </c>
      <c r="B5205" s="6">
        <f t="shared" si="666"/>
        <v>53</v>
      </c>
      <c r="C5205" s="13" t="s">
        <v>26</v>
      </c>
      <c r="D5205" s="2" t="s">
        <v>6</v>
      </c>
      <c r="E5205" s="14" t="s">
        <v>7</v>
      </c>
      <c r="F5205" s="22">
        <f t="shared" ref="F5205:F5210" si="672">F5106</f>
        <v>6</v>
      </c>
      <c r="H5205" s="5" t="str">
        <f ca="1">_xlfn.FORMULATEXT(표1[[#This Row],[Q''ty]])</f>
        <v>=F5106</v>
      </c>
    </row>
    <row r="5206" spans="1:8" ht="15" hidden="1" customHeight="1" x14ac:dyDescent="0.4">
      <c r="A5206" s="6">
        <v>2026</v>
      </c>
      <c r="B5206" s="6">
        <f t="shared" si="666"/>
        <v>53</v>
      </c>
      <c r="C5206" s="13" t="s">
        <v>26</v>
      </c>
      <c r="D5206" s="2" t="s">
        <v>6</v>
      </c>
      <c r="E5206" s="14" t="s">
        <v>8</v>
      </c>
      <c r="F5206" s="22">
        <f t="shared" si="672"/>
        <v>4</v>
      </c>
      <c r="H5206" s="5" t="str">
        <f ca="1">_xlfn.FORMULATEXT(표1[[#This Row],[Q''ty]])</f>
        <v>=F5107</v>
      </c>
    </row>
    <row r="5207" spans="1:8" ht="15" hidden="1" customHeight="1" x14ac:dyDescent="0.4">
      <c r="A5207" s="6">
        <v>2026</v>
      </c>
      <c r="B5207" s="6">
        <f t="shared" si="666"/>
        <v>53</v>
      </c>
      <c r="C5207" s="13" t="s">
        <v>26</v>
      </c>
      <c r="D5207" s="2" t="s">
        <v>6</v>
      </c>
      <c r="E5207" s="14" t="s">
        <v>9</v>
      </c>
      <c r="F5207" s="22">
        <f t="shared" si="672"/>
        <v>2</v>
      </c>
      <c r="H5207" s="5" t="str">
        <f ca="1">_xlfn.FORMULATEXT(표1[[#This Row],[Q''ty]])</f>
        <v>=F5108</v>
      </c>
    </row>
    <row r="5208" spans="1:8" ht="15" hidden="1" customHeight="1" x14ac:dyDescent="0.4">
      <c r="A5208" s="6">
        <v>2026</v>
      </c>
      <c r="B5208" s="6">
        <f t="shared" si="666"/>
        <v>53</v>
      </c>
      <c r="C5208" s="13" t="s">
        <v>26</v>
      </c>
      <c r="D5208" s="2" t="s">
        <v>6</v>
      </c>
      <c r="E5208" s="14" t="s">
        <v>27</v>
      </c>
      <c r="F5208" s="22">
        <f t="shared" si="672"/>
        <v>3</v>
      </c>
      <c r="H5208" s="5" t="str">
        <f ca="1">_xlfn.FORMULATEXT(표1[[#This Row],[Q''ty]])</f>
        <v>=F5109</v>
      </c>
    </row>
    <row r="5209" spans="1:8" ht="15" hidden="1" customHeight="1" x14ac:dyDescent="0.4">
      <c r="A5209" s="6">
        <v>2026</v>
      </c>
      <c r="B5209" s="6">
        <f t="shared" si="666"/>
        <v>53</v>
      </c>
      <c r="C5209" s="13" t="s">
        <v>26</v>
      </c>
      <c r="D5209" s="2" t="s">
        <v>6</v>
      </c>
      <c r="E5209" s="14" t="s">
        <v>10</v>
      </c>
      <c r="F5209" s="22">
        <f t="shared" si="672"/>
        <v>4</v>
      </c>
      <c r="H5209" s="5" t="str">
        <f ca="1">_xlfn.FORMULATEXT(표1[[#This Row],[Q''ty]])</f>
        <v>=F5110</v>
      </c>
    </row>
    <row r="5210" spans="1:8" ht="15" hidden="1" customHeight="1" x14ac:dyDescent="0.4">
      <c r="A5210" s="6">
        <v>2026</v>
      </c>
      <c r="B5210" s="6">
        <f t="shared" si="666"/>
        <v>53</v>
      </c>
      <c r="C5210" s="13" t="s">
        <v>26</v>
      </c>
      <c r="D5210" s="2" t="s">
        <v>6</v>
      </c>
      <c r="E5210" s="14" t="s">
        <v>11</v>
      </c>
      <c r="F5210" s="22">
        <f t="shared" si="672"/>
        <v>6</v>
      </c>
      <c r="H5210" s="5" t="str">
        <f ca="1">_xlfn.FORMULATEXT(표1[[#This Row],[Q''ty]])</f>
        <v>=F5111</v>
      </c>
    </row>
    <row r="5211" spans="1:8" ht="15" hidden="1" customHeight="1" x14ac:dyDescent="0.4">
      <c r="A5211" s="6">
        <v>2026</v>
      </c>
      <c r="B5211" s="6">
        <f t="shared" si="666"/>
        <v>53</v>
      </c>
      <c r="C5211" s="13" t="s">
        <v>26</v>
      </c>
      <c r="D5211" s="2" t="s">
        <v>12</v>
      </c>
      <c r="E5211" s="14" t="str">
        <f t="shared" ref="E5211:F5248" si="673">E5112</f>
        <v>BT GT</v>
      </c>
      <c r="F5211" s="22"/>
      <c r="H5211" s="5" t="e">
        <f ca="1">_xlfn.FORMULATEXT(표1[[#This Row],[Q''ty]])</f>
        <v>#N/A</v>
      </c>
    </row>
    <row r="5212" spans="1:8" ht="15" hidden="1" customHeight="1" x14ac:dyDescent="0.4">
      <c r="A5212" s="6">
        <v>2026</v>
      </c>
      <c r="B5212" s="6">
        <f t="shared" si="666"/>
        <v>53</v>
      </c>
      <c r="C5212" s="13" t="s">
        <v>26</v>
      </c>
      <c r="D5212" s="2" t="s">
        <v>12</v>
      </c>
      <c r="E5212" s="14" t="str">
        <f t="shared" si="673"/>
        <v>WT GT</v>
      </c>
      <c r="F5212" s="22"/>
      <c r="H5212" s="5" t="e">
        <f ca="1">_xlfn.FORMULATEXT(표1[[#This Row],[Q''ty]])</f>
        <v>#N/A</v>
      </c>
    </row>
    <row r="5213" spans="1:8" ht="15" hidden="1" customHeight="1" x14ac:dyDescent="0.4">
      <c r="A5213" s="6">
        <v>2026</v>
      </c>
      <c r="B5213" s="6">
        <f t="shared" si="666"/>
        <v>53</v>
      </c>
      <c r="C5213" s="13" t="s">
        <v>26</v>
      </c>
      <c r="D5213" s="2" t="s">
        <v>12</v>
      </c>
      <c r="E5213" s="14" t="str">
        <f t="shared" si="673"/>
        <v>Bending</v>
      </c>
      <c r="F5213" s="22"/>
      <c r="H5213" s="5" t="e">
        <f ca="1">_xlfn.FORMULATEXT(표1[[#This Row],[Q''ty]])</f>
        <v>#N/A</v>
      </c>
    </row>
    <row r="5214" spans="1:8" ht="15" hidden="1" customHeight="1" x14ac:dyDescent="0.4">
      <c r="A5214" s="6">
        <v>2026</v>
      </c>
      <c r="B5214" s="6">
        <f t="shared" si="666"/>
        <v>53</v>
      </c>
      <c r="C5214" s="13" t="s">
        <v>26</v>
      </c>
      <c r="D5214" s="2" t="s">
        <v>12</v>
      </c>
      <c r="E5214" s="14" t="str">
        <f t="shared" si="673"/>
        <v>L/W</v>
      </c>
      <c r="F5214" s="22"/>
      <c r="H5214" s="5" t="e">
        <f ca="1">_xlfn.FORMULATEXT(표1[[#This Row],[Q''ty]])</f>
        <v>#N/A</v>
      </c>
    </row>
    <row r="5215" spans="1:8" ht="15" hidden="1" customHeight="1" thickBot="1" x14ac:dyDescent="0.45">
      <c r="A5215" s="15">
        <v>2026</v>
      </c>
      <c r="B5215" s="15">
        <f t="shared" ref="B5215:B5248" si="674">B5116+1</f>
        <v>53</v>
      </c>
      <c r="C5215" s="16" t="s">
        <v>26</v>
      </c>
      <c r="D5215" s="17" t="s">
        <v>12</v>
      </c>
      <c r="E5215" s="18" t="str">
        <f t="shared" si="673"/>
        <v>C/W</v>
      </c>
      <c r="F5215" s="23"/>
      <c r="H5215" s="5" t="e">
        <f ca="1">_xlfn.FORMULATEXT(표1[[#This Row],[Q''ty]])</f>
        <v>#N/A</v>
      </c>
    </row>
    <row r="5216" spans="1:8" ht="15" hidden="1" customHeight="1" thickTop="1" x14ac:dyDescent="0.4">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hidden="1" customHeight="1" x14ac:dyDescent="0.4">
      <c r="A5217" s="6">
        <v>2026</v>
      </c>
      <c r="B5217" s="6">
        <f t="shared" si="674"/>
        <v>53</v>
      </c>
      <c r="C5217" s="13" t="s">
        <v>20</v>
      </c>
      <c r="D5217" s="2" t="s">
        <v>6</v>
      </c>
      <c r="E5217" s="14" t="str">
        <f t="shared" si="673"/>
        <v>Paint Booth</v>
      </c>
      <c r="F5217" s="22">
        <f t="shared" si="675"/>
        <v>16</v>
      </c>
      <c r="H5217" s="5" t="str">
        <f ca="1">_xlfn.FORMULATEXT(표1[[#This Row],[Q''ty]])</f>
        <v>=F5118</v>
      </c>
    </row>
    <row r="5218" spans="1:8" ht="15" hidden="1" customHeight="1" x14ac:dyDescent="0.4">
      <c r="A5218" s="6">
        <v>2026</v>
      </c>
      <c r="B5218" s="6">
        <f t="shared" si="674"/>
        <v>53</v>
      </c>
      <c r="C5218" s="13" t="s">
        <v>20</v>
      </c>
      <c r="D5218" s="2" t="s">
        <v>6</v>
      </c>
      <c r="E5218" s="14" t="str">
        <f t="shared" si="673"/>
        <v>Paint Line</v>
      </c>
      <c r="F5218" s="22">
        <f t="shared" si="675"/>
        <v>8</v>
      </c>
      <c r="H5218" s="5" t="str">
        <f ca="1">_xlfn.FORMULATEXT(표1[[#This Row],[Q''ty]])</f>
        <v>=F5119</v>
      </c>
    </row>
    <row r="5219" spans="1:8" ht="15" hidden="1" customHeight="1" x14ac:dyDescent="0.4">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hidden="1" customHeight="1" x14ac:dyDescent="0.4">
      <c r="A5220" s="6">
        <v>2026</v>
      </c>
      <c r="B5220" s="6">
        <f t="shared" si="674"/>
        <v>53</v>
      </c>
      <c r="C5220" s="13" t="s">
        <v>20</v>
      </c>
      <c r="D5220" s="2" t="s">
        <v>6</v>
      </c>
      <c r="E5220" s="14" t="str">
        <f t="shared" si="673"/>
        <v>L/W Machine</v>
      </c>
      <c r="F5220" s="22">
        <f t="shared" si="675"/>
        <v>11</v>
      </c>
      <c r="H5220" s="5" t="str">
        <f ca="1">_xlfn.FORMULATEXT(표1[[#This Row],[Q''ty]])</f>
        <v>=F5121</v>
      </c>
    </row>
    <row r="5221" spans="1:8" ht="15" hidden="1" customHeight="1" x14ac:dyDescent="0.4">
      <c r="A5221" s="6">
        <v>2026</v>
      </c>
      <c r="B5221" s="6">
        <f t="shared" si="674"/>
        <v>53</v>
      </c>
      <c r="C5221" s="13" t="s">
        <v>20</v>
      </c>
      <c r="D5221" s="2" t="s">
        <v>6</v>
      </c>
      <c r="E5221" s="14" t="str">
        <f t="shared" si="673"/>
        <v>C/W Machine</v>
      </c>
      <c r="F5221" s="22">
        <f t="shared" si="675"/>
        <v>15</v>
      </c>
      <c r="H5221" s="5" t="str">
        <f ca="1">_xlfn.FORMULATEXT(표1[[#This Row],[Q''ty]])</f>
        <v>=F5122</v>
      </c>
    </row>
    <row r="5222" spans="1:8" ht="15" hidden="1" customHeight="1" x14ac:dyDescent="0.4">
      <c r="A5222" s="6">
        <v>2026</v>
      </c>
      <c r="B5222" s="6">
        <f t="shared" si="674"/>
        <v>53</v>
      </c>
      <c r="C5222" s="13" t="s">
        <v>20</v>
      </c>
      <c r="D5222" s="2" t="s">
        <v>12</v>
      </c>
      <c r="E5222" s="14" t="str">
        <f t="shared" si="673"/>
        <v>BT GT</v>
      </c>
      <c r="F5222" s="22"/>
      <c r="H5222" s="5" t="e">
        <f ca="1">_xlfn.FORMULATEXT(표1[[#This Row],[Q''ty]])</f>
        <v>#N/A</v>
      </c>
    </row>
    <row r="5223" spans="1:8" ht="15" hidden="1" customHeight="1" x14ac:dyDescent="0.4">
      <c r="A5223" s="6">
        <v>2026</v>
      </c>
      <c r="B5223" s="6">
        <f t="shared" si="674"/>
        <v>53</v>
      </c>
      <c r="C5223" s="13" t="s">
        <v>20</v>
      </c>
      <c r="D5223" s="2" t="s">
        <v>12</v>
      </c>
      <c r="E5223" s="14" t="str">
        <f t="shared" si="673"/>
        <v>WT GT</v>
      </c>
      <c r="F5223" s="22"/>
      <c r="H5223" s="5" t="e">
        <f ca="1">_xlfn.FORMULATEXT(표1[[#This Row],[Q''ty]])</f>
        <v>#N/A</v>
      </c>
    </row>
    <row r="5224" spans="1:8" ht="15" hidden="1" customHeight="1" x14ac:dyDescent="0.4">
      <c r="A5224" s="6">
        <v>2026</v>
      </c>
      <c r="B5224" s="6">
        <f t="shared" si="674"/>
        <v>53</v>
      </c>
      <c r="C5224" s="13" t="s">
        <v>20</v>
      </c>
      <c r="D5224" s="2" t="s">
        <v>12</v>
      </c>
      <c r="E5224" s="14" t="str">
        <f t="shared" si="673"/>
        <v>Bending</v>
      </c>
      <c r="F5224" s="22"/>
      <c r="H5224" s="5" t="e">
        <f ca="1">_xlfn.FORMULATEXT(표1[[#This Row],[Q''ty]])</f>
        <v>#N/A</v>
      </c>
    </row>
    <row r="5225" spans="1:8" ht="15" hidden="1" customHeight="1" x14ac:dyDescent="0.4">
      <c r="A5225" s="6">
        <v>2026</v>
      </c>
      <c r="B5225" s="6">
        <f t="shared" si="674"/>
        <v>53</v>
      </c>
      <c r="C5225" s="13" t="s">
        <v>20</v>
      </c>
      <c r="D5225" s="2" t="s">
        <v>12</v>
      </c>
      <c r="E5225" s="14" t="str">
        <f t="shared" si="673"/>
        <v>L/W</v>
      </c>
      <c r="F5225" s="22"/>
      <c r="H5225" s="5" t="e">
        <f ca="1">_xlfn.FORMULATEXT(표1[[#This Row],[Q''ty]])</f>
        <v>#N/A</v>
      </c>
    </row>
    <row r="5226" spans="1:8" ht="15" hidden="1" customHeight="1" thickBot="1" x14ac:dyDescent="0.45">
      <c r="A5226" s="15">
        <v>2026</v>
      </c>
      <c r="B5226" s="15">
        <f t="shared" si="674"/>
        <v>53</v>
      </c>
      <c r="C5226" s="16" t="s">
        <v>20</v>
      </c>
      <c r="D5226" s="17" t="s">
        <v>12</v>
      </c>
      <c r="E5226" s="18" t="str">
        <f t="shared" si="673"/>
        <v>C/W</v>
      </c>
      <c r="F5226" s="23"/>
      <c r="H5226" s="5" t="e">
        <f ca="1">_xlfn.FORMULATEXT(표1[[#This Row],[Q''ty]])</f>
        <v>#N/A</v>
      </c>
    </row>
    <row r="5227" spans="1:8" ht="15" hidden="1" customHeight="1" thickTop="1" x14ac:dyDescent="0.4">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hidden="1" customHeight="1" x14ac:dyDescent="0.4">
      <c r="A5228" s="6">
        <v>2026</v>
      </c>
      <c r="B5228" s="6">
        <f t="shared" si="674"/>
        <v>53</v>
      </c>
      <c r="C5228" s="13" t="s">
        <v>21</v>
      </c>
      <c r="D5228" s="2" t="s">
        <v>6</v>
      </c>
      <c r="E5228" s="14" t="str">
        <f t="shared" si="673"/>
        <v>Paint Booth</v>
      </c>
      <c r="F5228" s="22">
        <f t="shared" si="676"/>
        <v>4</v>
      </c>
      <c r="H5228" s="5" t="str">
        <f ca="1">_xlfn.FORMULATEXT(표1[[#This Row],[Q''ty]])</f>
        <v>=F5129</v>
      </c>
    </row>
    <row r="5229" spans="1:8" ht="15" hidden="1" customHeight="1" x14ac:dyDescent="0.4">
      <c r="A5229" s="6">
        <v>2026</v>
      </c>
      <c r="B5229" s="6">
        <f t="shared" si="674"/>
        <v>53</v>
      </c>
      <c r="C5229" s="13" t="s">
        <v>21</v>
      </c>
      <c r="D5229" s="2" t="s">
        <v>6</v>
      </c>
      <c r="E5229" s="14" t="str">
        <f t="shared" si="673"/>
        <v>Paint Line</v>
      </c>
      <c r="F5229" s="22">
        <f t="shared" si="676"/>
        <v>4</v>
      </c>
      <c r="H5229" s="5" t="str">
        <f ca="1">_xlfn.FORMULATEXT(표1[[#This Row],[Q''ty]])</f>
        <v>=F5130</v>
      </c>
    </row>
    <row r="5230" spans="1:8" ht="15" hidden="1" customHeight="1" x14ac:dyDescent="0.4">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hidden="1" customHeight="1" x14ac:dyDescent="0.4">
      <c r="A5231" s="6">
        <v>2026</v>
      </c>
      <c r="B5231" s="6">
        <f t="shared" si="674"/>
        <v>53</v>
      </c>
      <c r="C5231" s="13" t="s">
        <v>21</v>
      </c>
      <c r="D5231" s="2" t="s">
        <v>6</v>
      </c>
      <c r="E5231" s="14" t="str">
        <f t="shared" si="673"/>
        <v>L/W Machine</v>
      </c>
      <c r="F5231" s="22">
        <f t="shared" si="676"/>
        <v>4</v>
      </c>
      <c r="H5231" s="5" t="str">
        <f ca="1">_xlfn.FORMULATEXT(표1[[#This Row],[Q''ty]])</f>
        <v>=F5132</v>
      </c>
    </row>
    <row r="5232" spans="1:8" ht="15" hidden="1" customHeight="1" x14ac:dyDescent="0.4">
      <c r="A5232" s="6">
        <v>2026</v>
      </c>
      <c r="B5232" s="6">
        <f t="shared" si="674"/>
        <v>53</v>
      </c>
      <c r="C5232" s="13" t="s">
        <v>21</v>
      </c>
      <c r="D5232" s="2" t="s">
        <v>6</v>
      </c>
      <c r="E5232" s="14" t="str">
        <f t="shared" si="673"/>
        <v>C/W Machine</v>
      </c>
      <c r="F5232" s="22">
        <f t="shared" si="676"/>
        <v>6.5</v>
      </c>
      <c r="H5232" s="5" t="str">
        <f ca="1">_xlfn.FORMULATEXT(표1[[#This Row],[Q''ty]])</f>
        <v>=F5133</v>
      </c>
    </row>
    <row r="5233" spans="1:8" ht="15" hidden="1" customHeight="1" x14ac:dyDescent="0.4">
      <c r="A5233" s="6">
        <v>2026</v>
      </c>
      <c r="B5233" s="6">
        <f t="shared" si="674"/>
        <v>53</v>
      </c>
      <c r="C5233" s="13" t="s">
        <v>21</v>
      </c>
      <c r="D5233" s="2" t="s">
        <v>12</v>
      </c>
      <c r="E5233" s="14" t="str">
        <f t="shared" si="673"/>
        <v>BT GT</v>
      </c>
      <c r="F5233" s="22"/>
      <c r="H5233" s="5" t="e">
        <f ca="1">_xlfn.FORMULATEXT(표1[[#This Row],[Q''ty]])</f>
        <v>#N/A</v>
      </c>
    </row>
    <row r="5234" spans="1:8" ht="15" hidden="1" customHeight="1" x14ac:dyDescent="0.4">
      <c r="A5234" s="6">
        <v>2026</v>
      </c>
      <c r="B5234" s="6">
        <f t="shared" si="674"/>
        <v>53</v>
      </c>
      <c r="C5234" s="13" t="s">
        <v>21</v>
      </c>
      <c r="D5234" s="2" t="s">
        <v>12</v>
      </c>
      <c r="E5234" s="14" t="str">
        <f t="shared" si="673"/>
        <v>WT GT</v>
      </c>
      <c r="F5234" s="22"/>
      <c r="H5234" s="5" t="e">
        <f ca="1">_xlfn.FORMULATEXT(표1[[#This Row],[Q''ty]])</f>
        <v>#N/A</v>
      </c>
    </row>
    <row r="5235" spans="1:8" ht="15" hidden="1" customHeight="1" x14ac:dyDescent="0.4">
      <c r="A5235" s="6">
        <v>2026</v>
      </c>
      <c r="B5235" s="6">
        <f t="shared" si="674"/>
        <v>53</v>
      </c>
      <c r="C5235" s="13" t="s">
        <v>21</v>
      </c>
      <c r="D5235" s="2" t="s">
        <v>12</v>
      </c>
      <c r="E5235" s="14" t="str">
        <f t="shared" si="673"/>
        <v>Bending</v>
      </c>
      <c r="F5235" s="22"/>
      <c r="H5235" s="5" t="e">
        <f ca="1">_xlfn.FORMULATEXT(표1[[#This Row],[Q''ty]])</f>
        <v>#N/A</v>
      </c>
    </row>
    <row r="5236" spans="1:8" ht="15" hidden="1" customHeight="1" x14ac:dyDescent="0.4">
      <c r="A5236" s="6">
        <v>2026</v>
      </c>
      <c r="B5236" s="6">
        <f t="shared" si="674"/>
        <v>53</v>
      </c>
      <c r="C5236" s="13" t="s">
        <v>21</v>
      </c>
      <c r="D5236" s="2" t="s">
        <v>12</v>
      </c>
      <c r="E5236" s="14" t="str">
        <f t="shared" si="673"/>
        <v>L/W</v>
      </c>
      <c r="F5236" s="22"/>
      <c r="H5236" s="5" t="e">
        <f ca="1">_xlfn.FORMULATEXT(표1[[#This Row],[Q''ty]])</f>
        <v>#N/A</v>
      </c>
    </row>
    <row r="5237" spans="1:8" ht="15" hidden="1" customHeight="1" thickBot="1" x14ac:dyDescent="0.45">
      <c r="A5237" s="15">
        <v>2026</v>
      </c>
      <c r="B5237" s="15">
        <f t="shared" si="674"/>
        <v>53</v>
      </c>
      <c r="C5237" s="16" t="s">
        <v>21</v>
      </c>
      <c r="D5237" s="17" t="s">
        <v>12</v>
      </c>
      <c r="E5237" s="18" t="str">
        <f t="shared" si="673"/>
        <v>C/W</v>
      </c>
      <c r="F5237" s="23"/>
      <c r="H5237" s="5" t="e">
        <f ca="1">_xlfn.FORMULATEXT(표1[[#This Row],[Q''ty]])</f>
        <v>#N/A</v>
      </c>
    </row>
    <row r="5238" spans="1:8" ht="15" hidden="1" customHeight="1" thickTop="1" x14ac:dyDescent="0.4">
      <c r="A5238" s="6">
        <v>2026</v>
      </c>
      <c r="B5238" s="6">
        <f t="shared" si="674"/>
        <v>53</v>
      </c>
      <c r="C5238" s="13" t="s">
        <v>22</v>
      </c>
      <c r="D5238" s="2" t="s">
        <v>6</v>
      </c>
      <c r="E5238" s="14" t="str">
        <f t="shared" si="673"/>
        <v>Growing Line</v>
      </c>
      <c r="F5238" s="21">
        <f>F5139</f>
        <v>11</v>
      </c>
      <c r="H5238" s="5" t="str">
        <f ca="1">_xlfn.FORMULATEXT(표1[[#This Row],[Q''ty]])</f>
        <v>=F5139</v>
      </c>
    </row>
    <row r="5239" spans="1:8" ht="15" hidden="1" customHeight="1" x14ac:dyDescent="0.4">
      <c r="A5239" s="6">
        <v>2026</v>
      </c>
      <c r="B5239" s="6">
        <f t="shared" si="674"/>
        <v>53</v>
      </c>
      <c r="C5239" s="13" t="s">
        <v>22</v>
      </c>
      <c r="D5239" s="2" t="s">
        <v>6</v>
      </c>
      <c r="E5239" s="14" t="str">
        <f t="shared" si="673"/>
        <v>Paint Booth</v>
      </c>
      <c r="F5239" s="22">
        <f t="shared" si="673"/>
        <v>6</v>
      </c>
      <c r="H5239" s="5" t="str">
        <f ca="1">_xlfn.FORMULATEXT(표1[[#This Row],[Q''ty]])</f>
        <v>=F5140</v>
      </c>
    </row>
    <row r="5240" spans="1:8" ht="15" hidden="1" customHeight="1" x14ac:dyDescent="0.4">
      <c r="A5240" s="6">
        <v>2026</v>
      </c>
      <c r="B5240" s="6">
        <f t="shared" si="674"/>
        <v>53</v>
      </c>
      <c r="C5240" s="13" t="s">
        <v>22</v>
      </c>
      <c r="D5240" s="2" t="s">
        <v>6</v>
      </c>
      <c r="E5240" s="14" t="str">
        <f t="shared" si="673"/>
        <v>Paint Line</v>
      </c>
      <c r="F5240" s="22">
        <f t="shared" si="673"/>
        <v>4</v>
      </c>
      <c r="H5240" s="5" t="str">
        <f ca="1">_xlfn.FORMULATEXT(표1[[#This Row],[Q''ty]])</f>
        <v>=F5141</v>
      </c>
    </row>
    <row r="5241" spans="1:8" ht="15" hidden="1" customHeight="1" x14ac:dyDescent="0.4">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hidden="1" customHeight="1" x14ac:dyDescent="0.4">
      <c r="A5242" s="6">
        <v>2026</v>
      </c>
      <c r="B5242" s="6">
        <f t="shared" si="674"/>
        <v>53</v>
      </c>
      <c r="C5242" s="13" t="s">
        <v>22</v>
      </c>
      <c r="D5242" s="2" t="s">
        <v>6</v>
      </c>
      <c r="E5242" s="14" t="str">
        <f t="shared" si="673"/>
        <v>L/W Machine</v>
      </c>
      <c r="F5242" s="22">
        <f t="shared" si="673"/>
        <v>7</v>
      </c>
      <c r="H5242" s="5" t="str">
        <f ca="1">_xlfn.FORMULATEXT(표1[[#This Row],[Q''ty]])</f>
        <v>=F5143</v>
      </c>
    </row>
    <row r="5243" spans="1:8" ht="15" hidden="1" customHeight="1" x14ac:dyDescent="0.4">
      <c r="A5243" s="6">
        <v>2026</v>
      </c>
      <c r="B5243" s="6">
        <f t="shared" si="674"/>
        <v>53</v>
      </c>
      <c r="C5243" s="13" t="s">
        <v>22</v>
      </c>
      <c r="D5243" s="2" t="s">
        <v>6</v>
      </c>
      <c r="E5243" s="14" t="str">
        <f t="shared" si="673"/>
        <v>C/W Machine</v>
      </c>
      <c r="F5243" s="22">
        <f t="shared" si="673"/>
        <v>12.5</v>
      </c>
      <c r="H5243" s="5" t="str">
        <f ca="1">_xlfn.FORMULATEXT(표1[[#This Row],[Q''ty]])</f>
        <v>=F5144</v>
      </c>
    </row>
    <row r="5244" spans="1:8" ht="15" hidden="1" customHeight="1" x14ac:dyDescent="0.4">
      <c r="A5244" s="6">
        <v>2026</v>
      </c>
      <c r="B5244" s="6">
        <f t="shared" si="674"/>
        <v>53</v>
      </c>
      <c r="C5244" s="13" t="s">
        <v>22</v>
      </c>
      <c r="D5244" s="2" t="s">
        <v>12</v>
      </c>
      <c r="E5244" s="14" t="str">
        <f t="shared" si="673"/>
        <v>BT GT</v>
      </c>
      <c r="F5244" s="22"/>
    </row>
    <row r="5245" spans="1:8" ht="15" hidden="1" customHeight="1" x14ac:dyDescent="0.4">
      <c r="A5245" s="6">
        <v>2026</v>
      </c>
      <c r="B5245" s="6">
        <f t="shared" si="674"/>
        <v>53</v>
      </c>
      <c r="C5245" s="13" t="s">
        <v>22</v>
      </c>
      <c r="D5245" s="2" t="s">
        <v>12</v>
      </c>
      <c r="E5245" s="14" t="str">
        <f t="shared" si="673"/>
        <v>WT GT</v>
      </c>
      <c r="F5245" s="22"/>
    </row>
    <row r="5246" spans="1:8" ht="15" hidden="1" customHeight="1" x14ac:dyDescent="0.4">
      <c r="A5246" s="6">
        <v>2026</v>
      </c>
      <c r="B5246" s="6">
        <f t="shared" si="674"/>
        <v>53</v>
      </c>
      <c r="C5246" s="13" t="s">
        <v>22</v>
      </c>
      <c r="D5246" s="2" t="s">
        <v>12</v>
      </c>
      <c r="E5246" s="14" t="str">
        <f t="shared" si="673"/>
        <v>Bending</v>
      </c>
      <c r="F5246" s="22"/>
    </row>
    <row r="5247" spans="1:8" ht="15" hidden="1" customHeight="1" x14ac:dyDescent="0.4">
      <c r="A5247" s="6">
        <v>2026</v>
      </c>
      <c r="B5247" s="6">
        <f t="shared" si="674"/>
        <v>53</v>
      </c>
      <c r="C5247" s="13" t="s">
        <v>22</v>
      </c>
      <c r="D5247" s="2" t="s">
        <v>12</v>
      </c>
      <c r="E5247" s="14" t="str">
        <f t="shared" si="673"/>
        <v>L/W</v>
      </c>
      <c r="F5247" s="22"/>
    </row>
    <row r="5248" spans="1:8" ht="15" hidden="1" customHeight="1" x14ac:dyDescent="0.4">
      <c r="A5248" s="6">
        <v>2026</v>
      </c>
      <c r="B5248" s="6">
        <f t="shared" si="674"/>
        <v>53</v>
      </c>
      <c r="C5248" s="13" t="s">
        <v>22</v>
      </c>
      <c r="D5248" s="2" t="s">
        <v>12</v>
      </c>
      <c r="E5248" s="14" t="str">
        <f t="shared" si="673"/>
        <v>C/W</v>
      </c>
      <c r="F5248" s="22"/>
    </row>
  </sheetData>
  <phoneticPr fontId="5"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Kim, Dong-Jin (CSWind)</cp:lastModifiedBy>
  <dcterms:created xsi:type="dcterms:W3CDTF">2026-01-23T21:19:38Z</dcterms:created>
  <dcterms:modified xsi:type="dcterms:W3CDTF">2026-04-28T00:11:59Z</dcterms:modified>
</cp:coreProperties>
</file>