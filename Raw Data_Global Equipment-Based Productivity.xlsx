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673" documentId="11_00398937E4CE460C4AAC3F08F8A2AB6C2F28F386" xr6:coauthVersionLast="47" xr6:coauthVersionMax="47" xr10:uidLastSave="{71A3AEEB-8108-413F-8C9D-8D4B19BF5F71}"/>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85" i="1" l="1"/>
  <c r="F1584" i="1"/>
  <c r="F1583" i="1"/>
  <c r="F1387" i="1" l="1"/>
  <c r="F1386" i="1"/>
  <c r="F1385" i="1"/>
  <c r="F1486" i="1" l="1"/>
  <c r="F1485" i="1"/>
  <c r="F1484" i="1"/>
  <c r="F1288" i="1" l="1"/>
  <c r="F1287" i="1"/>
  <c r="F1286" i="1"/>
  <c r="F1284" i="1"/>
  <c r="H1234" i="1"/>
  <c r="H128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2765" i="1"/>
  <c r="H2698" i="1"/>
  <c r="H1862" i="1"/>
  <c r="H998" i="1"/>
  <c r="H3641" i="1"/>
  <c r="H1006" i="1"/>
  <c r="H1269" i="1"/>
  <c r="H3051" i="1"/>
  <c r="H2705" i="1"/>
  <c r="H4922" i="1"/>
  <c r="H1308" i="1"/>
  <c r="H1151" i="1"/>
  <c r="H3263" i="1"/>
  <c r="H2388" i="1"/>
  <c r="H2306" i="1"/>
  <c r="H1609" i="1"/>
  <c r="H1957" i="1"/>
  <c r="H920" i="1"/>
  <c r="H3295" i="1"/>
  <c r="H558" i="1"/>
  <c r="H3696" i="1"/>
  <c r="H3918" i="1"/>
  <c r="H1859" i="1"/>
  <c r="H3900" i="1"/>
  <c r="H4680" i="1"/>
  <c r="H2938" i="1"/>
  <c r="H1976" i="1"/>
  <c r="H1661" i="1"/>
  <c r="H3898" i="1"/>
  <c r="H2355" i="1"/>
  <c r="H5129" i="1"/>
  <c r="H689" i="1"/>
  <c r="H3763" i="1"/>
  <c r="H2905" i="1"/>
  <c r="H619" i="1"/>
  <c r="H2580" i="1"/>
  <c r="H677" i="1"/>
  <c r="H1850" i="1"/>
  <c r="H921" i="1"/>
  <c r="H2439" i="1"/>
  <c r="H862" i="1"/>
  <c r="H4509" i="1"/>
  <c r="H4581" i="1"/>
  <c r="H149" i="1"/>
  <c r="H637" i="1"/>
  <c r="H2645" i="1"/>
  <c r="H3981" i="1"/>
  <c r="H329" i="1"/>
  <c r="H450" i="1"/>
  <c r="H1047" i="1"/>
  <c r="H4059" i="1"/>
  <c r="H3835" i="1"/>
  <c r="H5104" i="1"/>
  <c r="H1072" i="1"/>
  <c r="H4790" i="1"/>
  <c r="H907" i="1"/>
  <c r="H1409" i="1"/>
  <c r="H2464" i="1"/>
  <c r="H3224" i="1"/>
  <c r="H4037" i="1"/>
  <c r="H3620" i="1"/>
  <c r="H2558" i="1"/>
  <c r="H185" i="1"/>
  <c r="H1534" i="1"/>
  <c r="H3742" i="1"/>
  <c r="H5112" i="1"/>
  <c r="H4808" i="1"/>
  <c r="H3409" i="1"/>
  <c r="H3372" i="1"/>
  <c r="H3950" i="1"/>
  <c r="H4177" i="1"/>
  <c r="H3443" i="1"/>
  <c r="H3067" i="1"/>
  <c r="H4395" i="1"/>
  <c r="H1628" i="1"/>
  <c r="H2261" i="1"/>
  <c r="H4073" i="1"/>
  <c r="H2979" i="1"/>
  <c r="H18" i="1"/>
  <c r="H1443" i="1"/>
  <c r="H299" i="1"/>
  <c r="H4054" i="1"/>
  <c r="H1686" i="1"/>
  <c r="H3878" i="1"/>
  <c r="H3428" i="1"/>
  <c r="H1264" i="1"/>
  <c r="H179" i="1"/>
  <c r="H4799" i="1"/>
  <c r="H2014" i="1"/>
  <c r="H4305" i="1"/>
  <c r="H1659" i="1"/>
  <c r="H3651" i="1"/>
  <c r="H788" i="1"/>
  <c r="H4034" i="1"/>
  <c r="H1046" i="1"/>
  <c r="H423" i="1"/>
  <c r="H723" i="1"/>
  <c r="H1365" i="1"/>
  <c r="H1204" i="1"/>
  <c r="H5109" i="1"/>
  <c r="H4099" i="1"/>
  <c r="H813" i="1"/>
  <c r="H4478" i="1"/>
  <c r="H3573" i="1"/>
  <c r="H126" i="1"/>
  <c r="H3269" i="1"/>
  <c r="H3709" i="1"/>
  <c r="H3639" i="1"/>
  <c r="H4998" i="1"/>
  <c r="H4027" i="1"/>
  <c r="H4669" i="1"/>
  <c r="H3078" i="1"/>
  <c r="H211" i="1"/>
  <c r="H4468" i="1"/>
  <c r="H4297" i="1"/>
  <c r="H825" i="1"/>
  <c r="H727" i="1"/>
  <c r="H1005" i="1"/>
  <c r="H2825" i="1"/>
  <c r="H4575" i="1"/>
  <c r="H3163" i="1"/>
  <c r="H3264" i="1"/>
  <c r="H2683" i="1"/>
  <c r="H4505" i="1"/>
  <c r="H4916" i="1"/>
  <c r="H2001" i="1"/>
  <c r="H2292" i="1"/>
  <c r="H2567" i="1"/>
  <c r="H4826" i="1"/>
  <c r="H1557" i="1"/>
  <c r="H32" i="1"/>
  <c r="H5131" i="1"/>
  <c r="H3093" i="1"/>
  <c r="H1918" i="1"/>
  <c r="H3155" i="1"/>
  <c r="H3536" i="1"/>
  <c r="H782" i="1"/>
  <c r="H3766" i="1"/>
  <c r="H5123" i="1"/>
  <c r="H1430" i="1"/>
  <c r="H4823" i="1"/>
  <c r="H4431" i="1"/>
  <c r="H3941" i="1"/>
  <c r="H585" i="1"/>
  <c r="H4604" i="1"/>
  <c r="H1672" i="1"/>
  <c r="H3975" i="1"/>
  <c r="H3020" i="1"/>
  <c r="H4584" i="1"/>
  <c r="H2273" i="1"/>
  <c r="H4202" i="1"/>
  <c r="H4696" i="1"/>
  <c r="H2027" i="1"/>
  <c r="H2976" i="1"/>
  <c r="H3516" i="1"/>
  <c r="H2813" i="1"/>
  <c r="H3606" i="1"/>
  <c r="H1814" i="1"/>
  <c r="H492" i="1"/>
  <c r="H4784" i="1"/>
  <c r="H445" i="1"/>
  <c r="H89" i="1"/>
  <c r="H4621" i="1"/>
  <c r="H3672" i="1"/>
  <c r="H3249" i="1"/>
  <c r="H367" i="1"/>
  <c r="H3764" i="1"/>
  <c r="H3387" i="1"/>
  <c r="H826" i="1"/>
  <c r="H2006" i="1"/>
  <c r="H1060" i="1"/>
  <c r="H237" i="1"/>
  <c r="H4409" i="1"/>
  <c r="H355" i="1"/>
  <c r="H2651" i="1"/>
  <c r="H4514" i="1"/>
  <c r="H1861" i="1"/>
  <c r="H3722" i="1"/>
  <c r="H3853" i="1"/>
  <c r="H3072" i="1"/>
  <c r="H3433" i="1"/>
  <c r="H2983" i="1"/>
  <c r="H5204" i="1"/>
  <c r="H2318" i="1"/>
  <c r="H3680" i="1"/>
  <c r="H5212" i="1"/>
  <c r="H1652" i="1"/>
  <c r="H5160" i="1"/>
  <c r="H5057" i="1"/>
  <c r="H1697" i="1"/>
  <c r="H1122" i="1"/>
  <c r="H4598" i="1"/>
  <c r="H2468" i="1"/>
  <c r="H253" i="1"/>
  <c r="H1512" i="1"/>
  <c r="H733" i="1"/>
  <c r="H2741" i="1"/>
  <c r="H4330" i="1"/>
  <c r="H3993" i="1"/>
  <c r="H715" i="1"/>
  <c r="H2942" i="1"/>
  <c r="H4748" i="1"/>
  <c r="H1279" i="1"/>
  <c r="H460" i="1"/>
  <c r="H4846" i="1"/>
  <c r="H4319" i="1"/>
  <c r="H3850" i="1"/>
  <c r="H3060" i="1"/>
  <c r="H2713" i="1"/>
  <c r="H4124" i="1"/>
  <c r="H2447" i="1"/>
  <c r="H315" i="1"/>
  <c r="H2502" i="1"/>
  <c r="H1970" i="1"/>
  <c r="H2873" i="1"/>
  <c r="H1476" i="1"/>
  <c r="H2323" i="1"/>
  <c r="H4508" i="1"/>
  <c r="H3383" i="1"/>
  <c r="H3961" i="1"/>
  <c r="H1979" i="1"/>
  <c r="H533" i="1"/>
  <c r="H2828" i="1"/>
  <c r="H3818" i="1"/>
  <c r="H1458" i="1"/>
  <c r="H2150" i="1"/>
  <c r="H2262" i="1"/>
  <c r="H5076" i="1"/>
  <c r="H1481" i="1"/>
  <c r="H1766" i="1"/>
  <c r="H1003" i="1"/>
  <c r="H4278" i="1"/>
  <c r="H490" i="1"/>
  <c r="H1078" i="1"/>
  <c r="H1022" i="1"/>
  <c r="H1794" i="1"/>
  <c r="H3085" i="1"/>
  <c r="H3033" i="1"/>
  <c r="H2490" i="1"/>
  <c r="H2785" i="1"/>
  <c r="H2093" i="1"/>
  <c r="H4432" i="1"/>
  <c r="H4333" i="1"/>
  <c r="H2099" i="1"/>
  <c r="H4571" i="1"/>
  <c r="H2426" i="1"/>
  <c r="H2726" i="1"/>
  <c r="H3920" i="1"/>
  <c r="H588" i="1"/>
  <c r="H3860" i="1"/>
  <c r="H4378" i="1"/>
  <c r="H766" i="1"/>
  <c r="H4385" i="1"/>
  <c r="H4212" i="1"/>
  <c r="H4426" i="1"/>
  <c r="H4193" i="1"/>
  <c r="H3004" i="1"/>
  <c r="H13" i="1"/>
  <c r="H2641" i="1"/>
  <c r="H2714" i="1"/>
  <c r="H2803" i="1"/>
  <c r="H1342" i="1"/>
  <c r="H5159" i="1"/>
  <c r="H1395" i="1"/>
  <c r="H3705" i="1"/>
  <c r="H3043" i="1"/>
  <c r="H4607" i="1"/>
  <c r="H2199" i="1"/>
  <c r="H2411" i="1"/>
  <c r="H3800" i="1"/>
  <c r="H1134" i="1"/>
  <c r="H2373" i="1"/>
  <c r="H3057" i="1"/>
  <c r="H994" i="1"/>
  <c r="H193" i="1"/>
  <c r="H2275" i="1"/>
  <c r="H184" i="1"/>
  <c r="H2575" i="1"/>
  <c r="H3174" i="1"/>
  <c r="H4752" i="1"/>
  <c r="H4563" i="1"/>
  <c r="H4870" i="1"/>
  <c r="H3094" i="1"/>
  <c r="H344" i="1"/>
  <c r="H1483" i="1"/>
  <c r="H2833" i="1"/>
  <c r="H2735" i="1"/>
  <c r="H4075" i="1"/>
  <c r="H4336" i="1"/>
  <c r="H2563" i="1"/>
  <c r="H1140" i="1"/>
  <c r="H1730" i="1"/>
  <c r="H424" i="1"/>
  <c r="H4914" i="1"/>
  <c r="H3186" i="1"/>
  <c r="H817" i="1"/>
  <c r="H3502" i="1"/>
  <c r="H2622" i="1"/>
  <c r="H1679" i="1"/>
  <c r="H1127" i="1"/>
  <c r="H1183" i="1"/>
  <c r="H1539" i="1"/>
  <c r="H3570" i="1"/>
  <c r="H5203" i="1"/>
  <c r="H1382" i="1"/>
  <c r="H1103" i="1"/>
  <c r="H4206" i="1"/>
  <c r="H4539" i="1"/>
  <c r="H2704" i="1"/>
  <c r="H2951" i="1"/>
  <c r="H3499" i="1"/>
  <c r="H2147" i="1"/>
  <c r="H3134" i="1"/>
  <c r="H4467" i="1"/>
  <c r="H4791" i="1"/>
  <c r="H4123" i="1"/>
  <c r="H4865" i="1"/>
  <c r="H730" i="1"/>
  <c r="H3187" i="1"/>
  <c r="H2729" i="1"/>
  <c r="H3917" i="1"/>
  <c r="H2517" i="1"/>
  <c r="H4354" i="1"/>
  <c r="H737" i="1"/>
  <c r="H4277" i="1"/>
  <c r="H2793" i="1"/>
  <c r="H2271" i="1"/>
  <c r="H3450" i="1"/>
  <c r="H3880" i="1"/>
  <c r="H1934" i="1"/>
  <c r="H3697" i="1"/>
  <c r="H3521" i="1"/>
  <c r="H29" i="1"/>
  <c r="H1967" i="1"/>
  <c r="H3285" i="1"/>
  <c r="H2995" i="1"/>
  <c r="H1372" i="1"/>
  <c r="H3405" i="1"/>
  <c r="H4711" i="1"/>
  <c r="H805" i="1"/>
  <c r="H4735" i="1"/>
  <c r="H2701" i="1"/>
  <c r="H1680" i="1"/>
  <c r="H2977" i="1"/>
  <c r="H2080" i="1"/>
  <c r="H256" i="1"/>
  <c r="H2075" i="1"/>
  <c r="H4473" i="1"/>
  <c r="H2259" i="1"/>
  <c r="H238" i="1"/>
  <c r="H2649" i="1"/>
  <c r="H4594" i="1"/>
  <c r="H4676" i="1"/>
  <c r="H455" i="1"/>
  <c r="H1415" i="1"/>
  <c r="H388" i="1"/>
  <c r="H3944" i="1"/>
  <c r="H1464" i="1"/>
  <c r="H2856" i="1"/>
  <c r="H2733" i="1"/>
  <c r="H4756" i="1"/>
  <c r="H446" i="1"/>
  <c r="H5024" i="1"/>
  <c r="H4433" i="1"/>
  <c r="H2250" i="1"/>
  <c r="H1612" i="1"/>
  <c r="H2493" i="1"/>
  <c r="H2592" i="1"/>
  <c r="H1050" i="1"/>
  <c r="H3729" i="1"/>
  <c r="H2564" i="1"/>
  <c r="H4882" i="1"/>
  <c r="H1525" i="1"/>
  <c r="H3429" i="1"/>
  <c r="H1053" i="1"/>
  <c r="H2232" i="1"/>
  <c r="H335" i="1"/>
  <c r="H2998" i="1"/>
  <c r="H2375" i="1"/>
  <c r="H811" i="1"/>
  <c r="H3198" i="1"/>
  <c r="H2096" i="1"/>
  <c r="H3933" i="1"/>
  <c r="H4372" i="1"/>
  <c r="H964" i="1"/>
  <c r="H121" i="1"/>
  <c r="H1097" i="1"/>
  <c r="H1435" i="1"/>
  <c r="H2114" i="1"/>
  <c r="H5014" i="1"/>
  <c r="H4362" i="1"/>
  <c r="H3452" i="1"/>
  <c r="H1952" i="1"/>
  <c r="H4147" i="1"/>
  <c r="H1597" i="1"/>
  <c r="H3562" i="1"/>
  <c r="H1977" i="1"/>
  <c r="H1555" i="1"/>
  <c r="H2398" i="1"/>
  <c r="H4289" i="1"/>
  <c r="H3136" i="1"/>
  <c r="H3881" i="1"/>
  <c r="H262" i="1"/>
  <c r="H3327" i="1"/>
  <c r="H3945" i="1"/>
  <c r="H1638" i="1"/>
  <c r="H3254" i="1"/>
  <c r="H1040" i="1"/>
  <c r="H2175" i="1"/>
  <c r="H1962" i="1"/>
  <c r="H3541" i="1"/>
  <c r="H2428" i="1"/>
  <c r="H2494" i="1"/>
  <c r="H204" i="1"/>
  <c r="H3792" i="1"/>
  <c r="H3867" i="1"/>
  <c r="H1468" i="1"/>
  <c r="H3374" i="1"/>
  <c r="H4568" i="1"/>
  <c r="H3484" i="1"/>
  <c r="H679" i="1"/>
  <c r="H3831" i="1"/>
  <c r="H2956" i="1"/>
  <c r="H2635" i="1"/>
  <c r="H368" i="1"/>
  <c r="H5223" i="1"/>
  <c r="H3749" i="1"/>
  <c r="H916" i="1"/>
  <c r="H4010" i="1"/>
  <c r="H4192" i="1"/>
  <c r="H584" i="1"/>
  <c r="H4481" i="1"/>
  <c r="H396" i="1"/>
  <c r="H2921" i="1"/>
  <c r="H250" i="1"/>
  <c r="H2925" i="1"/>
  <c r="H3369" i="1"/>
  <c r="H879" i="1"/>
  <c r="H3225" i="1"/>
  <c r="H3172" i="1"/>
  <c r="H4167" i="1"/>
  <c r="H123" i="1"/>
  <c r="H2183" i="1"/>
  <c r="H3098" i="1"/>
  <c r="H738" i="1"/>
  <c r="H1595" i="1"/>
  <c r="H3165" i="1"/>
  <c r="H2764" i="1"/>
  <c r="H1630" i="1"/>
  <c r="H1843" i="1"/>
  <c r="H1283" i="1"/>
  <c r="H295" i="1"/>
  <c r="H457" i="1"/>
  <c r="H5038" i="1"/>
  <c r="H227" i="1"/>
  <c r="H1498" i="1"/>
  <c r="H122" i="1"/>
  <c r="H1991" i="1"/>
  <c r="H4144" i="1"/>
  <c r="H582" i="1"/>
  <c r="H289" i="1"/>
  <c r="H5172" i="1"/>
  <c r="H2722" i="1"/>
  <c r="H234" i="1"/>
  <c r="H1044" i="1"/>
  <c r="H5177" i="1"/>
  <c r="H2625" i="1"/>
  <c r="H2599" i="1"/>
  <c r="H4675" i="1"/>
  <c r="H658" i="1"/>
  <c r="H638" i="1"/>
  <c r="H2634" i="1"/>
  <c r="H4355" i="1"/>
  <c r="H3644" i="1"/>
  <c r="H294" i="1"/>
  <c r="H4038" i="1"/>
  <c r="H1710" i="1"/>
  <c r="H1817" i="1"/>
  <c r="H4092" i="1"/>
  <c r="H3238" i="1"/>
  <c r="H2731" i="1"/>
  <c r="H3091" i="1"/>
  <c r="H4211" i="1"/>
  <c r="H3512" i="1"/>
  <c r="H2820" i="1"/>
  <c r="H1909" i="1"/>
  <c r="H2143" i="1"/>
  <c r="H2189" i="1"/>
  <c r="H4412" i="1"/>
  <c r="H103" i="1"/>
  <c r="H688" i="1"/>
  <c r="H1949" i="1"/>
  <c r="H4614" i="1"/>
  <c r="H5096" i="1"/>
  <c r="H5113" i="1"/>
  <c r="H2674" i="1"/>
  <c r="H2214" i="1"/>
  <c r="H4461" i="1"/>
  <c r="H3408" i="1"/>
  <c r="H2409" i="1"/>
  <c r="H2365" i="1"/>
  <c r="H2867" i="1"/>
  <c r="H5197" i="1"/>
  <c r="H3888" i="1"/>
  <c r="H3036" i="1"/>
  <c r="H2932" i="1"/>
  <c r="H1299" i="1"/>
  <c r="H3757" i="1"/>
  <c r="H70" i="1"/>
  <c r="H2792" i="1"/>
  <c r="H2894" i="1"/>
  <c r="H2557" i="1"/>
  <c r="H816" i="1"/>
  <c r="H745" i="1"/>
  <c r="H754" i="1"/>
  <c r="H5175" i="1"/>
  <c r="H3628" i="1"/>
  <c r="H1956" i="1"/>
  <c r="H214" i="1"/>
  <c r="H553" i="1"/>
  <c r="H1948" i="1"/>
  <c r="H4469" i="1"/>
  <c r="H3725" i="1"/>
  <c r="H4989" i="1"/>
  <c r="H4818" i="1"/>
  <c r="H4667" i="1"/>
  <c r="H1616" i="1"/>
  <c r="H5242" i="1"/>
  <c r="H631" i="1"/>
  <c r="H2431" i="1"/>
  <c r="H4389" i="1"/>
  <c r="H557" i="1"/>
  <c r="H5082" i="1"/>
  <c r="H807" i="1"/>
  <c r="H1076" i="1"/>
  <c r="H2134" i="1"/>
  <c r="H1020" i="1"/>
  <c r="H3805" i="1"/>
  <c r="H5031" i="1"/>
  <c r="H4405" i="1"/>
  <c r="H3879" i="1"/>
  <c r="H3299" i="1"/>
  <c r="H3861" i="1"/>
  <c r="H2887" i="1"/>
  <c r="H3331" i="1"/>
  <c r="H1772" i="1"/>
  <c r="H2582" i="1"/>
  <c r="H2662" i="1"/>
  <c r="H467" i="1"/>
  <c r="H4661" i="1"/>
  <c r="H1915" i="1"/>
  <c r="H1445" i="1"/>
  <c r="H5000" i="1"/>
  <c r="H1150" i="1"/>
  <c r="H2334" i="1"/>
  <c r="H1425" i="1"/>
  <c r="H152" i="1"/>
  <c r="H448" i="1"/>
  <c r="H431" i="1"/>
  <c r="H845" i="1"/>
  <c r="H4783" i="1"/>
  <c r="H3377" i="1"/>
  <c r="H5182" i="1"/>
  <c r="H232" i="1"/>
  <c r="H3362" i="1"/>
  <c r="H2829" i="1"/>
  <c r="H1648" i="1"/>
  <c r="H2106" i="1"/>
  <c r="H3856" i="1"/>
  <c r="H517" i="1"/>
  <c r="H82" i="1"/>
  <c r="H4869" i="1"/>
  <c r="H4812" i="1"/>
  <c r="H2154" i="1"/>
  <c r="H199" i="1"/>
  <c r="H108" i="1"/>
  <c r="H3343" i="1"/>
  <c r="H1451" i="1"/>
  <c r="H2923" i="1"/>
  <c r="H168" i="1"/>
  <c r="H760" i="1"/>
  <c r="H198" i="1"/>
  <c r="H4789" i="1"/>
  <c r="H1741" i="1"/>
  <c r="H3182" i="1"/>
  <c r="H2555" i="1"/>
  <c r="H4388" i="1"/>
  <c r="H606" i="1"/>
  <c r="H1083" i="1"/>
  <c r="H3415" i="1"/>
  <c r="H3358" i="1"/>
  <c r="H3228" i="1"/>
  <c r="H2022" i="1"/>
  <c r="H740" i="1"/>
  <c r="H3379" i="1"/>
  <c r="H876" i="1"/>
  <c r="H1735" i="1"/>
  <c r="H2153" i="1"/>
  <c r="H2637" i="1"/>
  <c r="H1118" i="1"/>
  <c r="H3962" i="1"/>
  <c r="H2285" i="1"/>
  <c r="H3896" i="1"/>
  <c r="H3108" i="1"/>
  <c r="H1026" i="1"/>
  <c r="H519" i="1"/>
  <c r="H3470" i="1"/>
  <c r="H2503" i="1"/>
  <c r="H1873" i="1"/>
  <c r="H3115" i="1"/>
  <c r="H3691" i="1"/>
  <c r="H4921" i="1"/>
  <c r="H3247" i="1"/>
  <c r="H3967" i="1"/>
  <c r="H3141" i="1"/>
  <c r="H182" i="1"/>
  <c r="H3969" i="1"/>
  <c r="H2709" i="1"/>
  <c r="H5070" i="1"/>
  <c r="H1423" i="1"/>
  <c r="H693" i="1"/>
  <c r="H1777" i="1"/>
  <c r="H3992" i="1"/>
  <c r="H4933" i="1"/>
  <c r="H3613" i="1"/>
  <c r="H1304" i="1"/>
  <c r="H3586" i="1"/>
  <c r="H2548" i="1"/>
  <c r="H3442" i="1"/>
  <c r="H4845" i="1"/>
  <c r="H80" i="1"/>
  <c r="H4141" i="1"/>
  <c r="H1747" i="1"/>
  <c r="H2975" i="1"/>
  <c r="H2601" i="1"/>
  <c r="H3983" i="1"/>
  <c r="H4554" i="1"/>
  <c r="H1250" i="1"/>
  <c r="H2893" i="1"/>
  <c r="H4465" i="1"/>
  <c r="H229" i="1"/>
  <c r="H4918" i="1"/>
  <c r="H992" i="1"/>
  <c r="H1619" i="1"/>
  <c r="H4359" i="1"/>
  <c r="H1244" i="1"/>
  <c r="H2590" i="1"/>
  <c r="H4310" i="1"/>
  <c r="H2616" i="1"/>
  <c r="H4188" i="1"/>
  <c r="H1712" i="1"/>
  <c r="H2420" i="1"/>
  <c r="H3515" i="1"/>
  <c r="H1184" i="1"/>
  <c r="H4380" i="1"/>
  <c r="H1753" i="1"/>
  <c r="H4250" i="1"/>
  <c r="H1505" i="1"/>
  <c r="H474" i="1"/>
  <c r="H1684" i="1"/>
  <c r="H1566" i="1"/>
  <c r="H3018" i="1"/>
  <c r="H3559" i="1"/>
  <c r="H639" i="1"/>
  <c r="H125" i="1"/>
  <c r="H3417" i="1"/>
  <c r="H1317" i="1"/>
  <c r="H4960" i="1"/>
  <c r="H247" i="1"/>
  <c r="H2118" i="1"/>
  <c r="H646" i="1"/>
  <c r="H6" i="1"/>
  <c r="H281" i="1"/>
  <c r="H4093" i="1"/>
  <c r="H963" i="1"/>
  <c r="H2289" i="1"/>
  <c r="H4660" i="1"/>
  <c r="H3714" i="1"/>
  <c r="H2836" i="1"/>
  <c r="H3912" i="1"/>
  <c r="H3059" i="1"/>
  <c r="H4443" i="1"/>
  <c r="H4486" i="1"/>
  <c r="H2369" i="1"/>
  <c r="H1959" i="1"/>
  <c r="H3154" i="1"/>
  <c r="H2467" i="1"/>
  <c r="H3666" i="1"/>
  <c r="H3235" i="1"/>
  <c r="H5107" i="1"/>
  <c r="H4136" i="1"/>
  <c r="H4948" i="1"/>
  <c r="H3513" i="1"/>
  <c r="H544" i="1"/>
  <c r="H4528" i="1"/>
  <c r="H3113" i="1"/>
  <c r="H2702" i="1"/>
  <c r="H3161" i="1"/>
  <c r="H586" i="1"/>
  <c r="H605" i="1"/>
  <c r="H2201" i="1"/>
  <c r="H4095" i="1"/>
  <c r="H1392" i="1"/>
  <c r="H1397" i="1"/>
  <c r="H2200" i="1"/>
  <c r="H587" i="1"/>
  <c r="H1988" i="1"/>
  <c r="H3560" i="1"/>
  <c r="H2801" i="1"/>
  <c r="H757" i="1"/>
  <c r="H2691" i="1"/>
  <c r="H147" i="1"/>
  <c r="H1928" i="1"/>
  <c r="H743" i="1"/>
  <c r="H1615" i="1"/>
  <c r="H3989" i="1"/>
  <c r="H4042" i="1"/>
  <c r="H3105" i="1"/>
  <c r="H4884" i="1"/>
  <c r="H1108" i="1"/>
  <c r="H3569" i="1"/>
  <c r="H1704" i="1"/>
  <c r="H1110" i="1"/>
  <c r="H1857" i="1"/>
  <c r="H5027" i="1"/>
  <c r="H2378" i="1"/>
  <c r="H1499" i="1"/>
  <c r="H3493" i="1"/>
  <c r="H5093" i="1"/>
  <c r="H1358" i="1"/>
  <c r="H1872" i="1"/>
  <c r="H4769" i="1"/>
  <c r="H626" i="1"/>
  <c r="H3718" i="1"/>
  <c r="H4806" i="1"/>
  <c r="H2159" i="1"/>
  <c r="H2226" i="1"/>
  <c r="H1501" i="1"/>
  <c r="H1491" i="1"/>
  <c r="H4872" i="1"/>
  <c r="H4411" i="1"/>
  <c r="H2161" i="1"/>
  <c r="H371" i="1"/>
  <c r="H3045" i="1"/>
  <c r="H476" i="1"/>
  <c r="H4195" i="1"/>
  <c r="H1428" i="1"/>
  <c r="H3844" i="1"/>
  <c r="H2859" i="1"/>
  <c r="H3568" i="1"/>
  <c r="H1549" i="1"/>
  <c r="H1482" i="1"/>
  <c r="H3099" i="1"/>
  <c r="H1646" i="1"/>
  <c r="H4780" i="1"/>
  <c r="H4570" i="1"/>
  <c r="H1789" i="1"/>
  <c r="H4290" i="1"/>
  <c r="H158" i="1"/>
  <c r="H4153" i="1"/>
  <c r="H1853" i="1"/>
  <c r="H3859" i="1"/>
  <c r="H4224" i="1"/>
  <c r="H3205" i="1"/>
  <c r="H3209" i="1"/>
  <c r="H812" i="1"/>
  <c r="H796" i="1"/>
  <c r="H2187" i="1"/>
  <c r="H1186" i="1"/>
  <c r="H5214" i="1"/>
  <c r="H2278" i="1"/>
  <c r="H1268" i="1"/>
  <c r="H5213" i="1"/>
  <c r="H1740" i="1"/>
  <c r="H2310" i="1"/>
  <c r="H4574" i="1"/>
  <c r="H2301" i="1"/>
  <c r="H4213" i="1"/>
  <c r="H690" i="1"/>
  <c r="H4422" i="1"/>
  <c r="H4925" i="1"/>
  <c r="H348" i="1"/>
  <c r="H4321" i="1"/>
  <c r="H1091" i="1"/>
  <c r="H4487" i="1"/>
  <c r="H481" i="1"/>
  <c r="H1007" i="1"/>
  <c r="H3162" i="1"/>
  <c r="H3477" i="1"/>
  <c r="H3253" i="1"/>
  <c r="H4295" i="1"/>
  <c r="H742" i="1"/>
  <c r="H1179" i="1"/>
  <c r="H3657" i="1"/>
  <c r="H2088" i="1"/>
  <c r="H2195" i="1"/>
  <c r="H3153" i="1"/>
  <c r="H4842" i="1"/>
  <c r="H2536" i="1"/>
  <c r="H3803" i="1"/>
  <c r="H629" i="1"/>
  <c r="H2953" i="1"/>
  <c r="H1547" i="1"/>
  <c r="H4251" i="1"/>
  <c r="H4878" i="1"/>
  <c r="H2569" i="1"/>
  <c r="H548" i="1"/>
  <c r="H1469" i="1"/>
  <c r="H5176" i="1"/>
  <c r="H409" i="1"/>
  <c r="H1849" i="1"/>
  <c r="H2207" i="1"/>
  <c r="H672" i="1"/>
  <c r="H4605" i="1"/>
  <c r="H769" i="1"/>
  <c r="H1253" i="1"/>
  <c r="H4091" i="1"/>
  <c r="H1517" i="1"/>
  <c r="H3921" i="1"/>
  <c r="H3399" i="1"/>
  <c r="H1844" i="1"/>
  <c r="H4071" i="1"/>
  <c r="H3690" i="1"/>
  <c r="H2277" i="1"/>
  <c r="H4523" i="1"/>
  <c r="H1052" i="1"/>
  <c r="H2943" i="1"/>
  <c r="H500" i="1"/>
  <c r="H3476" i="1"/>
  <c r="H3022" i="1"/>
  <c r="H3600" i="1"/>
  <c r="H799" i="1"/>
  <c r="H4301" i="1"/>
  <c r="H4690" i="1"/>
  <c r="H3219" i="1"/>
  <c r="H3539" i="1"/>
  <c r="H1771" i="1"/>
  <c r="H5174" i="1"/>
  <c r="H4738" i="1"/>
  <c r="H4401" i="1"/>
  <c r="H3330" i="1"/>
  <c r="H2965" i="1"/>
  <c r="H110" i="1"/>
  <c r="H4805" i="1"/>
  <c r="H252" i="1"/>
  <c r="H2591" i="1"/>
  <c r="H1572" i="1"/>
  <c r="H3986" i="1"/>
  <c r="H5055" i="1"/>
  <c r="H3627" i="1"/>
  <c r="H1640" i="1"/>
  <c r="H1201" i="1"/>
  <c r="H3208" i="1"/>
  <c r="H4673" i="1"/>
  <c r="H4244" i="1"/>
  <c r="H3013" i="1"/>
  <c r="H4929" i="1"/>
  <c r="H2192" i="1"/>
  <c r="H3084" i="1"/>
  <c r="H381" i="1"/>
  <c r="H4751" i="1"/>
  <c r="H4672" i="1"/>
  <c r="H4719" i="1"/>
  <c r="H3427" i="1"/>
  <c r="H627" i="1"/>
  <c r="H4112" i="1"/>
  <c r="H962" i="1"/>
  <c r="H1543" i="1"/>
  <c r="H2665" i="1"/>
  <c r="H3575" i="1"/>
  <c r="H1528" i="1"/>
  <c r="H2316" i="1"/>
  <c r="H4947" i="1"/>
  <c r="H961" i="1"/>
  <c r="H5147" i="1"/>
  <c r="H2209" i="1"/>
  <c r="H1535" i="1"/>
  <c r="H197" i="1"/>
  <c r="H4107" i="1"/>
  <c r="H1381" i="1"/>
  <c r="H2078" i="1"/>
  <c r="H2267" i="1"/>
  <c r="H1227" i="1"/>
  <c r="H4138" i="1"/>
  <c r="H1953" i="1"/>
  <c r="H2684" i="1"/>
  <c r="H777" i="1"/>
  <c r="H2686" i="1"/>
  <c r="H2410" i="1"/>
  <c r="H3678" i="1"/>
  <c r="H2959" i="1"/>
  <c r="H203" i="1"/>
  <c r="H2552" i="1"/>
  <c r="H1496" i="1"/>
  <c r="H2188" i="1"/>
  <c r="H3635" i="1"/>
  <c r="H834" i="1"/>
  <c r="H3571" i="1"/>
  <c r="H797" i="1"/>
  <c r="H3052" i="1"/>
  <c r="H5106" i="1"/>
  <c r="H2497" i="1"/>
  <c r="H4256" i="1"/>
  <c r="H4043" i="1"/>
  <c r="H5062" i="1"/>
  <c r="H4986" i="1"/>
  <c r="H5042" i="1"/>
  <c r="H990" i="1"/>
  <c r="H4367" i="1"/>
  <c r="H2606" i="1"/>
  <c r="H3419" i="1"/>
  <c r="H2303" i="1"/>
  <c r="H5162" i="1"/>
  <c r="H1488" i="1"/>
  <c r="H889" i="1"/>
  <c r="H2605" i="1"/>
  <c r="H4421" i="1"/>
  <c r="H3467" i="1"/>
  <c r="H1180" i="1"/>
  <c r="H3413" i="1"/>
  <c r="H3424" i="1"/>
  <c r="H2481" i="1"/>
  <c r="H292" i="1"/>
  <c r="H4280" i="1"/>
  <c r="H1177" i="1"/>
  <c r="H1182" i="1"/>
  <c r="H391" i="1"/>
  <c r="H3400" i="1"/>
  <c r="H651" i="1"/>
  <c r="H2682" i="1"/>
  <c r="H407" i="1"/>
  <c r="H280" i="1"/>
  <c r="H1826" i="1"/>
  <c r="H2112" i="1"/>
  <c r="H4668" i="1"/>
  <c r="H4873" i="1"/>
  <c r="H1107" i="1"/>
  <c r="H387" i="1"/>
  <c r="H2418" i="1"/>
  <c r="H5001" i="1"/>
  <c r="H2911" i="1"/>
  <c r="H3324" i="1"/>
  <c r="H891" i="1"/>
  <c r="H1048" i="1"/>
  <c r="H4995" i="1"/>
  <c r="H3307" i="1"/>
  <c r="H4407" i="1"/>
  <c r="H417" i="1"/>
  <c r="H67" i="1"/>
  <c r="H267" i="1"/>
  <c r="H3353" i="1"/>
  <c r="H2432" i="1"/>
  <c r="H3469" i="1"/>
  <c r="H698" i="1"/>
  <c r="H1553" i="1"/>
  <c r="H1782" i="1"/>
  <c r="H4679" i="1"/>
  <c r="H1011" i="1"/>
  <c r="H628" i="1"/>
  <c r="H1029" i="1"/>
  <c r="H165" i="1"/>
  <c r="H2132" i="1"/>
  <c r="H4860" i="1"/>
  <c r="H1396" i="1"/>
  <c r="H4725" i="1"/>
  <c r="H231" i="1"/>
  <c r="H2092" i="1"/>
  <c r="H4774" i="1"/>
  <c r="H3501" i="1"/>
  <c r="H3283" i="1"/>
  <c r="H118" i="1"/>
  <c r="H4210" i="1"/>
  <c r="H786" i="1"/>
  <c r="H3231" i="1"/>
  <c r="H1696" i="1"/>
  <c r="H4089" i="1"/>
  <c r="H4106" i="1"/>
  <c r="H4868" i="1"/>
  <c r="H3293" i="1"/>
  <c r="H2141" i="1"/>
  <c r="H4437" i="1"/>
  <c r="H4815" i="1"/>
  <c r="H2630" i="1"/>
  <c r="H1675" i="1"/>
  <c r="H1277" i="1"/>
  <c r="H2636" i="1"/>
  <c r="H208" i="1"/>
  <c r="H3329" i="1"/>
  <c r="H1916" i="1"/>
  <c r="H2507" i="1"/>
  <c r="H3994" i="1"/>
  <c r="H1473" i="1"/>
  <c r="H2286" i="1"/>
  <c r="H1323" i="1"/>
  <c r="H2268" i="1"/>
  <c r="H1551" i="1"/>
  <c r="H1287" i="1"/>
  <c r="H5063" i="1"/>
  <c r="H1421" i="1"/>
  <c r="H5054" i="1"/>
  <c r="H3339" i="1"/>
  <c r="H3676" i="1"/>
  <c r="H4161" i="1"/>
  <c r="H2869" i="1"/>
  <c r="H2800" i="1"/>
  <c r="H1367" i="1"/>
  <c r="H3744" i="1"/>
  <c r="H4513" i="1"/>
  <c r="H4608" i="1"/>
  <c r="H78" i="1"/>
  <c r="H1045" i="1"/>
  <c r="H3130" i="1"/>
  <c r="H2060" i="1"/>
  <c r="H3594" i="1"/>
  <c r="H5065" i="1"/>
  <c r="H2136" i="1"/>
  <c r="H750" i="1"/>
  <c r="H302" i="1"/>
  <c r="H416" i="1"/>
  <c r="H772" i="1"/>
  <c r="H4282" i="1"/>
  <c r="H192" i="1"/>
  <c r="H3956" i="1"/>
  <c r="H3632" i="1"/>
  <c r="H2850" i="1"/>
  <c r="H684" i="1"/>
  <c r="H1158" i="1"/>
  <c r="H3540" i="1"/>
  <c r="H5110" i="1"/>
  <c r="H1145" i="1"/>
  <c r="H1067" i="1"/>
  <c r="H918" i="1"/>
  <c r="H2146" i="1"/>
  <c r="H4331" i="1"/>
  <c r="H2081" i="1"/>
  <c r="H1113" i="1"/>
  <c r="H2915" i="1"/>
  <c r="H3149" i="1"/>
  <c r="H4886" i="1"/>
  <c r="H2898" i="1"/>
  <c r="H4628" i="1"/>
  <c r="H1075" i="1"/>
  <c r="H1340" i="1"/>
  <c r="H2173" i="1"/>
  <c r="H956" i="1"/>
  <c r="H3948" i="1"/>
  <c r="H1335" i="1"/>
  <c r="H4253" i="1"/>
  <c r="H3230" i="1"/>
  <c r="H1138" i="1"/>
  <c r="H3740" i="1"/>
  <c r="H2583" i="1"/>
  <c r="H2539" i="1"/>
  <c r="H885" i="1"/>
  <c r="H3579" i="1"/>
  <c r="H2059" i="1"/>
  <c r="H1842" i="1"/>
  <c r="H99" i="1"/>
  <c r="H3131" i="1"/>
  <c r="H52" i="1"/>
  <c r="H2320" i="1"/>
  <c r="H2145" i="1"/>
  <c r="H2584" i="1"/>
  <c r="H2230" i="1"/>
  <c r="H2272" i="1"/>
  <c r="H1016" i="1"/>
  <c r="H3783" i="1"/>
  <c r="H2789" i="1"/>
  <c r="H1930" i="1"/>
  <c r="H4274" i="1"/>
  <c r="H4522" i="1"/>
  <c r="H2547" i="1"/>
  <c r="H1485" i="1"/>
  <c r="H3167" i="1"/>
  <c r="H1869" i="1"/>
  <c r="H2352" i="1"/>
  <c r="H4339" i="1"/>
  <c r="H3779" i="1"/>
  <c r="H2945" i="1"/>
  <c r="H580" i="1"/>
  <c r="H3954" i="1"/>
  <c r="H4721" i="1"/>
  <c r="H4529" i="1"/>
  <c r="H3457" i="1"/>
  <c r="H579" i="1"/>
  <c r="H2009" i="1"/>
  <c r="H428" i="1"/>
  <c r="H1309" i="1"/>
  <c r="H887" i="1"/>
  <c r="H2011" i="1"/>
  <c r="H2003" i="1"/>
  <c r="H4736" i="1"/>
  <c r="H4454" i="1"/>
  <c r="H3637" i="1"/>
  <c r="H4127" i="1"/>
  <c r="H333" i="1"/>
  <c r="H3849" i="1"/>
  <c r="H2000" i="1"/>
  <c r="H836" i="1"/>
  <c r="H2052" i="1"/>
  <c r="H2660" i="1"/>
  <c r="H581" i="1"/>
  <c r="H3290" i="1"/>
  <c r="H2666" i="1"/>
  <c r="H985" i="1"/>
  <c r="H3656" i="1"/>
  <c r="H1034" i="1"/>
  <c r="H1170" i="1"/>
  <c r="H5118" i="1"/>
  <c r="H25" i="1"/>
  <c r="H3801" i="1"/>
  <c r="H343" i="1"/>
  <c r="H3767" i="1"/>
  <c r="H2371" i="1"/>
  <c r="H175" i="1"/>
  <c r="H1084" i="1"/>
  <c r="H790" i="1"/>
  <c r="H2290" i="1"/>
  <c r="H4807" i="1"/>
  <c r="H1444" i="1"/>
  <c r="H1999" i="1"/>
  <c r="H3483" i="1"/>
  <c r="H4139" i="1"/>
  <c r="H1369" i="1"/>
  <c r="H2511" i="1"/>
  <c r="H4974" i="1"/>
  <c r="H5126" i="1"/>
  <c r="H1828" i="1"/>
  <c r="H995" i="1"/>
  <c r="H380" i="1"/>
  <c r="H422" i="1"/>
  <c r="H1197" i="1"/>
  <c r="H560" i="1"/>
  <c r="H632" i="1"/>
  <c r="H669" i="1"/>
  <c r="H2430" i="1"/>
  <c r="H395" i="1"/>
  <c r="H4209" i="1"/>
  <c r="H4772" i="1"/>
  <c r="H3286" i="1"/>
  <c r="H2908" i="1"/>
  <c r="H4677" i="1"/>
  <c r="H5100" i="1"/>
  <c r="H4501" i="1"/>
  <c r="H4651" i="1"/>
  <c r="H3754" i="1"/>
  <c r="H4994" i="1"/>
  <c r="H3389" i="1"/>
  <c r="H3876" i="1"/>
  <c r="H120" i="1"/>
  <c r="H4048" i="1"/>
  <c r="H5189" i="1"/>
  <c r="H4363" i="1"/>
  <c r="H923" i="1"/>
  <c r="H4087" i="1"/>
  <c r="H2843" i="1"/>
  <c r="H4299" i="1"/>
  <c r="H5187" i="1"/>
  <c r="H3965" i="1"/>
  <c r="H4697" i="1"/>
  <c r="H1724" i="1"/>
  <c r="H401" i="1"/>
  <c r="H263" i="1"/>
  <c r="H5231" i="1"/>
  <c r="H469" i="1"/>
  <c r="H4511" i="1"/>
  <c r="H952" i="1"/>
  <c r="H1080" i="1"/>
  <c r="H4943" i="1"/>
  <c r="H2971" i="1"/>
  <c r="H1285" i="1"/>
  <c r="H4624" i="1"/>
  <c r="H5091" i="1"/>
  <c r="H283" i="1"/>
  <c r="H210" i="1"/>
  <c r="H1235" i="1"/>
  <c r="H624" i="1"/>
  <c r="H2030" i="1"/>
  <c r="H2440" i="1"/>
  <c r="H4910" i="1"/>
  <c r="H503" i="1"/>
  <c r="H726" i="1"/>
  <c r="H3943" i="1"/>
  <c r="H4148" i="1"/>
  <c r="H4550" i="1"/>
  <c r="H3168" i="1"/>
  <c r="H1173" i="1"/>
  <c r="H1275" i="1"/>
  <c r="H2631" i="1"/>
  <c r="H972" i="1"/>
  <c r="H365" i="1"/>
  <c r="H406" i="1"/>
  <c r="H4970" i="1"/>
  <c r="H1950" i="1"/>
  <c r="H3870" i="1"/>
  <c r="H3636" i="1"/>
  <c r="H3668" i="1"/>
  <c r="H685" i="1"/>
  <c r="H1809" i="1"/>
  <c r="H2010" i="1"/>
  <c r="H23" i="1"/>
  <c r="H5015" i="1"/>
  <c r="H2076" i="1"/>
  <c r="H1363" i="1"/>
  <c r="H2600" i="1"/>
  <c r="H2577" i="1"/>
  <c r="H506" i="1"/>
  <c r="H4131" i="1"/>
  <c r="H2542" i="1"/>
  <c r="H157" i="1"/>
  <c r="H2345" i="1"/>
  <c r="H645" i="1"/>
  <c r="H2344" i="1"/>
  <c r="H1172" i="1"/>
  <c r="H170" i="1"/>
  <c r="H4272" i="1"/>
  <c r="H3663" i="1"/>
  <c r="H1666" i="1"/>
  <c r="H3032" i="1"/>
  <c r="H2930" i="1"/>
  <c r="H4376" i="1"/>
  <c r="H864" i="1"/>
  <c r="H1408" i="1"/>
  <c r="H871" i="1"/>
  <c r="H2197" i="1"/>
  <c r="H4578" i="1"/>
  <c r="H4744" i="1"/>
  <c r="H3044" i="1"/>
  <c r="H2229" i="1"/>
  <c r="H47" i="1"/>
  <c r="H3732" i="1"/>
  <c r="H2465" i="1"/>
  <c r="H2862" i="1"/>
  <c r="H2572" i="1"/>
  <c r="H3381" i="1"/>
  <c r="H1064" i="1"/>
  <c r="H3868" i="1"/>
  <c r="H1101" i="1"/>
  <c r="H3730" i="1"/>
  <c r="H4538" i="1"/>
  <c r="H4116" i="1"/>
  <c r="H2100" i="1"/>
  <c r="H1545" i="1"/>
  <c r="H2062" i="1"/>
  <c r="H4732" i="1"/>
  <c r="H1314" i="1"/>
  <c r="H2434" i="1"/>
  <c r="H2949" i="1"/>
  <c r="H1038" i="1"/>
  <c r="H4585" i="1"/>
  <c r="H510" i="1"/>
  <c r="H151" i="1"/>
  <c r="H4344" i="1"/>
  <c r="H2680" i="1"/>
  <c r="H2179" i="1"/>
  <c r="H3750" i="1"/>
  <c r="H3554" i="1"/>
  <c r="H1968" i="1"/>
  <c r="H1671" i="1"/>
  <c r="H3736" i="1"/>
  <c r="H402" i="1"/>
  <c r="H955" i="1"/>
  <c r="H3531" i="1"/>
  <c r="H5117" i="1"/>
  <c r="H2037" i="1"/>
  <c r="H3147" i="1"/>
  <c r="H4334" i="1"/>
  <c r="H3017" i="1"/>
  <c r="H4121" i="1"/>
  <c r="H1258" i="1"/>
  <c r="H4480" i="1"/>
  <c r="H3708" i="1"/>
  <c r="H2257" i="1"/>
  <c r="H2707" i="1"/>
  <c r="H2474" i="1"/>
  <c r="H3561" i="1"/>
  <c r="H2484" i="1"/>
  <c r="H3532" i="1"/>
  <c r="H3226" i="1"/>
  <c r="H3589" i="1"/>
  <c r="H728" i="1"/>
  <c r="H3654" i="1"/>
  <c r="H3854" i="1"/>
  <c r="H868" i="1"/>
  <c r="H3614" i="1"/>
  <c r="H4142" i="1"/>
  <c r="H926" i="1"/>
  <c r="H2473" i="1"/>
  <c r="H3997" i="1"/>
  <c r="H2506" i="1"/>
  <c r="H2026" i="1"/>
  <c r="H2675" i="1"/>
  <c r="H161" i="1"/>
  <c r="H2823" i="1"/>
  <c r="H1651" i="1"/>
  <c r="H1486" i="1"/>
  <c r="H4582" i="1"/>
  <c r="H4" i="1"/>
  <c r="H3440" i="1"/>
  <c r="H3877" i="1"/>
  <c r="H3216" i="1"/>
  <c r="H77" i="1"/>
  <c r="H2824" i="1"/>
  <c r="H4698" i="1"/>
  <c r="H793" i="1"/>
  <c r="H909" i="1"/>
  <c r="H102" i="1"/>
  <c r="H1370" i="1"/>
  <c r="H3684" i="1"/>
  <c r="H1265" i="1"/>
  <c r="H1220" i="1"/>
  <c r="H3402" i="1"/>
  <c r="H1300" i="1"/>
  <c r="H88" i="1"/>
  <c r="H1879" i="1"/>
  <c r="H789" i="1"/>
  <c r="H180" i="1"/>
  <c r="H104" i="1"/>
  <c r="H3731" i="1"/>
  <c r="H3781" i="1"/>
  <c r="H1986" i="1"/>
  <c r="H2012" i="1"/>
  <c r="H1576" i="1"/>
  <c r="H5235" i="1"/>
  <c r="H3958" i="1"/>
  <c r="H1673" i="1"/>
  <c r="H244" i="1"/>
  <c r="H5009" i="1"/>
  <c r="H2877" i="1"/>
  <c r="H4016" i="1"/>
  <c r="H960" i="1"/>
  <c r="H543" i="1"/>
  <c r="H1448" i="1"/>
  <c r="H4199" i="1"/>
  <c r="H458" i="1"/>
  <c r="H4323" i="1"/>
  <c r="H5028" i="1"/>
  <c r="H571" i="1"/>
  <c r="H4197" i="1"/>
  <c r="H2357" i="1"/>
  <c r="H3260" i="1"/>
  <c r="H486" i="1"/>
  <c r="H2794" i="1"/>
  <c r="H642" i="1"/>
  <c r="H802" i="1"/>
  <c r="H3858" i="1"/>
  <c r="H3610" i="1"/>
  <c r="H2252" i="1"/>
  <c r="H326" i="1"/>
  <c r="H1009" i="1"/>
  <c r="H2178" i="1"/>
  <c r="H1874" i="1"/>
  <c r="H1503" i="1"/>
  <c r="H1156" i="1"/>
  <c r="H2585" i="1"/>
  <c r="H3335" i="1"/>
  <c r="H4663" i="1"/>
  <c r="H1252" i="1"/>
  <c r="H48" i="1"/>
  <c r="H4695" i="1"/>
  <c r="H3774" i="1"/>
  <c r="H4627" i="1"/>
  <c r="H4753" i="1"/>
  <c r="H2488" i="1"/>
  <c r="H3855" i="1"/>
  <c r="H63" i="1"/>
  <c r="H2697" i="1"/>
  <c r="H1667" i="1"/>
  <c r="H390" i="1"/>
  <c r="H4254" i="1"/>
  <c r="H1332" i="1"/>
  <c r="H2356" i="1"/>
  <c r="H764" i="1"/>
  <c r="H2913" i="1"/>
  <c r="H4125" i="1"/>
  <c r="H1487" i="1"/>
  <c r="H248" i="1"/>
  <c r="H1114" i="1"/>
  <c r="H977" i="1"/>
  <c r="H3741" i="1"/>
  <c r="H4273" i="1"/>
  <c r="H711" i="1"/>
  <c r="H5061" i="1"/>
  <c r="H3699" i="1"/>
  <c r="H2615" i="1"/>
  <c r="H224" i="1"/>
  <c r="H1936" i="1"/>
  <c r="H2397" i="1"/>
  <c r="H1689" i="1"/>
  <c r="H3813" i="1"/>
  <c r="H1278" i="1"/>
  <c r="H722" i="1"/>
  <c r="H831" i="1"/>
  <c r="H3735" i="1"/>
  <c r="H1301" i="1"/>
  <c r="H301" i="1"/>
  <c r="H2628" i="1"/>
  <c r="H1071" i="1"/>
  <c r="H183" i="1"/>
  <c r="H3272" i="1"/>
  <c r="H4025" i="1"/>
  <c r="H1364" i="1"/>
  <c r="H4856" i="1"/>
  <c r="H459" i="1"/>
  <c r="H2533" i="1"/>
  <c r="H3058" i="1"/>
  <c r="H4821" i="1"/>
  <c r="H2319" i="1"/>
  <c r="H1331" i="1"/>
  <c r="H427" i="1"/>
  <c r="H1413" i="1"/>
  <c r="H1960" i="1"/>
  <c r="H4384" i="1"/>
  <c r="H1792" i="1"/>
  <c r="H1095" i="1"/>
  <c r="H4425" i="1"/>
  <c r="H541" i="1"/>
  <c r="H861" i="1"/>
  <c r="H257" i="1"/>
  <c r="H2832" i="1"/>
  <c r="H1411" i="1"/>
  <c r="H4077" i="1"/>
  <c r="H903" i="1"/>
  <c r="H2940" i="1"/>
  <c r="H3107" i="1"/>
  <c r="H477" i="1"/>
  <c r="H3375" i="1"/>
  <c r="H4858" i="1"/>
  <c r="H4531" i="1"/>
  <c r="H61" i="1"/>
  <c r="H2672" i="1"/>
  <c r="H840" i="1"/>
  <c r="H2471" i="1"/>
  <c r="H3980" i="1"/>
  <c r="H3430" i="1"/>
  <c r="H5071" i="1"/>
  <c r="H1449" i="1"/>
  <c r="H3368" i="1"/>
  <c r="H603" i="1"/>
  <c r="H144" i="1"/>
  <c r="H4373" i="1"/>
  <c r="H1603" i="1"/>
  <c r="H1137" i="1"/>
  <c r="H181" i="1"/>
  <c r="H5141" i="1"/>
  <c r="H1942" i="1"/>
  <c r="H4170" i="1"/>
  <c r="H1756" i="1"/>
  <c r="H4387" i="1"/>
  <c r="H4178" i="1"/>
  <c r="H939" i="1"/>
  <c r="H2654" i="1"/>
  <c r="H3505" i="1"/>
  <c r="H3601" i="1"/>
  <c r="H667" i="1"/>
  <c r="H4366" i="1"/>
  <c r="H1511" i="1"/>
  <c r="H1536" i="1"/>
  <c r="H4030" i="1"/>
  <c r="H1035" i="1"/>
  <c r="H3572" i="1"/>
  <c r="H494" i="1"/>
  <c r="H2528" i="1"/>
  <c r="H4928" i="1"/>
  <c r="H3096" i="1"/>
  <c r="H1650" i="1"/>
  <c r="H2935" i="1"/>
  <c r="H744" i="1"/>
  <c r="H1642" i="1"/>
  <c r="H4949" i="1"/>
  <c r="H2604" i="1"/>
  <c r="H852" i="1"/>
  <c r="H901" i="1"/>
  <c r="H1324" i="1"/>
  <c r="H3426" i="1"/>
  <c r="H1824" i="1"/>
  <c r="H4190" i="1"/>
  <c r="H3117" i="1"/>
  <c r="H3173" i="1"/>
  <c r="H3420" i="1"/>
  <c r="H3953" i="1"/>
  <c r="H2094" i="1"/>
  <c r="H2149" i="1"/>
  <c r="H4785" i="1"/>
  <c r="H1427" i="1"/>
  <c r="H3292" i="1"/>
  <c r="H2156" i="1"/>
  <c r="H899" i="1"/>
  <c r="H1070" i="1"/>
  <c r="H4463" i="1"/>
  <c r="H595" i="1"/>
  <c r="H3142" i="1"/>
  <c r="H1426" i="1"/>
  <c r="H1329" i="1"/>
  <c r="H298" i="1"/>
  <c r="H493" i="1"/>
  <c r="H1887" i="1"/>
  <c r="H1664" i="1"/>
  <c r="H3829" i="1"/>
  <c r="H4292" i="1"/>
  <c r="H4778" i="1"/>
  <c r="H3938" i="1"/>
  <c r="H440" i="1"/>
  <c r="H155" i="1"/>
  <c r="H2677" i="1"/>
  <c r="H4723" i="1"/>
  <c r="H1781" i="1"/>
  <c r="H146" i="1"/>
  <c r="H3054" i="1"/>
  <c r="H64" i="1"/>
  <c r="H3822" i="1"/>
  <c r="H1774" i="1"/>
  <c r="H4507" i="1"/>
  <c r="H835" i="1"/>
  <c r="H5051" i="1"/>
  <c r="H3027" i="1"/>
  <c r="H2381" i="1"/>
  <c r="H1042" i="1"/>
  <c r="H523" i="1"/>
  <c r="H4115" i="1"/>
  <c r="H4927" i="1"/>
  <c r="H2603" i="1"/>
  <c r="H1946" i="1"/>
  <c r="H847" i="1"/>
  <c r="H1319" i="1"/>
  <c r="H4997" i="1"/>
  <c r="H1882" i="1"/>
  <c r="H4500" i="1"/>
  <c r="H71" i="1"/>
  <c r="H4397" i="1"/>
  <c r="H4996" i="1"/>
  <c r="H3275" i="1"/>
  <c r="H5206" i="1"/>
  <c r="H2408" i="1"/>
  <c r="H1441" i="1"/>
  <c r="H5209" i="1"/>
  <c r="H3724" i="1"/>
  <c r="H948" i="1"/>
  <c r="H3778" i="1"/>
  <c r="H3930" i="1"/>
  <c r="H2816" i="1"/>
  <c r="H1455" i="1"/>
  <c r="H748" i="1"/>
  <c r="H14" i="1"/>
  <c r="H4931" i="1"/>
  <c r="H3423" i="1"/>
  <c r="H2840" i="1"/>
  <c r="H2489" i="1"/>
  <c r="H2386" i="1"/>
  <c r="H4965" i="1"/>
  <c r="H594" i="1"/>
  <c r="H1130" i="1"/>
  <c r="H484" i="1"/>
  <c r="H3648" i="1"/>
  <c r="H870" i="1"/>
  <c r="H4416" i="1"/>
  <c r="H3949" i="1"/>
  <c r="H2007" i="1"/>
  <c r="H4261" i="1"/>
  <c r="H1902" i="1"/>
  <c r="H1716" i="1"/>
  <c r="H511" i="1"/>
  <c r="H4189" i="1"/>
  <c r="H2236" i="1"/>
  <c r="H3336" i="1"/>
  <c r="H4740" i="1"/>
  <c r="H4198" i="1"/>
  <c r="H520" i="1"/>
  <c r="H117" i="1"/>
  <c r="H4065" i="1"/>
  <c r="H91" i="1"/>
  <c r="H5208" i="1"/>
  <c r="H4880" i="1"/>
  <c r="H2826" i="1"/>
  <c r="H504" i="1"/>
  <c r="H3604" i="1"/>
  <c r="H4130" i="1"/>
  <c r="H4068" i="1"/>
  <c r="H3734" i="1"/>
  <c r="H712" i="1"/>
  <c r="H393" i="1"/>
  <c r="H3542" i="1"/>
  <c r="H1338" i="1"/>
  <c r="H1932" i="1"/>
  <c r="H1165" i="1"/>
  <c r="H443" i="1"/>
  <c r="H4739" i="1"/>
  <c r="H4934" i="1"/>
  <c r="H392" i="1"/>
  <c r="H2996" i="1"/>
  <c r="H1702" i="1"/>
  <c r="H230" i="1"/>
  <c r="H1608" i="1"/>
  <c r="H4515" i="1"/>
  <c r="H1883" i="1"/>
  <c r="H3848" i="1"/>
  <c r="H3150" i="1"/>
  <c r="H1965" i="1"/>
  <c r="H3321" i="1"/>
  <c r="H590" i="1"/>
  <c r="H2326" i="1"/>
  <c r="H4394" i="1"/>
  <c r="H4222" i="1"/>
  <c r="H4053" i="1"/>
  <c r="H4825" i="1"/>
  <c r="H3001" i="1"/>
  <c r="H2876" i="1"/>
  <c r="H4284" i="1"/>
  <c r="H3687" i="1"/>
  <c r="H1001" i="1"/>
  <c r="H4347" i="1"/>
  <c r="H1386" i="1"/>
  <c r="H2694" i="1"/>
  <c r="H4703" i="1"/>
  <c r="H4650" i="1"/>
  <c r="H4871" i="1"/>
  <c r="H808" i="1"/>
  <c r="H3711" i="1"/>
  <c r="H2038" i="1"/>
  <c r="H2534" i="1"/>
  <c r="H3548" i="1"/>
  <c r="H3030" i="1"/>
  <c r="H724" i="1"/>
  <c r="H1214" i="1"/>
  <c r="H272" i="1"/>
  <c r="H2171" i="1"/>
  <c r="H3618" i="1"/>
  <c r="H1313" i="1"/>
  <c r="H3658" i="1"/>
  <c r="H3183" i="1"/>
  <c r="H1119" i="1"/>
  <c r="H765" i="1"/>
  <c r="H3765" i="1"/>
  <c r="H1881" i="1"/>
  <c r="H3987" i="1"/>
  <c r="H1654" i="1"/>
  <c r="H4275" i="1"/>
  <c r="H4118" i="1"/>
  <c r="H3996" i="1"/>
  <c r="H1623" i="1"/>
  <c r="H312" i="1"/>
  <c r="H5169" i="1"/>
  <c r="H5137" i="1"/>
  <c r="H1718" i="1"/>
  <c r="H2016" i="1"/>
  <c r="H4015" i="1"/>
  <c r="H2449" i="1"/>
  <c r="H2498" i="1"/>
  <c r="H664" i="1"/>
  <c r="H454" i="1"/>
  <c r="H195" i="1"/>
  <c r="H3308" i="1"/>
  <c r="H970" i="1"/>
  <c r="H1776" i="1"/>
  <c r="H2958" i="1"/>
  <c r="H2899" i="1"/>
  <c r="H2228" i="1"/>
  <c r="H1622" i="1"/>
  <c r="H3957" i="1"/>
  <c r="H2049" i="1"/>
  <c r="H736" i="1"/>
  <c r="H5011" i="1"/>
  <c r="H1210" i="1"/>
  <c r="H4353" i="1"/>
  <c r="H4819" i="1"/>
  <c r="H2470" i="1"/>
  <c r="H4383" i="1"/>
  <c r="H4257" i="1"/>
  <c r="H2918" i="1"/>
  <c r="H471" i="1"/>
  <c r="H3301" i="1"/>
  <c r="H5193" i="1"/>
  <c r="H236" i="1"/>
  <c r="H1387" i="1"/>
  <c r="H4646" i="1"/>
  <c r="H2779" i="1"/>
  <c r="H2377" i="1"/>
  <c r="H4961" i="1"/>
  <c r="H3662" i="1"/>
  <c r="H3394" i="1"/>
  <c r="H2167" i="1"/>
  <c r="H4867" i="1"/>
  <c r="H3412" i="1"/>
  <c r="H2696" i="1"/>
  <c r="H4088" i="1"/>
  <c r="H2110" i="1"/>
  <c r="H1447" i="1"/>
  <c r="H3653" i="1"/>
  <c r="H3200" i="1"/>
  <c r="H3578" i="1"/>
  <c r="H525" i="1"/>
  <c r="H3041" i="1"/>
  <c r="H4909" i="1"/>
  <c r="H2466" i="1"/>
  <c r="H2610" i="1"/>
  <c r="H3508" i="1"/>
  <c r="H612" i="1"/>
  <c r="H3685" i="1"/>
  <c r="H9" i="1"/>
  <c r="H4337" i="1"/>
  <c r="H3528" i="1"/>
  <c r="H1424" i="1"/>
  <c r="H929" i="1"/>
  <c r="H4281" i="1"/>
  <c r="H2315" i="1"/>
  <c r="H1193" i="1"/>
  <c r="H1618" i="1"/>
  <c r="H1521" i="1"/>
  <c r="H2895" i="1"/>
  <c r="H1645" i="1"/>
  <c r="H1208" i="1"/>
  <c r="H1391" i="1"/>
  <c r="H410" i="1"/>
  <c r="H3320" i="1"/>
  <c r="H1532" i="1"/>
  <c r="H2760" i="1"/>
  <c r="H1417" i="1"/>
  <c r="H3899" i="1"/>
  <c r="H3215" i="1"/>
  <c r="H3354" i="1"/>
  <c r="H235" i="1"/>
  <c r="H189" i="1"/>
  <c r="H1194" i="1"/>
  <c r="H4208" i="1"/>
  <c r="H100" i="1"/>
  <c r="H1398" i="1"/>
  <c r="H4580" i="1"/>
  <c r="H3507" i="1"/>
  <c r="H11" i="1"/>
  <c r="H1394" i="1"/>
  <c r="H75" i="1"/>
  <c r="H2399" i="1"/>
  <c r="H4978" i="1"/>
  <c r="H4294" i="1"/>
  <c r="H2445" i="1"/>
  <c r="H3227" i="1"/>
  <c r="H1738" i="1"/>
  <c r="H3195" i="1"/>
  <c r="H602" i="1"/>
  <c r="H4824" i="1"/>
  <c r="H2617" i="1"/>
  <c r="H4847" i="1"/>
  <c r="H1316" i="1"/>
  <c r="H3702" i="1"/>
  <c r="H57" i="1"/>
  <c r="H1166" i="1"/>
  <c r="H215" i="1"/>
  <c r="H2621" i="1"/>
  <c r="H1562" i="1"/>
  <c r="H3847" i="1"/>
  <c r="H2480" i="1"/>
  <c r="H2927" i="1"/>
  <c r="H1903" i="1"/>
  <c r="H2281" i="1"/>
  <c r="H819" i="1"/>
  <c r="H989" i="1"/>
  <c r="H449" i="1"/>
  <c r="H4449" i="1"/>
  <c r="H1639" i="1"/>
  <c r="H5157" i="1"/>
  <c r="H3095" i="1"/>
  <c r="H282" i="1"/>
  <c r="H958" i="1"/>
  <c r="H2860" i="1"/>
  <c r="H3752" i="1"/>
  <c r="H1923" i="1"/>
  <c r="H1731" i="1"/>
  <c r="H4558" i="1"/>
  <c r="H3344" i="1"/>
  <c r="H546" i="1"/>
  <c r="H5067" i="1"/>
  <c r="H1940" i="1"/>
  <c r="H336" i="1"/>
  <c r="H5243" i="1"/>
  <c r="H327" i="1"/>
  <c r="H1361" i="1"/>
  <c r="H3006" i="1"/>
  <c r="H3640" i="1"/>
  <c r="H2742" i="1"/>
  <c r="H153" i="1"/>
  <c r="H3977" i="1"/>
  <c r="H430" i="1"/>
  <c r="H4754" i="1"/>
  <c r="H4797" i="1"/>
  <c r="H1560" i="1"/>
  <c r="H2025" i="1"/>
  <c r="H2269" i="1"/>
  <c r="H3063" i="1"/>
  <c r="H4287" i="1"/>
  <c r="H1135" i="1"/>
  <c r="H2586" i="1"/>
  <c r="H4252" i="1"/>
  <c r="H4175" i="1"/>
  <c r="H5037" i="1"/>
  <c r="H1779" i="1"/>
  <c r="H4533" i="1"/>
  <c r="H2069" i="1"/>
  <c r="H1238" i="1"/>
  <c r="H3039" i="1"/>
  <c r="H4393" i="1"/>
  <c r="H3380" i="1"/>
  <c r="H173" i="1"/>
  <c r="H3086" i="1"/>
  <c r="H1403" i="1"/>
  <c r="H2202" i="1"/>
  <c r="H4543" i="1"/>
  <c r="H4966" i="1"/>
  <c r="H1761" i="1"/>
  <c r="H1958" i="1"/>
  <c r="H148" i="1"/>
  <c r="H3160" i="1"/>
  <c r="H1459" i="1"/>
  <c r="H3689" i="1"/>
  <c r="H776" i="1"/>
  <c r="H2351" i="1"/>
  <c r="H1494" i="1"/>
  <c r="H787" i="1"/>
  <c r="H2788" i="1"/>
  <c r="H572" i="1"/>
  <c r="H4956" i="1"/>
  <c r="H3486" i="1"/>
  <c r="H2023" i="1"/>
  <c r="H3347" i="1"/>
  <c r="H2247" i="1"/>
  <c r="H1454" i="1"/>
  <c r="H3008" i="1"/>
  <c r="H949" i="1"/>
  <c r="H138" i="1"/>
  <c r="H465" i="1"/>
  <c r="H2720" i="1"/>
  <c r="H4119" i="1"/>
  <c r="H1734" i="1"/>
  <c r="H3815" i="1"/>
  <c r="H2571" i="1"/>
  <c r="H1462" i="1"/>
  <c r="H305" i="1"/>
  <c r="H1917" i="1"/>
  <c r="H5094" i="1"/>
  <c r="H1187" i="1"/>
  <c r="H2492" i="1"/>
  <c r="H539" i="1"/>
  <c r="H971" i="1"/>
  <c r="H1550" i="1"/>
  <c r="H1518" i="1"/>
  <c r="H3726" i="1"/>
  <c r="H3546" i="1"/>
  <c r="H3978" i="1"/>
  <c r="H1039" i="1"/>
  <c r="H3650" i="1"/>
  <c r="H1709" i="1"/>
  <c r="H4156" i="1"/>
  <c r="H5078" i="1"/>
  <c r="H771" i="1"/>
  <c r="H1527" i="1"/>
  <c r="H622" i="1"/>
  <c r="H3955" i="1"/>
  <c r="H2225" i="1"/>
  <c r="H1822" i="1"/>
  <c r="H3789" i="1"/>
  <c r="H1542" i="1"/>
  <c r="H4415" i="1"/>
  <c r="H2416" i="1"/>
  <c r="H2479" i="1"/>
  <c r="H839" i="1"/>
  <c r="H2565" i="1"/>
  <c r="H3019" i="1"/>
  <c r="H666" i="1"/>
  <c r="H478" i="1"/>
  <c r="H1905" i="1"/>
  <c r="H1736" i="1"/>
  <c r="H4969" i="1"/>
  <c r="H2629" i="1"/>
  <c r="H1748" i="1"/>
  <c r="H2992" i="1"/>
  <c r="H3545" i="1"/>
  <c r="H3148" i="1"/>
  <c r="H2050" i="1"/>
  <c r="H1474" i="1"/>
  <c r="H1703" i="1"/>
  <c r="H617" i="1"/>
  <c r="H2747" i="1"/>
  <c r="H4811" i="1"/>
  <c r="H1433" i="1"/>
  <c r="H3468" i="1"/>
  <c r="H882" i="1"/>
  <c r="H2757" i="1"/>
  <c r="H3677" i="1"/>
  <c r="H1015" i="1"/>
  <c r="H1422" i="1"/>
  <c r="H1347" i="1"/>
  <c r="H1854" i="1"/>
  <c r="H4885" i="1"/>
  <c r="H1109" i="1"/>
  <c r="H3287" i="1"/>
  <c r="H5111" i="1"/>
  <c r="H2787" i="1"/>
  <c r="H910" i="1"/>
  <c r="H2002" i="1"/>
  <c r="H2835" i="1"/>
  <c r="H3157" i="1"/>
  <c r="H2321" i="1"/>
  <c r="H2703" i="1"/>
  <c r="H3411" i="1"/>
  <c r="H4214" i="1"/>
  <c r="H2191" i="1"/>
  <c r="H4104" i="1"/>
  <c r="H1784" i="1"/>
  <c r="H5158" i="1"/>
  <c r="H2745" i="1"/>
  <c r="H3768" i="1"/>
  <c r="H3365" i="1"/>
  <c r="H859" i="1"/>
  <c r="H2750" i="1"/>
  <c r="H1601" i="1"/>
  <c r="H4727" i="1"/>
  <c r="H5238" i="1"/>
  <c r="H5222" i="1"/>
  <c r="H3527" i="1"/>
  <c r="H287" i="1"/>
  <c r="H1581" i="1"/>
  <c r="H3721" i="1"/>
  <c r="H4717" i="1"/>
  <c r="H853" i="1"/>
  <c r="H3229" i="1"/>
  <c r="H3946" i="1"/>
  <c r="H636" i="1"/>
  <c r="H2349" i="1"/>
  <c r="H2688" i="1"/>
  <c r="H3937" i="1"/>
  <c r="H2274" i="1"/>
  <c r="H3456" i="1"/>
  <c r="H1017" i="1"/>
  <c r="H2653" i="1"/>
  <c r="H2632" i="1"/>
  <c r="H3659" i="1"/>
  <c r="H1737" i="1"/>
  <c r="H4186" i="1"/>
  <c r="H3177" i="1"/>
  <c r="H975" i="1"/>
  <c r="H4777" i="1"/>
  <c r="H3923" i="1"/>
  <c r="H4560" i="1"/>
  <c r="H3551" i="1"/>
  <c r="H4706" i="1"/>
  <c r="H4648" i="1"/>
  <c r="H1229" i="1"/>
  <c r="H1522" i="1"/>
  <c r="H3631" i="1"/>
  <c r="H4853" i="1"/>
  <c r="H536" i="1"/>
  <c r="H2980" i="1"/>
  <c r="H286" i="1"/>
  <c r="H5154" i="1"/>
  <c r="H4612" i="1"/>
  <c r="H4681" i="1"/>
  <c r="H2212" i="1"/>
  <c r="H4490" i="1"/>
  <c r="H2518" i="1"/>
  <c r="H3966" i="1"/>
  <c r="H4795" i="1"/>
  <c r="H4743" i="1"/>
  <c r="H5099" i="1"/>
  <c r="H4771" i="1"/>
  <c r="H3495" i="1"/>
  <c r="H219" i="1"/>
  <c r="H4259" i="1"/>
  <c r="H403" i="1"/>
  <c r="H475" i="1"/>
  <c r="H2543" i="1"/>
  <c r="H902" i="1"/>
  <c r="H1125" i="1"/>
  <c r="H2842" i="1"/>
  <c r="H1296" i="1"/>
  <c r="H552" i="1"/>
  <c r="H3756" i="1"/>
  <c r="H2984" i="1"/>
  <c r="H2313" i="1"/>
  <c r="H4340" i="1"/>
  <c r="H850" i="1"/>
  <c r="H1461" i="1"/>
  <c r="H2260" i="1"/>
  <c r="H2034" i="1"/>
  <c r="H3598" i="1"/>
  <c r="H2744" i="1"/>
  <c r="H1694" i="1"/>
  <c r="H1334" i="1"/>
  <c r="H3927" i="1"/>
  <c r="H3184" i="1"/>
  <c r="H3952" i="1"/>
  <c r="H613" i="1"/>
  <c r="H1727" i="1"/>
  <c r="H4827" i="1"/>
  <c r="H4710" i="1"/>
  <c r="H1644" i="1"/>
  <c r="H1723" i="1"/>
  <c r="H1237" i="1"/>
  <c r="H1374" i="1"/>
  <c r="H3982" i="1"/>
  <c r="H1353" i="1"/>
  <c r="H2723" i="1"/>
  <c r="H2176" i="1"/>
  <c r="H2941" i="1"/>
  <c r="H5030" i="1"/>
  <c r="H1811" i="1"/>
  <c r="H4629" i="1"/>
  <c r="H1079" i="1"/>
  <c r="H187" i="1"/>
  <c r="H2216" i="1"/>
  <c r="H85" i="1"/>
  <c r="H1293" i="1"/>
  <c r="H701" i="1"/>
  <c r="H2650" i="1"/>
  <c r="H2761" i="1"/>
  <c r="H4221" i="1"/>
  <c r="H5023" i="1"/>
  <c r="H3376" i="1"/>
  <c r="H2343" i="1"/>
  <c r="H4268" i="1"/>
  <c r="H934" i="1"/>
  <c r="H96" i="1"/>
  <c r="H2297" i="1"/>
  <c r="H2091" i="1"/>
  <c r="H378" i="1"/>
  <c r="H1994" i="1"/>
  <c r="H1617" i="1"/>
  <c r="H128" i="1"/>
  <c r="H1027" i="1"/>
  <c r="H2916" i="1"/>
  <c r="H3425" i="1"/>
  <c r="H1383" i="1"/>
  <c r="H2961" i="1"/>
  <c r="H5108" i="1"/>
  <c r="H4726" i="1"/>
  <c r="H3592" i="1"/>
  <c r="H4356" i="1"/>
  <c r="H4647" i="1"/>
  <c r="H3233" i="1"/>
  <c r="H785" i="1"/>
  <c r="H3166" i="1"/>
  <c r="H4762" i="1"/>
  <c r="H1360" i="1"/>
  <c r="H3970" i="1"/>
  <c r="H426" i="1"/>
  <c r="H4489" i="1"/>
  <c r="H621" i="1"/>
  <c r="H4938" i="1"/>
  <c r="H2865" i="1"/>
  <c r="H4945" i="1"/>
  <c r="H3609" i="1"/>
  <c r="H4460" i="1"/>
  <c r="H2922" i="1"/>
  <c r="H2891" i="1"/>
  <c r="H781" i="1"/>
  <c r="H5150" i="1"/>
  <c r="H3363" i="1"/>
  <c r="H683" i="1"/>
  <c r="H332" i="1"/>
  <c r="H5046" i="1"/>
  <c r="H2508" i="1"/>
  <c r="H4992" i="1"/>
  <c r="H3777" i="1"/>
  <c r="H4597" i="1"/>
  <c r="H1629" i="1"/>
  <c r="H3555" i="1"/>
  <c r="H1524" i="1"/>
  <c r="H4413" i="1"/>
  <c r="H4713" i="1"/>
  <c r="H2964" i="1"/>
  <c r="H1306" i="1"/>
  <c r="H3458" i="1"/>
  <c r="H775" i="1"/>
  <c r="H5058" i="1"/>
  <c r="H3760" i="1"/>
  <c r="H1216" i="1"/>
  <c r="H2889" i="1"/>
  <c r="H837" i="1"/>
  <c r="H574" i="1"/>
  <c r="H951" i="1"/>
  <c r="H1290" i="1"/>
  <c r="H2456" i="1"/>
  <c r="H2004" i="1"/>
  <c r="H917" i="1"/>
  <c r="H5144" i="1"/>
  <c r="H1878" i="1"/>
  <c r="H3753" i="1"/>
  <c r="H3906" i="1"/>
  <c r="H3257" i="1"/>
  <c r="H1111" i="1"/>
  <c r="H4300" i="1"/>
  <c r="H4625" i="1"/>
  <c r="H792" i="1"/>
  <c r="H4046" i="1"/>
  <c r="H3823" i="1"/>
  <c r="H732" i="1"/>
  <c r="H4361" i="1"/>
  <c r="H5128" i="1"/>
  <c r="H4977" i="1"/>
  <c r="H3621" i="1"/>
  <c r="H1750" i="1"/>
  <c r="H4019" i="1"/>
  <c r="H1790" i="1"/>
  <c r="H976" i="1"/>
  <c r="H4263" i="1"/>
  <c r="H2646" i="1"/>
  <c r="H4288" i="1"/>
  <c r="H4078" i="1"/>
  <c r="H2304" i="1"/>
  <c r="H4854" i="1"/>
  <c r="H4832" i="1"/>
  <c r="H2184" i="1"/>
  <c r="H854" i="1"/>
  <c r="H703" i="1"/>
  <c r="H1452" i="1"/>
  <c r="H1327" i="1"/>
  <c r="H778" i="1"/>
  <c r="H2491" i="1"/>
  <c r="H1663" i="1"/>
  <c r="H1580" i="1"/>
  <c r="H2499" i="1"/>
  <c r="H773" i="1"/>
  <c r="H4545" i="1"/>
  <c r="H3893" i="1"/>
  <c r="H2946" i="1"/>
  <c r="H2871" i="1"/>
  <c r="H30" i="1"/>
  <c r="H4788" i="1"/>
  <c r="H822" i="1"/>
  <c r="H4765" i="1"/>
  <c r="H2121" i="1"/>
  <c r="H1733" i="1"/>
  <c r="H65" i="1"/>
  <c r="H3674" i="1"/>
  <c r="H1232" i="1"/>
  <c r="H3723" i="1"/>
  <c r="H987" i="1"/>
  <c r="H4773" i="1"/>
  <c r="H154" i="1"/>
  <c r="H2242" i="1"/>
  <c r="H1344" i="1"/>
  <c r="H2878" i="1"/>
  <c r="H5102" i="1"/>
  <c r="H3300" i="1"/>
  <c r="H1835" i="1"/>
  <c r="H5239" i="1"/>
  <c r="H45" i="1"/>
  <c r="H3127" i="1"/>
  <c r="H1933" i="1"/>
  <c r="H4953" i="1"/>
  <c r="H2024" i="1"/>
  <c r="H4283" i="1"/>
  <c r="H5192" i="1"/>
  <c r="H4913" i="1"/>
  <c r="H4618" i="1"/>
  <c r="H872" i="1"/>
  <c r="H4060" i="1"/>
  <c r="H3892" i="1"/>
  <c r="H1803" i="1"/>
  <c r="H2423" i="1"/>
  <c r="H1087" i="1"/>
  <c r="H4414" i="1"/>
  <c r="H1627" i="1"/>
  <c r="H3717" i="1"/>
  <c r="H1489" i="1"/>
  <c r="H933" i="1"/>
  <c r="H1124" i="1"/>
  <c r="H2185" i="1"/>
  <c r="H4495" i="1"/>
  <c r="H4687" i="1"/>
  <c r="H5125" i="1"/>
  <c r="H3544" i="1"/>
  <c r="H4579" i="1"/>
  <c r="H2687" i="1"/>
  <c r="H2013" i="1"/>
  <c r="H2354" i="1"/>
  <c r="H334" i="1"/>
  <c r="H566" i="1"/>
  <c r="H2335" i="1"/>
  <c r="H3518" i="1"/>
  <c r="H3104" i="1"/>
  <c r="H4606" i="1"/>
  <c r="H2079" i="1"/>
  <c r="H1636" i="1"/>
  <c r="H2131" i="1"/>
  <c r="H3846" i="1"/>
  <c r="H1834" i="1"/>
  <c r="H1322" i="1"/>
  <c r="H4923" i="1"/>
  <c r="H4013" i="1"/>
  <c r="H1540" i="1"/>
  <c r="H366" i="1"/>
  <c r="H809" i="1"/>
  <c r="H601" i="1"/>
  <c r="H69" i="1"/>
  <c r="H2063" i="1"/>
  <c r="H4303" i="1"/>
  <c r="H1012" i="1"/>
  <c r="H5195" i="1"/>
  <c r="H3038" i="1"/>
  <c r="H3550" i="1"/>
  <c r="H1116" i="1"/>
  <c r="H2638" i="1"/>
  <c r="H3204" i="1"/>
  <c r="H3834" i="1"/>
  <c r="H46" i="1"/>
  <c r="H2978" i="1"/>
  <c r="H4716" i="1"/>
  <c r="H284" i="1"/>
  <c r="H1875" i="1"/>
  <c r="H3357" i="1"/>
  <c r="H3332" i="1"/>
  <c r="H1559" i="1"/>
  <c r="H4410" i="1"/>
  <c r="H3410" i="1"/>
  <c r="H4919" i="1"/>
  <c r="H4586" i="1"/>
  <c r="H20" i="1"/>
  <c r="H2415" i="1"/>
  <c r="H4492" i="1"/>
  <c r="H2777" i="1"/>
  <c r="H3910" i="1"/>
  <c r="H202" i="1"/>
  <c r="H1688" i="1"/>
  <c r="H1585" i="1"/>
  <c r="H4332" i="1"/>
  <c r="H3840" i="1"/>
  <c r="H2556" i="1"/>
  <c r="H562" i="1"/>
  <c r="H545" i="1"/>
  <c r="H1407" i="1"/>
  <c r="H3843" i="1"/>
  <c r="H2537" i="1"/>
  <c r="H4657" i="1"/>
  <c r="H131" i="1"/>
  <c r="H2299" i="1"/>
  <c r="H820" i="1"/>
  <c r="H3075" i="1"/>
  <c r="H1791" i="1"/>
  <c r="H4070" i="1"/>
  <c r="H2119" i="1"/>
  <c r="H415" i="1"/>
  <c r="H4017" i="1"/>
  <c r="H3895" i="1"/>
  <c r="H434" i="1"/>
  <c r="H5143" i="1"/>
  <c r="H44" i="1"/>
  <c r="H1643" i="1"/>
  <c r="H274" i="1"/>
  <c r="H1019" i="1"/>
  <c r="H1141" i="1"/>
  <c r="H4216" i="1"/>
  <c r="H1773" i="1"/>
  <c r="H303" i="1"/>
  <c r="H1574" i="1"/>
  <c r="H4767" i="1"/>
  <c r="H3453" i="1"/>
  <c r="H4217" i="1"/>
  <c r="H339" i="1"/>
  <c r="H2753" i="1"/>
  <c r="H4081" i="1"/>
  <c r="H4915" i="1"/>
  <c r="H2740" i="1"/>
  <c r="H49" i="1"/>
  <c r="H2336" i="1"/>
  <c r="H4120" i="1"/>
  <c r="H1230" i="1"/>
  <c r="H2233" i="1"/>
  <c r="H2340" i="1"/>
  <c r="H4552" i="1"/>
  <c r="H3585" i="1"/>
  <c r="H4803" i="1"/>
  <c r="H2545" i="1"/>
  <c r="H1611" i="1"/>
  <c r="H4741" i="1"/>
  <c r="H1996" i="1"/>
  <c r="H3716" i="1"/>
  <c r="H4064" i="1"/>
  <c r="H2766" i="1"/>
  <c r="H40" i="1"/>
  <c r="H3382" i="1"/>
  <c r="H1058" i="1"/>
  <c r="H3463" i="1"/>
  <c r="H4516" i="1"/>
  <c r="H3179" i="1"/>
  <c r="H3999" i="1"/>
  <c r="H4589" i="1"/>
  <c r="H4477" i="1"/>
  <c r="H2158" i="1"/>
  <c r="H2058" i="1"/>
  <c r="H1437" i="1"/>
  <c r="H4964" i="1"/>
  <c r="H4883" i="1"/>
  <c r="H3337" i="1"/>
  <c r="H4173" i="1"/>
  <c r="H1436" i="1"/>
  <c r="H4335" i="1"/>
  <c r="H1808" i="1"/>
  <c r="H4656" i="1"/>
  <c r="H1600" i="1"/>
  <c r="H35" i="1"/>
  <c r="H4770" i="1"/>
  <c r="H3169" i="1"/>
  <c r="H5077" i="1"/>
  <c r="H4377" i="1"/>
  <c r="H3345" i="1"/>
  <c r="H2362" i="1"/>
  <c r="H2849" i="1"/>
  <c r="H1088" i="1"/>
  <c r="H2661" i="1"/>
  <c r="H322" i="1"/>
  <c r="H1846" i="1"/>
  <c r="H2463" i="1"/>
  <c r="H4207" i="1"/>
  <c r="H1157" i="1"/>
  <c r="H4820" i="1"/>
  <c r="H4731" i="1"/>
  <c r="H993" i="1"/>
  <c r="H4517" i="1"/>
  <c r="H3991" i="1"/>
  <c r="H134" i="1"/>
  <c r="H908" i="1"/>
  <c r="H1063" i="1"/>
  <c r="H4041" i="1"/>
  <c r="H1249" i="1"/>
  <c r="H4446" i="1"/>
  <c r="H4111" i="1"/>
  <c r="H3328" i="1"/>
  <c r="H3522" i="1"/>
  <c r="H2546" i="1"/>
  <c r="H2717" i="1"/>
  <c r="H3303" i="1"/>
  <c r="H488" i="1"/>
  <c r="H2854" i="1"/>
  <c r="H1497" i="1"/>
  <c r="H2097" i="1"/>
  <c r="H2903" i="1"/>
  <c r="H2442" i="1"/>
  <c r="H4666" i="1"/>
  <c r="H2668" i="1"/>
  <c r="H904" i="1"/>
  <c r="H3282" i="1"/>
  <c r="H405" i="1"/>
  <c r="H156" i="1"/>
  <c r="H2056" i="1"/>
  <c r="H53" i="1"/>
  <c r="H3833" i="1"/>
  <c r="H714" i="1"/>
  <c r="H1751" i="1"/>
  <c r="H1139" i="1"/>
  <c r="H239" i="1"/>
  <c r="H1068" i="1"/>
  <c r="H2077" i="1"/>
  <c r="H1691" i="1"/>
  <c r="H1225" i="1"/>
  <c r="H241" i="1"/>
  <c r="H5215" i="1"/>
  <c r="H3809" i="1"/>
  <c r="H4708" i="1"/>
  <c r="H4559" i="1"/>
  <c r="H1674" i="1"/>
  <c r="H1168" i="1"/>
  <c r="H364" i="1"/>
  <c r="H3566" i="1"/>
  <c r="H2429" i="1"/>
  <c r="H4685" i="1"/>
  <c r="H3451" i="1"/>
  <c r="H3448" i="1"/>
  <c r="H5085" i="1"/>
  <c r="H2758" i="1"/>
  <c r="H133" i="1"/>
  <c r="H1515" i="1"/>
  <c r="H2194" i="1"/>
  <c r="H5149" i="1"/>
  <c r="H3926" i="1"/>
  <c r="H4693" i="1"/>
  <c r="H3595" i="1"/>
  <c r="H4360" i="1"/>
  <c r="H3984" i="1"/>
  <c r="H2487" i="1"/>
  <c r="H5090" i="1"/>
  <c r="H1807" i="1"/>
  <c r="H4862" i="1"/>
  <c r="H2719" i="1"/>
  <c r="H2855" i="1"/>
  <c r="H1943" i="1"/>
  <c r="H598" i="1"/>
  <c r="H226" i="1"/>
  <c r="H2401" i="1"/>
  <c r="H4851" i="1"/>
  <c r="H999" i="1"/>
  <c r="H2751" i="1"/>
  <c r="H1992" i="1"/>
  <c r="H3023" i="1"/>
  <c r="H2819" i="1"/>
  <c r="H3239" i="1"/>
  <c r="H2211" i="1"/>
  <c r="H3931" i="1"/>
  <c r="H2341" i="1"/>
  <c r="H1578" i="1"/>
  <c r="H3143" i="1"/>
  <c r="H665" i="1"/>
  <c r="H2084" i="1"/>
  <c r="H150" i="1"/>
  <c r="H3913" i="1"/>
  <c r="H163" i="1"/>
  <c r="H1255" i="1"/>
  <c r="H2817" i="1"/>
  <c r="H4084" i="1"/>
  <c r="H1475" i="1"/>
  <c r="H3706" i="1"/>
  <c r="H3047" i="1"/>
  <c r="H3422" i="1"/>
  <c r="H1563" i="1"/>
  <c r="H3842" i="1"/>
  <c r="H3817" i="1"/>
  <c r="H2414" i="1"/>
  <c r="H2989" i="1"/>
  <c r="H55" i="1"/>
  <c r="H3755" i="1"/>
  <c r="H4976" i="1"/>
  <c r="H2383" i="1"/>
  <c r="H1596" i="1"/>
  <c r="H2190" i="1"/>
  <c r="H1128" i="1"/>
  <c r="H2866" i="1"/>
  <c r="H4959" i="1"/>
  <c r="H3915" i="1"/>
  <c r="H3258" i="1"/>
  <c r="H3576" i="1"/>
  <c r="H2639" i="1"/>
  <c r="H3121" i="1"/>
  <c r="H3418" i="1"/>
  <c r="H4149" i="1"/>
  <c r="H3583" i="1"/>
  <c r="H2806" i="1"/>
  <c r="H801" i="1"/>
  <c r="H1400" i="1"/>
  <c r="H915" i="1"/>
  <c r="H1810" i="1"/>
  <c r="H2085" i="1"/>
  <c r="H2510" i="1"/>
  <c r="H4891" i="1"/>
  <c r="H2700" i="1"/>
  <c r="H3073" i="1"/>
  <c r="H5121" i="1"/>
  <c r="H2594" i="1"/>
  <c r="H3011" i="1"/>
  <c r="H4937" i="1"/>
  <c r="H2679" i="1"/>
  <c r="H3274" i="1"/>
  <c r="H4814" i="1"/>
  <c r="H5012" i="1"/>
  <c r="H3211" i="1"/>
  <c r="H2137" i="1"/>
  <c r="H3361" i="1"/>
  <c r="H3694" i="1"/>
  <c r="H2790" i="1"/>
  <c r="H1504" i="1"/>
  <c r="H3325" i="1"/>
  <c r="H4792" i="1"/>
  <c r="H385" i="1"/>
  <c r="H1677" i="1"/>
  <c r="H4899" i="1"/>
  <c r="H293" i="1"/>
  <c r="H1935" i="1"/>
  <c r="H3124" i="1"/>
  <c r="H842" i="1"/>
  <c r="H880" i="1"/>
  <c r="H919" i="1"/>
  <c r="H3746" i="1"/>
  <c r="H4236" i="1"/>
  <c r="H2896" i="1"/>
  <c r="H2520" i="1"/>
  <c r="H3795" i="1"/>
  <c r="H4787" i="1"/>
  <c r="H938" i="1"/>
  <c r="H2763" i="1"/>
  <c r="H1662" i="1"/>
  <c r="H3871" i="1"/>
  <c r="H2924" i="1"/>
  <c r="H1556" i="1"/>
  <c r="H311" i="1"/>
  <c r="H2311" i="1"/>
  <c r="H696" i="1"/>
  <c r="H2568" i="1"/>
  <c r="H2574" i="1"/>
  <c r="H310" i="1"/>
  <c r="H1002" i="1"/>
  <c r="H4265" i="1"/>
  <c r="H2104" i="1"/>
  <c r="H191" i="1"/>
  <c r="H4434" i="1"/>
  <c r="H1726" i="1"/>
  <c r="H4215" i="1"/>
  <c r="H2706" i="1"/>
  <c r="H3069" i="1"/>
  <c r="H324" i="1"/>
  <c r="H2123" i="1"/>
  <c r="H4984" i="1"/>
  <c r="H2853" i="1"/>
  <c r="H4613" i="1"/>
  <c r="H2901" i="1"/>
  <c r="H2276" i="1"/>
  <c r="H3234" i="1"/>
  <c r="H946" i="1"/>
  <c r="H2258" i="1"/>
  <c r="H1032" i="1"/>
  <c r="H4890" i="1"/>
  <c r="H4496" i="1"/>
  <c r="H1746" i="1"/>
  <c r="H4322" i="1"/>
  <c r="H3510" i="1"/>
  <c r="H2737" i="1"/>
  <c r="H5086" i="1"/>
  <c r="H705" i="1"/>
  <c r="H843" i="1"/>
  <c r="H4018" i="1"/>
  <c r="H3306" i="1"/>
  <c r="H5053" i="1"/>
  <c r="H4126" i="1"/>
  <c r="H4908" i="1"/>
  <c r="H1708" i="1"/>
  <c r="H3037" i="1"/>
  <c r="H874" i="1"/>
  <c r="H3535" i="1"/>
  <c r="H4298" i="1"/>
  <c r="H721" i="1"/>
  <c r="H4375" i="1"/>
  <c r="H3727" i="1"/>
  <c r="H3788" i="1"/>
  <c r="H892" i="1"/>
  <c r="H877" i="1"/>
  <c r="H1978" i="1"/>
  <c r="H2035" i="1"/>
  <c r="H2101" i="1"/>
  <c r="H3048" i="1"/>
  <c r="H5003" i="1"/>
  <c r="H1219" i="1"/>
  <c r="H349" i="1"/>
  <c r="H4747" i="1"/>
  <c r="H2098" i="1"/>
  <c r="H1325" i="1"/>
  <c r="H4524" i="1"/>
  <c r="H3083" i="1"/>
  <c r="H4442" i="1"/>
  <c r="H1931" i="1"/>
  <c r="H2108" i="1"/>
  <c r="H611" i="1"/>
  <c r="H5072" i="1"/>
  <c r="H276" i="1"/>
  <c r="H2186" i="1"/>
  <c r="H4999" i="1"/>
  <c r="H4968" i="1"/>
  <c r="H112" i="1"/>
  <c r="H16" i="1"/>
  <c r="H3827" i="1"/>
  <c r="H2312" i="1"/>
  <c r="H5084" i="1"/>
  <c r="H4759" i="1"/>
  <c r="H1866" i="1"/>
  <c r="H4475" i="1"/>
  <c r="H159" i="1"/>
  <c r="H2441" i="1"/>
  <c r="H2784" i="1"/>
  <c r="H186" i="1"/>
  <c r="H1565" i="1"/>
  <c r="H3232" i="1"/>
  <c r="H2314" i="1"/>
  <c r="H2872" i="1"/>
  <c r="H3373" i="1"/>
  <c r="H5178" i="1"/>
  <c r="H485" i="1"/>
  <c r="H559" i="1"/>
  <c r="H2791" i="1"/>
  <c r="H1310" i="1"/>
  <c r="H4951" i="1"/>
  <c r="H1231" i="1"/>
  <c r="H4155" i="1"/>
  <c r="H4151" i="1"/>
  <c r="H4643" i="1"/>
  <c r="H2640" i="1"/>
  <c r="H3472" i="1"/>
  <c r="H5180" i="1"/>
  <c r="H285" i="1"/>
  <c r="H2117" i="1"/>
  <c r="H4936" i="1"/>
  <c r="H1713" i="1"/>
  <c r="H1336" i="1"/>
  <c r="H1783" i="1"/>
  <c r="H2053" i="1"/>
  <c r="H660" i="1"/>
  <c r="H928" i="1"/>
  <c r="H4296" i="1"/>
  <c r="H4349" i="1"/>
  <c r="H5047" i="1"/>
  <c r="H2294" i="1"/>
  <c r="H4231" i="1"/>
  <c r="H4631" i="1"/>
  <c r="H4351" i="1"/>
  <c r="H5033" i="1"/>
  <c r="H1541" i="1"/>
  <c r="H2485" i="1"/>
  <c r="H4264" i="1"/>
  <c r="H1389" i="1"/>
  <c r="H3199" i="1"/>
  <c r="H2347" i="1"/>
  <c r="H1877" i="1"/>
  <c r="H3811" i="1"/>
  <c r="H3068" i="1"/>
  <c r="H2739" i="1"/>
  <c r="H2043" i="1"/>
  <c r="H201" i="1"/>
  <c r="H3582" i="1"/>
  <c r="H4004" i="1"/>
  <c r="H1416" i="1"/>
  <c r="H2461" i="1"/>
  <c r="H2671" i="1"/>
  <c r="H1267" i="1"/>
  <c r="H3894" i="1"/>
  <c r="H3720" i="1"/>
  <c r="H3475" i="1"/>
  <c r="H662" i="1"/>
  <c r="H980" i="1"/>
  <c r="H4898" i="1"/>
  <c r="H4448" i="1"/>
  <c r="H5199" i="1"/>
  <c r="H1516" i="1"/>
  <c r="H1871" i="1"/>
  <c r="H3908" i="1"/>
  <c r="H4402" i="1"/>
  <c r="H373" i="1"/>
  <c r="H3558" i="1"/>
  <c r="H2519" i="1"/>
  <c r="H5241" i="1"/>
  <c r="H2068" i="1"/>
  <c r="H2295" i="1"/>
  <c r="H4565" i="1"/>
  <c r="H5191" i="1"/>
  <c r="H4879" i="1"/>
  <c r="H2693" i="1"/>
  <c r="H814" i="1"/>
  <c r="H3146" i="1"/>
  <c r="H3769" i="1"/>
  <c r="H4329" i="1"/>
  <c r="H3784" i="1"/>
  <c r="H2372" i="1"/>
  <c r="H2366" i="1"/>
  <c r="H1326" i="1"/>
  <c r="H4241" i="1"/>
  <c r="H2348" i="1"/>
  <c r="H2402" i="1"/>
  <c r="H3288" i="1"/>
  <c r="H2095" i="1"/>
  <c r="H4357" i="1"/>
  <c r="H1117" i="1"/>
  <c r="H1478" i="1"/>
  <c r="H34" i="1"/>
  <c r="H5017" i="1"/>
  <c r="H1657" i="1"/>
  <c r="H4622" i="1"/>
  <c r="H2690" i="1"/>
  <c r="H4309" i="1"/>
  <c r="H2623" i="1"/>
  <c r="H3101" i="1"/>
  <c r="H997" i="1"/>
  <c r="H3138" i="1"/>
  <c r="H5217" i="1"/>
  <c r="H7" i="1"/>
  <c r="H3646" i="1"/>
  <c r="H200" i="1"/>
  <c r="H3012" i="1"/>
  <c r="H3602" i="1"/>
  <c r="H1591" i="1"/>
  <c r="H4626" i="1"/>
  <c r="H2514" i="1"/>
  <c r="H4829" i="1"/>
  <c r="H925" i="1"/>
  <c r="H3414" i="1"/>
  <c r="H2724" i="1"/>
  <c r="H1251" i="1"/>
  <c r="H4007" i="1"/>
  <c r="H3960" i="1"/>
  <c r="H162" i="1"/>
  <c r="H3623" i="1"/>
  <c r="H3129" i="1"/>
  <c r="H1465" i="1"/>
  <c r="H2957" i="1"/>
  <c r="H1192" i="1"/>
  <c r="H4260" i="1"/>
  <c r="H3236" i="1"/>
  <c r="H3294" i="1"/>
  <c r="H2602" i="1"/>
  <c r="H5161" i="1"/>
  <c r="H1885" i="1"/>
  <c r="H3164" i="1"/>
  <c r="H1295" i="1"/>
  <c r="H1471" i="1"/>
  <c r="H1658" i="1"/>
  <c r="H3348" i="1"/>
  <c r="H261" i="1"/>
  <c r="H2904" i="1"/>
  <c r="H4712" i="1"/>
  <c r="H4072" i="1"/>
  <c r="H1371" i="1"/>
  <c r="H1533" i="1"/>
  <c r="H759" i="1"/>
  <c r="H5234" i="1"/>
  <c r="H217" i="1"/>
  <c r="H2963" i="1"/>
  <c r="H3207" i="1"/>
  <c r="H978" i="1"/>
  <c r="H4633" i="1"/>
  <c r="H4520" i="1"/>
  <c r="H5139" i="1"/>
  <c r="H2776" i="1"/>
  <c r="H2755" i="1"/>
  <c r="H124" i="1"/>
  <c r="H4781" i="1"/>
  <c r="H2929" i="1"/>
  <c r="H2241" i="1"/>
  <c r="H2206" i="1"/>
  <c r="H4583" i="1"/>
  <c r="H2279" i="1"/>
  <c r="H522" i="1"/>
  <c r="H246" i="1"/>
  <c r="H3776" i="1"/>
  <c r="H633" i="1"/>
  <c r="H1315" i="1"/>
  <c r="H3692" i="1"/>
  <c r="H90" i="1"/>
  <c r="H1626" i="1"/>
  <c r="H682" i="1"/>
  <c r="H2435" i="1"/>
  <c r="H1190" i="1"/>
  <c r="H4634" i="1"/>
  <c r="H1695" i="1"/>
  <c r="H1913" i="1"/>
  <c r="H653" i="1"/>
  <c r="H4828" i="1"/>
  <c r="H1126" i="1"/>
  <c r="H3040" i="1"/>
  <c r="H127" i="1"/>
  <c r="H3042" i="1"/>
  <c r="H480" i="1"/>
  <c r="H670" i="1"/>
  <c r="H4530" i="1"/>
  <c r="H269" i="1"/>
  <c r="H2103" i="1"/>
  <c r="H1598" i="1"/>
  <c r="H92" i="1"/>
  <c r="H3482" i="1"/>
  <c r="H4763" i="1"/>
  <c r="H4157" i="1"/>
  <c r="H3633" i="1"/>
  <c r="H4184" i="1"/>
  <c r="H4506" i="1"/>
  <c r="H3340" i="1"/>
  <c r="H709" i="1"/>
  <c r="H2525" i="1"/>
  <c r="H1939" i="1"/>
  <c r="H4082" i="1"/>
  <c r="H4512" i="1"/>
  <c r="H3218" i="1"/>
  <c r="H4341" i="1"/>
  <c r="H432" i="1"/>
  <c r="H4658" i="1"/>
  <c r="H5236" i="1"/>
  <c r="H4047" i="1"/>
  <c r="H3964" i="1"/>
  <c r="H4350" i="1"/>
  <c r="H4369" i="1"/>
  <c r="H2460" i="1"/>
  <c r="H4587" i="1"/>
  <c r="H2459" i="1"/>
  <c r="H4939" i="1"/>
  <c r="H2708" i="1"/>
  <c r="H4982" i="1"/>
  <c r="H1069" i="1"/>
  <c r="H3311" i="1"/>
  <c r="H4203" i="1"/>
  <c r="H1893" i="1"/>
  <c r="H3665" i="1"/>
  <c r="H2559" i="1"/>
  <c r="H800" i="1"/>
  <c r="H222" i="1"/>
  <c r="H2613" i="1"/>
  <c r="H514" i="1"/>
  <c r="H3698" i="1"/>
  <c r="H4924" i="1"/>
  <c r="H2083" i="1"/>
  <c r="H4699" i="1"/>
  <c r="H4917" i="1"/>
  <c r="H3346" i="1"/>
  <c r="H4424" i="1"/>
  <c r="H3496" i="1"/>
  <c r="H3092" i="1"/>
  <c r="H3972" i="1"/>
  <c r="H1637" i="1"/>
  <c r="H2256" i="1"/>
  <c r="H4240" i="1"/>
  <c r="H4630" i="1"/>
  <c r="H4950" i="1"/>
  <c r="H4302" i="1"/>
  <c r="H3564" i="1"/>
  <c r="H647" i="1"/>
  <c r="H551" i="1"/>
  <c r="H4160" i="1"/>
  <c r="H3135" i="1"/>
  <c r="H1226" i="1"/>
  <c r="H4464" i="1"/>
  <c r="H142" i="1"/>
  <c r="H4671" i="1"/>
  <c r="H466" i="1"/>
  <c r="H42" i="1"/>
  <c r="H4952" i="1"/>
  <c r="H3707" i="1"/>
  <c r="H1346" i="1"/>
  <c r="H43" i="1"/>
  <c r="H1907" i="1"/>
  <c r="H4967" i="1"/>
  <c r="H1129" i="1"/>
  <c r="H3366" i="1"/>
  <c r="H1554" i="1"/>
  <c r="H567" i="1"/>
  <c r="H2527" i="1"/>
  <c r="H2020" i="1"/>
  <c r="H3914" i="1"/>
  <c r="H2332" i="1"/>
  <c r="H694" i="1"/>
  <c r="H3567" i="1"/>
  <c r="H437" i="1"/>
  <c r="H2210" i="1"/>
  <c r="H3005" i="1"/>
  <c r="H686" i="1"/>
  <c r="H784" i="1"/>
  <c r="H497" i="1"/>
  <c r="H2614" i="1"/>
  <c r="H3034" i="1"/>
  <c r="H109" i="1"/>
  <c r="H720" i="1"/>
  <c r="H306" i="1"/>
  <c r="H3537" i="1"/>
  <c r="H2780" i="1"/>
  <c r="H5173" i="1"/>
  <c r="H4279" i="1"/>
  <c r="H1102" i="1"/>
  <c r="H145" i="1"/>
  <c r="H3903" i="1"/>
  <c r="H1191" i="1"/>
  <c r="H4428" i="1"/>
  <c r="H930" i="1"/>
  <c r="H4008" i="1"/>
  <c r="H2578" i="1"/>
  <c r="H4641" i="1"/>
  <c r="H3214" i="1"/>
  <c r="H3175" i="1"/>
  <c r="H1867" i="1"/>
  <c r="H81" i="1"/>
  <c r="H3529" i="1"/>
  <c r="H1176" i="1"/>
  <c r="H5041" i="1"/>
  <c r="H1785" i="1"/>
  <c r="H2380" i="1"/>
  <c r="H2213" i="1"/>
  <c r="H2330" i="1"/>
  <c r="H31" i="1"/>
  <c r="H1998" i="1"/>
  <c r="H4174" i="1"/>
  <c r="H408" i="1"/>
  <c r="H932" i="1"/>
  <c r="H4662" i="1"/>
  <c r="H2847" i="1"/>
  <c r="H5068" i="1"/>
  <c r="H1683" i="1"/>
  <c r="H821" i="1"/>
  <c r="H5145" i="1"/>
  <c r="H4444" i="1"/>
  <c r="H325" i="1"/>
  <c r="H4247" i="1"/>
  <c r="H1378" i="1"/>
  <c r="H818" i="1"/>
  <c r="H59" i="1"/>
  <c r="H1798" i="1"/>
  <c r="H1457" i="1"/>
  <c r="H2172" i="1"/>
  <c r="H3371" i="1"/>
  <c r="H3277" i="1"/>
  <c r="H1770" i="1"/>
  <c r="H614" i="1"/>
  <c r="H3936" i="1"/>
  <c r="H3909" i="1"/>
  <c r="H1112" i="1"/>
  <c r="H3929" i="1"/>
  <c r="H3649" i="1"/>
  <c r="H4535" i="1"/>
  <c r="H3334" i="1"/>
  <c r="H1711" i="1"/>
  <c r="H3979" i="1"/>
  <c r="H3688" i="1"/>
  <c r="H3504" i="1"/>
  <c r="H359" i="1"/>
  <c r="H3925" i="1"/>
  <c r="H2648" i="1"/>
  <c r="H1359" i="1"/>
  <c r="H1804" i="1"/>
  <c r="H1896" i="1"/>
  <c r="H1434" i="1"/>
  <c r="H1519" i="1"/>
  <c r="H3543" i="1"/>
  <c r="H54" i="1"/>
  <c r="H41" i="1"/>
  <c r="H3947" i="1"/>
  <c r="H130" i="1"/>
  <c r="H950" i="1"/>
  <c r="H830" i="1"/>
  <c r="H1163" i="1"/>
  <c r="H4176" i="1"/>
  <c r="H2515" i="1"/>
  <c r="H397" i="1"/>
  <c r="H2417" i="1"/>
  <c r="H668" i="1"/>
  <c r="H4183" i="1"/>
  <c r="H1307" i="1"/>
  <c r="H4132" i="1"/>
  <c r="H4981" i="1"/>
  <c r="H2280" i="1"/>
  <c r="H2954" i="1"/>
  <c r="H2581" i="1"/>
  <c r="H4889" i="1"/>
  <c r="H4396" i="1"/>
  <c r="H3393" i="1"/>
  <c r="H1981" i="1"/>
  <c r="H2205" i="1"/>
  <c r="H518" i="1"/>
  <c r="H3494" i="1"/>
  <c r="H3617" i="1"/>
  <c r="H2830" i="1"/>
  <c r="H1349" i="1"/>
  <c r="H1375" i="1"/>
  <c r="H3511" i="1"/>
  <c r="H1927" i="1"/>
  <c r="H4707" i="1"/>
  <c r="H4603" i="1"/>
  <c r="H1719" i="1"/>
  <c r="H2973" i="1"/>
  <c r="H3431" i="1"/>
  <c r="H4768" i="1"/>
  <c r="H3802" i="1"/>
  <c r="H3391" i="1"/>
  <c r="H369" i="1"/>
  <c r="H279" i="1"/>
  <c r="H1900" i="1"/>
  <c r="H4670" i="1"/>
  <c r="H3652" i="1"/>
  <c r="H2531" i="1"/>
  <c r="H1678" i="1"/>
  <c r="H1493" i="1"/>
  <c r="H5183" i="1"/>
  <c r="H5004" i="1"/>
  <c r="H2699" i="1"/>
  <c r="H4262" i="1"/>
  <c r="H4457" i="1"/>
  <c r="H4085" i="1"/>
  <c r="H4379" i="1"/>
  <c r="H1146" i="1"/>
  <c r="H3404" i="1"/>
  <c r="H1025" i="1"/>
  <c r="H1245" i="1"/>
  <c r="H3302" i="1"/>
  <c r="H4439" i="1"/>
  <c r="H2140" i="1"/>
  <c r="H3985" i="1"/>
  <c r="H4912" i="1"/>
  <c r="H375" i="1"/>
  <c r="H251" i="1"/>
  <c r="H3252" i="1"/>
  <c r="H4031" i="1"/>
  <c r="H3064" i="1"/>
  <c r="H1318" i="1"/>
  <c r="H2810" i="1"/>
  <c r="H1865" i="1"/>
  <c r="H937" i="1"/>
  <c r="H795" i="1"/>
  <c r="H2029" i="1"/>
  <c r="H72" i="1"/>
  <c r="H4080" i="1"/>
  <c r="H5225" i="1"/>
  <c r="H2196" i="1"/>
  <c r="H207" i="1"/>
  <c r="H1412" i="1"/>
  <c r="H1799" i="1"/>
  <c r="H2500" i="1"/>
  <c r="H1164" i="1"/>
  <c r="H2934" i="1"/>
  <c r="H2102" i="1"/>
  <c r="H1911" i="1"/>
  <c r="H4809" i="1"/>
  <c r="H692" i="1"/>
  <c r="H3838" i="1"/>
  <c r="H4831" i="1"/>
  <c r="H1410" i="1"/>
  <c r="H608" i="1"/>
  <c r="H1328" i="1"/>
  <c r="H767" i="1"/>
  <c r="H2404" i="1"/>
  <c r="H3491" i="1"/>
  <c r="H4897" i="1"/>
  <c r="H2422" i="1"/>
  <c r="H2302" i="1"/>
  <c r="H2138" i="1"/>
  <c r="H4702" i="1"/>
  <c r="H2475" i="1"/>
  <c r="H1758" i="1"/>
  <c r="H3580" i="1"/>
  <c r="H111" i="1"/>
  <c r="H699" i="1"/>
  <c r="H2598" i="1"/>
  <c r="H5019" i="1"/>
  <c r="H1706" i="1"/>
  <c r="H3661" i="1"/>
  <c r="H4688" i="1"/>
  <c r="H1897" i="1"/>
  <c r="H24" i="1"/>
  <c r="H4315" i="1"/>
  <c r="H4002" i="1"/>
  <c r="H3459" i="1"/>
  <c r="H1769" i="1"/>
  <c r="H1610" i="1"/>
  <c r="H2875" i="1"/>
  <c r="H3489" i="1"/>
  <c r="H5148" i="1"/>
  <c r="H2710" i="1"/>
  <c r="H4067" i="1"/>
  <c r="H3213" i="1"/>
  <c r="H2284" i="1"/>
  <c r="H576" i="1"/>
  <c r="H2042" i="1"/>
  <c r="H58" i="1"/>
  <c r="H4100" i="1"/>
  <c r="H4849" i="1"/>
  <c r="H4637" i="1"/>
  <c r="H421" i="1"/>
  <c r="H3128" i="1"/>
  <c r="H3616" i="1"/>
  <c r="H798" i="1"/>
  <c r="H1286" i="1"/>
  <c r="H3748" i="1"/>
  <c r="H2254" i="1"/>
  <c r="H2234" i="1"/>
  <c r="H2264" i="1"/>
  <c r="H4963" i="1"/>
  <c r="H350" i="1"/>
  <c r="H1000" i="1"/>
  <c r="H762" i="1"/>
  <c r="H1513" i="1"/>
  <c r="H5018" i="1"/>
  <c r="H4218" i="1"/>
  <c r="H1379" i="1"/>
  <c r="H5029" i="1"/>
  <c r="H2120" i="1"/>
  <c r="H3028" i="1"/>
  <c r="H1507" i="1"/>
  <c r="H1143" i="1"/>
  <c r="H442" i="1"/>
  <c r="H1569" i="1"/>
  <c r="H4055" i="1"/>
  <c r="H5167" i="1"/>
  <c r="H3897" i="1"/>
  <c r="H2778" i="1"/>
  <c r="H4117" i="1"/>
  <c r="H4841" i="1"/>
  <c r="H2182" i="1"/>
  <c r="H911" i="1"/>
  <c r="H2433" i="1"/>
  <c r="H4907" i="1"/>
  <c r="H4988" i="1"/>
  <c r="H206" i="1"/>
  <c r="H1030" i="1"/>
  <c r="H4032" i="1"/>
  <c r="H1272" i="1"/>
  <c r="H2044" i="1"/>
  <c r="H2166" i="1"/>
  <c r="H4036" i="1"/>
  <c r="H3120" i="1"/>
  <c r="H1851" i="1"/>
  <c r="H4561" i="1"/>
  <c r="H697" i="1"/>
  <c r="H4096" i="1"/>
  <c r="H1385" i="1"/>
  <c r="H4892" i="1"/>
  <c r="H4600" i="1"/>
  <c r="H3655" i="1"/>
  <c r="H1848" i="1"/>
  <c r="H3437" i="1"/>
  <c r="H3525" i="1"/>
  <c r="H4035" i="1"/>
  <c r="H2469" i="1"/>
  <c r="H5153" i="1"/>
  <c r="H2931" i="1"/>
  <c r="H753" i="1"/>
  <c r="H1096" i="1"/>
  <c r="H3360" i="1"/>
  <c r="H5087" i="1"/>
  <c r="H4365" i="1"/>
  <c r="H575" i="1"/>
  <c r="H3071" i="1"/>
  <c r="H1136" i="1"/>
  <c r="H848" i="1"/>
  <c r="H3248" i="1"/>
  <c r="H319" i="1"/>
  <c r="H4730" i="1"/>
  <c r="H489" i="1"/>
  <c r="H5151" i="1"/>
  <c r="H84" i="1"/>
  <c r="H4061" i="1"/>
  <c r="H1732" i="1"/>
  <c r="H1599" i="1"/>
  <c r="H5226" i="1"/>
  <c r="H3460" i="1"/>
  <c r="H3645" i="1"/>
  <c r="H196" i="1"/>
  <c r="H4644" i="1"/>
  <c r="H3713" i="1"/>
  <c r="H4593" i="1"/>
  <c r="H680" i="1"/>
  <c r="H1582" i="1"/>
  <c r="H218" i="1"/>
  <c r="H599" i="1"/>
  <c r="H1320" i="1"/>
  <c r="H2472" i="1"/>
  <c r="H3122" i="1"/>
  <c r="H2711" i="1"/>
  <c r="H4714" i="1"/>
  <c r="H1352" i="1"/>
  <c r="H873" i="1"/>
  <c r="H4470" i="1"/>
  <c r="H849" i="1"/>
  <c r="H1228" i="1"/>
  <c r="H3406" i="1"/>
  <c r="H4086" i="1"/>
  <c r="H4834" i="1"/>
  <c r="H4103" i="1"/>
  <c r="H1121" i="1"/>
  <c r="H28" i="1"/>
  <c r="H869" i="1"/>
  <c r="H400" i="1"/>
  <c r="H2239" i="1"/>
  <c r="H644" i="1"/>
  <c r="H4391" i="1"/>
  <c r="H2754" i="1"/>
  <c r="H4062" i="1"/>
  <c r="H4083" i="1"/>
  <c r="H4779" i="1"/>
  <c r="H139" i="1"/>
  <c r="H4219" i="1"/>
  <c r="H2444" i="1"/>
  <c r="H1056" i="1"/>
  <c r="H867" i="1"/>
  <c r="H565" i="1"/>
  <c r="H2802" i="1"/>
  <c r="H1066" i="1"/>
  <c r="H3857" i="1"/>
  <c r="H1749" i="1"/>
  <c r="H255" i="1"/>
  <c r="H2395" i="1"/>
  <c r="H1797" i="1"/>
  <c r="H3534" i="1"/>
  <c r="H2045" i="1"/>
  <c r="H1223" i="1"/>
  <c r="H1368" i="1"/>
  <c r="H2936" i="1"/>
  <c r="H56" i="1"/>
  <c r="H2317" i="1"/>
  <c r="H1055" i="1"/>
  <c r="H2752" i="1"/>
  <c r="H275" i="1"/>
  <c r="H4577" i="1"/>
  <c r="H3793" i="1"/>
  <c r="H136" i="1"/>
  <c r="H8" i="1"/>
  <c r="H3029" i="1"/>
  <c r="H398" i="1"/>
  <c r="H1765" i="1"/>
  <c r="H3401" i="1"/>
  <c r="H1510" i="1"/>
  <c r="H3461" i="1"/>
  <c r="H4642" i="1"/>
  <c r="H4109" i="1"/>
  <c r="H97" i="1"/>
  <c r="H3119" i="1"/>
  <c r="H2287" i="1"/>
  <c r="H456" i="1"/>
  <c r="H496" i="1"/>
  <c r="H2231" i="1"/>
  <c r="H4638" i="1"/>
  <c r="H4122" i="1"/>
  <c r="H2155" i="1"/>
  <c r="H2986" i="1"/>
  <c r="H5026" i="1"/>
  <c r="H5152" i="1"/>
  <c r="H3557" i="1"/>
  <c r="H2743" i="1"/>
  <c r="H556" i="1"/>
  <c r="H604" i="1"/>
  <c r="H2530" i="1"/>
  <c r="H5146" i="1"/>
  <c r="H79" i="1"/>
  <c r="H3266" i="1"/>
  <c r="H2342" i="1"/>
  <c r="H2501" i="1"/>
  <c r="H3924" i="1"/>
  <c r="H2061" i="1"/>
  <c r="H4755" i="1"/>
  <c r="H1698" i="1"/>
  <c r="H1687" i="1"/>
  <c r="H5043" i="1"/>
  <c r="H3785" i="1"/>
  <c r="H3905" i="1"/>
  <c r="H4839" i="1"/>
  <c r="H1721" i="1"/>
  <c r="H321" i="1"/>
  <c r="H1098" i="1"/>
  <c r="H841" i="1"/>
  <c r="H1174" i="1"/>
  <c r="H3794" i="1"/>
  <c r="H702" i="1"/>
  <c r="H3341" i="1"/>
  <c r="H4338" i="1"/>
  <c r="H3673" i="1"/>
  <c r="H1104" i="1"/>
  <c r="H5105" i="1"/>
  <c r="H1793" i="1"/>
  <c r="H5035" i="1"/>
  <c r="H3338" i="1"/>
  <c r="H2692" i="1"/>
  <c r="H1831" i="1"/>
  <c r="H1868" i="1"/>
  <c r="H4504" i="1"/>
  <c r="H1161" i="1"/>
  <c r="H3883" i="1"/>
  <c r="H3574" i="1"/>
  <c r="H1341" i="1"/>
  <c r="H1059" i="1"/>
  <c r="H4114" i="1"/>
  <c r="H3584" i="1"/>
  <c r="H3928" i="1"/>
  <c r="H2048" i="1"/>
  <c r="H3046" i="1"/>
  <c r="H2608" i="1"/>
  <c r="H2561" i="1"/>
  <c r="H725" i="1"/>
  <c r="H3270" i="1"/>
  <c r="H4146" i="1"/>
  <c r="H2588" i="1"/>
  <c r="H607" i="1"/>
  <c r="H2394" i="1"/>
  <c r="H1796" i="1"/>
  <c r="H2664" i="1"/>
  <c r="H3109" i="1"/>
  <c r="H746" i="1"/>
  <c r="H2071" i="1"/>
  <c r="H5201" i="1"/>
  <c r="H4044" i="1"/>
  <c r="H1093" i="1"/>
  <c r="H2111" i="1"/>
  <c r="H3025" i="1"/>
  <c r="H114" i="1"/>
  <c r="H4381" i="1"/>
  <c r="H1944" i="1"/>
  <c r="H1431" i="1"/>
  <c r="H178" i="1"/>
  <c r="H83" i="1"/>
  <c r="H4881" i="1"/>
  <c r="H3581" i="1"/>
  <c r="H3188" i="1"/>
  <c r="H4418" i="1"/>
  <c r="H5081" i="1"/>
  <c r="H5228" i="1"/>
  <c r="H1837" i="1"/>
  <c r="H3009" i="1"/>
  <c r="H2370" i="1"/>
  <c r="H648" i="1"/>
  <c r="H4049" i="1"/>
  <c r="H4404" i="1"/>
  <c r="H589" i="1"/>
  <c r="H3608" i="1"/>
  <c r="H4592" i="1"/>
  <c r="H4232" i="1"/>
  <c r="H2937" i="1"/>
  <c r="H657" i="1"/>
  <c r="H2070" i="1"/>
  <c r="H177" i="1"/>
  <c r="H1288" i="1"/>
  <c r="H2367" i="1"/>
  <c r="H2715" i="1"/>
  <c r="H5006" i="1"/>
  <c r="H2549" i="1"/>
  <c r="H1660" i="1"/>
  <c r="H5140" i="1"/>
  <c r="H3021" i="1"/>
  <c r="H3076" i="1"/>
  <c r="H823" i="1"/>
  <c r="H508" i="1"/>
  <c r="H661" i="1"/>
  <c r="H596" i="1"/>
  <c r="H5073" i="1"/>
  <c r="H3901" i="1"/>
  <c r="H4179" i="1"/>
  <c r="H74" i="1"/>
  <c r="H2353" i="1"/>
  <c r="H2255" i="1"/>
  <c r="H5171" i="1"/>
  <c r="H354" i="1"/>
  <c r="H3220" i="1"/>
  <c r="H4758" i="1"/>
  <c r="H4230" i="1"/>
  <c r="H1438" i="1"/>
  <c r="H5237" i="1"/>
  <c r="H4276" i="1"/>
  <c r="H1937" i="1"/>
  <c r="H1964" i="1"/>
  <c r="H5164" i="1"/>
  <c r="H5088" i="1"/>
  <c r="H1520" i="1"/>
  <c r="H2047" i="1"/>
  <c r="H309" i="1"/>
  <c r="H2198" i="1"/>
  <c r="H2237" i="1"/>
  <c r="H4406" i="1"/>
  <c r="H706" i="1"/>
  <c r="H3074" i="1"/>
  <c r="H3884" i="1"/>
  <c r="H2620" i="1"/>
  <c r="H1241" i="1"/>
  <c r="H4636" i="1"/>
  <c r="H1681" i="1"/>
  <c r="H1236" i="1"/>
  <c r="H678" i="1"/>
  <c r="H1008" i="1"/>
  <c r="H2642" i="1"/>
  <c r="H4683" i="1"/>
  <c r="H3240" i="1"/>
  <c r="H2909" i="1"/>
  <c r="H3565" i="1"/>
  <c r="H2219" i="1"/>
  <c r="H357" i="1"/>
  <c r="H3242" i="1"/>
  <c r="H3638" i="1"/>
  <c r="H1656" i="1"/>
  <c r="H2947" i="1"/>
  <c r="H1951" i="1"/>
  <c r="H564" i="1"/>
  <c r="H3874" i="1"/>
  <c r="H3449" i="1"/>
  <c r="H3751" i="1"/>
  <c r="H1690" i="1"/>
  <c r="H2987" i="1"/>
  <c r="H5210" i="1"/>
  <c r="H4166" i="1"/>
  <c r="H2756" i="1"/>
  <c r="H829" i="1"/>
  <c r="H4105" i="1"/>
  <c r="H3" i="1"/>
  <c r="H3932" i="1"/>
  <c r="H1655" i="1"/>
  <c r="H1583" i="1"/>
  <c r="H3145" i="1"/>
  <c r="H2051" i="1"/>
  <c r="H1914" i="1"/>
  <c r="H1243" i="1"/>
  <c r="H3318" i="1"/>
  <c r="H3479" i="1"/>
  <c r="H1212" i="1"/>
  <c r="H2541" i="1"/>
  <c r="H2329" i="1"/>
  <c r="H1033" i="1"/>
  <c r="H1086" i="1"/>
  <c r="H563" i="1"/>
  <c r="H4848" i="1"/>
  <c r="H3523" i="1"/>
  <c r="H4850" i="1"/>
  <c r="H2818" i="1"/>
  <c r="H5181" i="1"/>
  <c r="H2115" i="1"/>
  <c r="H2689" i="1"/>
  <c r="H278" i="1"/>
  <c r="H5133" i="1"/>
  <c r="H5059" i="1"/>
  <c r="H433" i="1"/>
  <c r="H3622" i="1"/>
  <c r="H498" i="1"/>
  <c r="H735" i="1"/>
  <c r="H2346" i="1"/>
  <c r="H4737" i="1"/>
  <c r="H3000" i="1"/>
  <c r="H2656" i="1"/>
  <c r="H3436" i="1"/>
  <c r="H2251" i="1"/>
  <c r="H3323" i="1"/>
  <c r="H780" i="1"/>
  <c r="H3315" i="1"/>
  <c r="H3607" i="1"/>
  <c r="H895" i="1"/>
  <c r="H3241" i="1"/>
  <c r="H3087" i="1"/>
  <c r="H1120" i="1"/>
  <c r="H4033" i="1"/>
  <c r="H3733" i="1"/>
  <c r="H4472" i="1"/>
  <c r="H643" i="1"/>
  <c r="H3396" i="1"/>
  <c r="H4317" i="1"/>
  <c r="H570" i="1"/>
  <c r="H1653" i="1"/>
  <c r="H4764" i="1"/>
  <c r="H1838" i="1"/>
  <c r="H2457" i="1"/>
  <c r="H2222" i="1"/>
  <c r="H2550" i="1"/>
  <c r="H957" i="1"/>
  <c r="H2659" i="1"/>
  <c r="H462" i="1"/>
  <c r="H1624" i="1"/>
  <c r="H3973" i="1"/>
  <c r="H3056" i="1"/>
  <c r="H4541" i="1"/>
  <c r="H4234" i="1"/>
  <c r="H4392" i="1"/>
  <c r="H2914" i="1"/>
  <c r="H2331" i="1"/>
  <c r="H1787" i="1"/>
  <c r="H3053" i="1"/>
  <c r="H1439" i="1"/>
  <c r="H1442" i="1"/>
  <c r="H2906" i="1"/>
  <c r="H5230" i="1"/>
  <c r="H2678" i="1"/>
  <c r="H1100" i="1"/>
  <c r="H4573" i="1"/>
  <c r="H2235" i="1"/>
  <c r="H3791" i="1"/>
  <c r="H3533" i="1"/>
  <c r="H1786" i="1"/>
  <c r="H3110" i="1"/>
  <c r="H3003" i="1"/>
  <c r="H749" i="1"/>
  <c r="H2815" i="1"/>
  <c r="H4689" i="1"/>
  <c r="H3088" i="1"/>
  <c r="H700" i="1"/>
  <c r="H4420" i="1"/>
  <c r="H1506" i="1"/>
  <c r="H3465" i="1"/>
  <c r="H308" i="1"/>
  <c r="H5130" i="1"/>
  <c r="H1133" i="1"/>
  <c r="H3206" i="1"/>
  <c r="H2523" i="1"/>
  <c r="H1242" i="1"/>
  <c r="H4718" i="1"/>
  <c r="H1453" i="1"/>
  <c r="H4801" i="1"/>
  <c r="H4101" i="1"/>
  <c r="H4555" i="1"/>
  <c r="H3693" i="1"/>
  <c r="H358" i="1"/>
  <c r="H188" i="1"/>
  <c r="H2240" i="1"/>
  <c r="H1221" i="1"/>
  <c r="H3603" i="1"/>
  <c r="H1729" i="1"/>
  <c r="H420" i="1"/>
  <c r="H924" i="1"/>
  <c r="H2305" i="1"/>
  <c r="H2107" i="1"/>
  <c r="H3907" i="1"/>
  <c r="H3305" i="1"/>
  <c r="H62" i="1"/>
  <c r="H4810" i="1"/>
  <c r="H2339" i="1"/>
  <c r="H4451" i="1"/>
  <c r="H4346" i="1"/>
  <c r="H4152" i="1"/>
  <c r="H2919" i="1"/>
  <c r="H592" i="1"/>
  <c r="H2128" i="1"/>
  <c r="H2844" i="1"/>
  <c r="H2667" i="1"/>
  <c r="H394" i="1"/>
  <c r="H4328" i="1"/>
  <c r="H3102" i="1"/>
  <c r="H1919" i="1"/>
  <c r="H2804" i="1"/>
  <c r="H1922" i="1"/>
  <c r="H756" i="1"/>
  <c r="H4844" i="1"/>
  <c r="H1115" i="1"/>
  <c r="H3189" i="1"/>
  <c r="H95" i="1"/>
  <c r="H5179" i="1"/>
  <c r="H1155" i="1"/>
  <c r="H4304" i="1"/>
  <c r="H4817" i="1"/>
  <c r="H4728" i="1"/>
  <c r="H865" i="1"/>
  <c r="H4316" i="1"/>
  <c r="H2113" i="1"/>
  <c r="H1240" i="1"/>
  <c r="H2864" i="1"/>
  <c r="H675" i="1"/>
  <c r="H172" i="1"/>
  <c r="H353" i="1"/>
  <c r="H3940" i="1"/>
  <c r="H5232" i="1"/>
  <c r="H2845" i="1"/>
  <c r="H512" i="1"/>
  <c r="H5218" i="1"/>
  <c r="H1270" i="1"/>
  <c r="H655" i="1"/>
  <c r="H1890" i="1"/>
  <c r="H597" i="1"/>
  <c r="H1211" i="1"/>
  <c r="H3761" i="1"/>
  <c r="H5036" i="1"/>
  <c r="H3281" i="1"/>
  <c r="H3869" i="1"/>
  <c r="H4196" i="1"/>
  <c r="H300" i="1"/>
  <c r="H888" i="1"/>
  <c r="H1633" i="1"/>
  <c r="H1906" i="1"/>
  <c r="H4386" i="1"/>
  <c r="H2805" i="1"/>
  <c r="H2974" i="1"/>
  <c r="H4840" i="1"/>
  <c r="H2560" i="1"/>
  <c r="H5098" i="1"/>
  <c r="H2032" i="1"/>
  <c r="H3549" i="1"/>
  <c r="H1160" i="1"/>
  <c r="H4079" i="1"/>
  <c r="H656" i="1"/>
  <c r="H4293" i="1"/>
  <c r="H3171" i="1"/>
  <c r="H600" i="1"/>
  <c r="H3077" i="1"/>
  <c r="H3836" i="1"/>
  <c r="H717" i="1"/>
  <c r="H860" i="1"/>
  <c r="H1987" i="1"/>
  <c r="H2208" i="1"/>
  <c r="H3103" i="1"/>
  <c r="H2579" i="1"/>
  <c r="H2892" i="1"/>
  <c r="H3782" i="1"/>
  <c r="H4715" i="1"/>
  <c r="H4497" i="1"/>
  <c r="H5219" i="1"/>
  <c r="H4635" i="1"/>
  <c r="H4655" i="1"/>
  <c r="H2308" i="1"/>
  <c r="H1920" i="1"/>
  <c r="H1754" i="1"/>
  <c r="H3599" i="1"/>
  <c r="H2405" i="1"/>
  <c r="H974" i="1"/>
  <c r="H3446" i="1"/>
  <c r="H2151" i="1"/>
  <c r="H3185" i="1"/>
  <c r="H3114" i="1"/>
  <c r="H4694" i="1"/>
  <c r="H429" i="1"/>
  <c r="H1938" i="1"/>
  <c r="H3352" i="1"/>
  <c r="H317" i="1"/>
  <c r="H2522" i="1"/>
  <c r="H973" i="1"/>
  <c r="H3070" i="1"/>
  <c r="H2874" i="1"/>
  <c r="H3490" i="1"/>
  <c r="H4191" i="1"/>
  <c r="H4896" i="1"/>
  <c r="H641" i="1"/>
  <c r="H1256" i="1"/>
  <c r="H1682" i="1"/>
  <c r="H4154" i="1"/>
  <c r="H2393" i="1"/>
  <c r="H3787" i="1"/>
  <c r="H2643" i="1"/>
  <c r="H4609" i="1"/>
  <c r="H3798" i="1"/>
  <c r="H3144" i="1"/>
  <c r="H3267" i="1"/>
  <c r="H491" i="1"/>
  <c r="H3066" i="1"/>
  <c r="H2322" i="1"/>
  <c r="H1330" i="1"/>
  <c r="H4652" i="1"/>
  <c r="H5216" i="1"/>
  <c r="H38" i="1"/>
  <c r="H4859" i="1"/>
  <c r="H1561" i="1"/>
  <c r="H3990" i="1"/>
  <c r="H1261" i="1"/>
  <c r="H2851" i="1"/>
  <c r="H3816" i="1"/>
  <c r="H3747" i="1"/>
  <c r="H4235" i="1"/>
  <c r="H93" i="1"/>
  <c r="H2994" i="1"/>
  <c r="H5050" i="1"/>
  <c r="H2524" i="1"/>
  <c r="H1377" i="1"/>
  <c r="H4519" i="1"/>
  <c r="H2721" i="1"/>
  <c r="H2358" i="1"/>
  <c r="H5134" i="1"/>
  <c r="H361" i="1"/>
  <c r="H3137" i="1"/>
  <c r="H2486" i="1"/>
  <c r="H3553" i="1"/>
  <c r="H1401" i="1"/>
  <c r="H3664" i="1"/>
  <c r="H4499" i="1"/>
  <c r="H5185" i="1"/>
  <c r="H838" i="1"/>
  <c r="H5188" i="1"/>
  <c r="H3395" i="1"/>
  <c r="H399" i="1"/>
  <c r="H3671" i="1"/>
  <c r="H5025" i="1"/>
  <c r="H1470" i="1"/>
  <c r="H2838" i="1"/>
  <c r="H4720" i="1"/>
  <c r="H4476" i="1"/>
  <c r="H894" i="1"/>
  <c r="H1606" i="1"/>
  <c r="H2413" i="1"/>
  <c r="H1665" i="1"/>
  <c r="H1819" i="1"/>
  <c r="H2512" i="1"/>
  <c r="H4975" i="1"/>
  <c r="H4456" i="1"/>
  <c r="H941" i="1"/>
  <c r="H1509" i="1"/>
  <c r="H3065" i="1"/>
  <c r="H4863" i="1"/>
  <c r="H2981" i="1"/>
  <c r="H3473" i="1"/>
  <c r="H5119" i="1"/>
  <c r="H1384" i="1"/>
  <c r="H1472" i="1"/>
  <c r="H1685" i="1"/>
  <c r="H4932" i="1"/>
  <c r="H1613" i="1"/>
  <c r="H3181" i="1"/>
  <c r="H4056" i="1"/>
  <c r="H2881" i="1"/>
  <c r="H2300" i="1"/>
  <c r="H2008" i="1"/>
  <c r="H914" i="1"/>
  <c r="H2455" i="1"/>
  <c r="H2990" i="1"/>
  <c r="H2170" i="1"/>
  <c r="H3971" i="1"/>
  <c r="H3959" i="1"/>
  <c r="H3824" i="1"/>
  <c r="H2266" i="1"/>
  <c r="H1763" i="1"/>
  <c r="H4835" i="1"/>
  <c r="H2" i="1"/>
  <c r="H2406" i="1"/>
  <c r="H3466" i="1"/>
  <c r="H4165" i="1"/>
  <c r="H1294" i="1"/>
  <c r="H988" i="1"/>
  <c r="H2116" i="1"/>
  <c r="H3922" i="1"/>
  <c r="H4318" i="1"/>
  <c r="H3002" i="1"/>
  <c r="H2716" i="1"/>
  <c r="H1762" i="1"/>
  <c r="H4129" i="1"/>
  <c r="H411" i="1"/>
  <c r="H382" i="1"/>
  <c r="H1013" i="1"/>
  <c r="H5132" i="1"/>
  <c r="H5120" i="1"/>
  <c r="H1894" i="1"/>
  <c r="H254" i="1"/>
  <c r="H461" i="1"/>
  <c r="H4576" i="1"/>
  <c r="H12" i="1"/>
  <c r="H4135" i="1"/>
  <c r="H1668" i="1"/>
  <c r="H1870" i="1"/>
  <c r="H2532" i="1"/>
  <c r="H936" i="1"/>
  <c r="H1625" i="1"/>
  <c r="H1705" i="1"/>
  <c r="H4794" i="1"/>
  <c r="H3100" i="1"/>
  <c r="H3398" i="1"/>
  <c r="H340" i="1"/>
  <c r="H2055" i="1"/>
  <c r="H4701" i="1"/>
  <c r="H945" i="1"/>
  <c r="H616" i="1"/>
  <c r="H1074" i="1"/>
  <c r="H1780" i="1"/>
  <c r="H4398" i="1"/>
  <c r="H5202" i="1"/>
  <c r="H1898" i="1"/>
  <c r="H4012" i="1"/>
  <c r="H3886" i="1"/>
  <c r="H3125" i="1"/>
  <c r="H2036" i="1"/>
  <c r="H4005" i="1"/>
  <c r="H209" i="1"/>
  <c r="H2960" i="1"/>
  <c r="H927" i="1"/>
  <c r="H1993" i="1"/>
  <c r="H2554" i="1"/>
  <c r="H979" i="1"/>
  <c r="H561" i="1"/>
  <c r="H4691" i="1"/>
  <c r="H2374" i="1"/>
  <c r="H1901" i="1"/>
  <c r="H137" i="1"/>
  <c r="H3097" i="1"/>
  <c r="H1812" i="1"/>
  <c r="H3434" i="1"/>
  <c r="H4979" i="1"/>
  <c r="H3031" i="1"/>
  <c r="H270" i="1"/>
  <c r="H4954" i="1"/>
  <c r="H345" i="1"/>
  <c r="H2969" i="1"/>
  <c r="H3471" i="1"/>
  <c r="H3112" i="1"/>
  <c r="H4074" i="1"/>
  <c r="H833" i="1"/>
  <c r="H1061" i="1"/>
  <c r="H3520" i="1"/>
  <c r="H4181" i="1"/>
  <c r="H3403" i="1"/>
  <c r="H3919" i="1"/>
  <c r="H4455" i="1"/>
  <c r="H4553" i="1"/>
  <c r="H1432" i="1"/>
  <c r="H1014" i="1"/>
  <c r="H1492" i="1"/>
  <c r="H3221" i="1"/>
  <c r="H2734" i="1"/>
  <c r="H3454" i="1"/>
  <c r="H1725" i="1"/>
  <c r="H1142" i="1"/>
  <c r="H4185" i="1"/>
  <c r="H194" i="1"/>
  <c r="H4722" i="1"/>
  <c r="H3271" i="1"/>
  <c r="H2529" i="1"/>
  <c r="H389" i="1"/>
  <c r="H2385" i="1"/>
  <c r="H4493" i="1"/>
  <c r="H4857" i="1"/>
  <c r="H4686" i="1"/>
  <c r="H1149" i="1"/>
  <c r="H1544" i="1"/>
  <c r="H4902" i="1"/>
  <c r="H1830" i="1"/>
  <c r="H3255" i="1"/>
  <c r="H507" i="1"/>
  <c r="H4267" i="1"/>
  <c r="H3995" i="1"/>
  <c r="H2364" i="1"/>
  <c r="H2253" i="1"/>
  <c r="H4133" i="1"/>
  <c r="H2379" i="1"/>
  <c r="H3055" i="1"/>
  <c r="H3388" i="1"/>
  <c r="H169" i="1"/>
  <c r="H4227" i="1"/>
  <c r="H528" i="1"/>
  <c r="H623" i="1"/>
  <c r="H1586" i="1"/>
  <c r="H4069" i="1"/>
  <c r="H1514" i="1"/>
  <c r="H1997" i="1"/>
  <c r="H5002" i="1"/>
  <c r="H3464" i="1"/>
  <c r="H5032" i="1"/>
  <c r="H4423" i="1"/>
  <c r="H3500" i="1"/>
  <c r="H384" i="1"/>
  <c r="H1500" i="1"/>
  <c r="H2884" i="1"/>
  <c r="H1333" i="1"/>
  <c r="H4906" i="1"/>
  <c r="H4314" i="1"/>
  <c r="H2263" i="1"/>
  <c r="H98" i="1"/>
  <c r="H4724" i="1"/>
  <c r="H4137" i="1"/>
  <c r="H3819" i="1"/>
  <c r="H4483" i="1"/>
  <c r="H2400" i="1"/>
  <c r="H3667" i="1"/>
  <c r="H1380" i="1"/>
  <c r="H3804" i="1"/>
  <c r="H3845" i="1"/>
  <c r="H50" i="1"/>
  <c r="H2912" i="1"/>
  <c r="H76" i="1"/>
  <c r="H5229" i="1"/>
  <c r="H1147" i="1"/>
  <c r="H1941" i="1"/>
  <c r="H1348" i="1"/>
  <c r="H4944" i="1"/>
  <c r="H4590" i="1"/>
  <c r="H3597" i="1"/>
  <c r="H4164" i="1"/>
  <c r="H1605" i="1"/>
  <c r="H4229" i="1"/>
  <c r="H444" i="1"/>
  <c r="H4158" i="1"/>
  <c r="H3313" i="1"/>
  <c r="H3624" i="1"/>
  <c r="H2017" i="1"/>
  <c r="H4623" i="1"/>
  <c r="H2238" i="1"/>
  <c r="H5040" i="1"/>
  <c r="H221" i="1"/>
  <c r="H1989" i="1"/>
  <c r="H3062" i="1"/>
  <c r="H363" i="1"/>
  <c r="H2897" i="1"/>
  <c r="H4601" i="1"/>
  <c r="H3386" i="1"/>
  <c r="H2728" i="1"/>
  <c r="H718" i="1"/>
  <c r="H4549" i="1"/>
  <c r="H1305" i="1"/>
  <c r="H900" i="1"/>
  <c r="H2168" i="1"/>
  <c r="H708" i="1"/>
  <c r="H4020" i="1"/>
  <c r="H707" i="1"/>
  <c r="H4143" i="1"/>
  <c r="H4957" i="1"/>
  <c r="H2177" i="1"/>
  <c r="H2298" i="1"/>
  <c r="H505" i="1"/>
  <c r="H2540" i="1"/>
  <c r="H1259" i="1"/>
  <c r="H2822" i="1"/>
  <c r="H3298" i="1"/>
  <c r="H33" i="1"/>
  <c r="H4108" i="1"/>
  <c r="H3866" i="1"/>
  <c r="H2993" i="1"/>
  <c r="H3862" i="1"/>
  <c r="H3615" i="1"/>
  <c r="H2327" i="1"/>
  <c r="H2730" i="1"/>
  <c r="H4653" i="1"/>
  <c r="H4729" i="1"/>
  <c r="H307" i="1"/>
  <c r="H1077" i="1"/>
  <c r="H5227" i="1"/>
  <c r="H3812" i="1"/>
  <c r="H890" i="1"/>
  <c r="H4270" i="1"/>
  <c r="H2968" i="1"/>
  <c r="H515" i="1"/>
  <c r="H3806" i="1"/>
  <c r="H1356" i="1"/>
  <c r="H1218" i="1"/>
  <c r="H1355" i="1"/>
  <c r="H3810" i="1"/>
  <c r="H2451" i="1"/>
  <c r="H451" i="1"/>
  <c r="H4942" i="1"/>
  <c r="H3517" i="1"/>
  <c r="H4569" i="1"/>
  <c r="H4733" i="1"/>
  <c r="H2427" i="1"/>
  <c r="H5142" i="1"/>
  <c r="H1354" i="1"/>
  <c r="H3441" i="1"/>
  <c r="H2890" i="1"/>
  <c r="H2910" i="1"/>
  <c r="H2595" i="1"/>
  <c r="H4983" i="1"/>
  <c r="H3170" i="1"/>
  <c r="H3745" i="1"/>
  <c r="H3296" i="1"/>
  <c r="H3438" i="1"/>
  <c r="H1343" i="1"/>
  <c r="H3304" i="1"/>
  <c r="H5103" i="1"/>
  <c r="H1031" i="1"/>
  <c r="H4802" i="1"/>
  <c r="H3670" i="1"/>
  <c r="H3116" i="1"/>
  <c r="H2808" i="1"/>
  <c r="H113" i="1"/>
  <c r="H2619" i="1"/>
  <c r="H591" i="1"/>
  <c r="H1744" i="1"/>
  <c r="H3061" i="1"/>
  <c r="H68" i="1"/>
  <c r="H3852" i="1"/>
  <c r="H1567" i="1"/>
  <c r="H5069" i="1"/>
  <c r="H316" i="1"/>
  <c r="H3737" i="1"/>
  <c r="H1105" i="1"/>
  <c r="H314" i="1"/>
  <c r="H2695" i="1"/>
  <c r="H212" i="1"/>
  <c r="H2448" i="1"/>
  <c r="H5205" i="1"/>
  <c r="H1825" i="1"/>
  <c r="H4876" i="1"/>
  <c r="H4045" i="1"/>
  <c r="H2795" i="1"/>
  <c r="H4023" i="1"/>
  <c r="H935" i="1"/>
  <c r="H2019" i="1"/>
  <c r="H1081" i="1"/>
  <c r="H418" i="1"/>
  <c r="H625" i="1"/>
  <c r="H4838" i="1"/>
  <c r="H4958" i="1"/>
  <c r="H2384" i="1"/>
  <c r="H3243" i="1"/>
  <c r="H2950" i="1"/>
  <c r="H1588" i="1"/>
  <c r="H3625" i="1"/>
  <c r="H2841" i="1"/>
  <c r="H4368" i="1"/>
  <c r="H2612" i="1"/>
  <c r="H5170" i="1"/>
  <c r="H2868" i="1"/>
  <c r="H3891" i="1"/>
  <c r="H4588" i="1"/>
  <c r="H3771" i="1"/>
  <c r="H618" i="1"/>
  <c r="H3245" i="1"/>
  <c r="H2082" i="1"/>
  <c r="H2041" i="1"/>
  <c r="H3212" i="1"/>
  <c r="H1593" i="1"/>
  <c r="H1631" i="1"/>
  <c r="H2031" i="1"/>
  <c r="H3082" i="1"/>
  <c r="H3488" i="1"/>
  <c r="H4269" i="1"/>
  <c r="H1908" i="1"/>
  <c r="H569" i="1"/>
  <c r="H3526" i="1"/>
  <c r="H1752" i="1"/>
  <c r="H3139" i="1"/>
  <c r="H3256" i="1"/>
  <c r="H468" i="1"/>
  <c r="H4358" i="1"/>
  <c r="H583" i="1"/>
  <c r="H2885" i="1"/>
  <c r="H4551" i="1"/>
  <c r="H3863" i="1"/>
  <c r="H794" i="1"/>
  <c r="H4371" i="1"/>
  <c r="H1759" i="1"/>
  <c r="H739" i="1"/>
  <c r="H1215" i="1"/>
  <c r="H2834" i="1"/>
  <c r="H1602" i="1"/>
  <c r="H4904" i="1"/>
  <c r="H2296" i="1"/>
  <c r="H435" i="1"/>
  <c r="H2403" i="1"/>
  <c r="H663" i="1"/>
  <c r="H2086" i="1"/>
  <c r="H499" i="1"/>
  <c r="H4599" i="1"/>
  <c r="H3841" i="1"/>
  <c r="H1855" i="1"/>
  <c r="H362" i="1"/>
  <c r="H4833" i="1"/>
  <c r="H4684" i="1"/>
  <c r="H2180" i="1"/>
  <c r="H1531" i="1"/>
  <c r="H2249" i="1"/>
  <c r="H225" i="1"/>
  <c r="H1985" i="1"/>
  <c r="H1961" i="1"/>
  <c r="H3629" i="1"/>
  <c r="H4223" i="1"/>
  <c r="H3882" i="1"/>
  <c r="H851" i="1"/>
  <c r="H1921" i="1"/>
  <c r="H3719" i="1"/>
  <c r="H141" i="1"/>
  <c r="H2626" i="1"/>
  <c r="H2570" i="1"/>
  <c r="H2861" i="1"/>
  <c r="H4094" i="1"/>
  <c r="H2495" i="1"/>
  <c r="H10" i="1"/>
  <c r="H1456" i="1"/>
  <c r="H3825" i="1"/>
  <c r="H470" i="1"/>
  <c r="H2798" i="1"/>
  <c r="H21" i="1"/>
  <c r="H5156" i="1"/>
  <c r="H3797" i="1"/>
  <c r="H328" i="1"/>
  <c r="H4200" i="1"/>
  <c r="H3514" i="1"/>
  <c r="H2392" i="1"/>
  <c r="H87" i="1"/>
  <c r="H695" i="1"/>
  <c r="H5240" i="1"/>
  <c r="H1239" i="1"/>
  <c r="H1584" i="1"/>
  <c r="H1888" i="1"/>
  <c r="H1876" i="1"/>
  <c r="H2814" i="1"/>
  <c r="H5194" i="1"/>
  <c r="H2021" i="1"/>
  <c r="H3902" i="1"/>
  <c r="H4875" i="1"/>
  <c r="H2738" i="1"/>
  <c r="H2424" i="1"/>
  <c r="H5075" i="1"/>
  <c r="H216" i="1"/>
  <c r="H2821" i="1"/>
  <c r="H2152" i="1"/>
  <c r="H3015" i="1"/>
  <c r="H413" i="1"/>
  <c r="H3642" i="1"/>
  <c r="H60" i="1"/>
  <c r="H4286" i="1"/>
  <c r="H966" i="1"/>
  <c r="H2762" i="1"/>
  <c r="H160" i="1"/>
  <c r="H2809" i="1"/>
  <c r="H472" i="1"/>
  <c r="H4639" i="1"/>
  <c r="H1647" i="1"/>
  <c r="H2917" i="1"/>
  <c r="H4168" i="1"/>
  <c r="H1745" i="1"/>
  <c r="H2812" i="1"/>
  <c r="H2015" i="1"/>
  <c r="H3587" i="1"/>
  <c r="H5097" i="1"/>
  <c r="H4510" i="1"/>
  <c r="H3480" i="1"/>
  <c r="H2164" i="1"/>
  <c r="H4408" i="1"/>
  <c r="H3773" i="1"/>
  <c r="H3126" i="1"/>
  <c r="H2067" i="1"/>
  <c r="H704" i="1"/>
  <c r="H3035" i="1"/>
  <c r="H1339" i="1"/>
  <c r="H4761" i="1"/>
  <c r="H1010" i="1"/>
  <c r="H3024" i="1"/>
  <c r="H2725" i="1"/>
  <c r="H4076" i="1"/>
  <c r="H4566" i="1"/>
  <c r="H1393" i="1"/>
  <c r="H2576" i="1"/>
  <c r="H4320" i="1"/>
  <c r="H3259" i="1"/>
  <c r="H875" i="1"/>
  <c r="H1200" i="1"/>
  <c r="H1912" i="1"/>
  <c r="H2130" i="1"/>
  <c r="H1440" i="1"/>
  <c r="H1910" i="1"/>
  <c r="H1373" i="1"/>
  <c r="H1982" i="1"/>
  <c r="H2163" i="1"/>
  <c r="H5013" i="1"/>
  <c r="H4028" i="1"/>
  <c r="H4775" i="1"/>
  <c r="H3519" i="1"/>
  <c r="H1337" i="1"/>
  <c r="H5052" i="1"/>
  <c r="H2368" i="1"/>
  <c r="H2607" i="1"/>
  <c r="H1620" i="1"/>
  <c r="H2663" i="1"/>
  <c r="H2952" i="1"/>
  <c r="H1246" i="1"/>
  <c r="H132" i="1"/>
  <c r="H2955" i="1"/>
  <c r="H249" i="1"/>
  <c r="H3728" i="1"/>
  <c r="H3591" i="1"/>
  <c r="H2376" i="1"/>
  <c r="H2350" i="1"/>
  <c r="H4364" i="1"/>
  <c r="H4562" i="1"/>
  <c r="H1929" i="1"/>
  <c r="H630" i="1"/>
  <c r="H5211" i="1"/>
  <c r="H770" i="1"/>
  <c r="H3312" i="1"/>
  <c r="H2775" i="1"/>
  <c r="H3758" i="1"/>
  <c r="H4172" i="1"/>
  <c r="H516" i="1"/>
  <c r="H4134" i="1"/>
  <c r="H3111" i="1"/>
  <c r="H4098" i="1"/>
  <c r="H4342" i="1"/>
  <c r="H3081" i="1"/>
  <c r="H1281" i="1"/>
  <c r="H5233" i="1"/>
  <c r="H2966" i="1"/>
  <c r="H1280" i="1"/>
  <c r="H713" i="1"/>
  <c r="H3772" i="1"/>
  <c r="H3596" i="1"/>
  <c r="H3681" i="1"/>
  <c r="H3261" i="1"/>
  <c r="H4746" i="1"/>
  <c r="H3669" i="1"/>
  <c r="H1262" i="1"/>
  <c r="H482" i="1"/>
  <c r="H2220" i="1"/>
  <c r="H4502" i="1"/>
  <c r="H691" i="1"/>
  <c r="H4760" i="1"/>
  <c r="H1649" i="1"/>
  <c r="H2933" i="1"/>
  <c r="H1788" i="1"/>
  <c r="H4459" i="1"/>
  <c r="H1217" i="1"/>
  <c r="H1833" i="1"/>
  <c r="H1154" i="1"/>
  <c r="H2609" i="1"/>
  <c r="H791" i="1"/>
  <c r="H2783" i="1"/>
  <c r="H2454" i="1"/>
  <c r="H1768" i="1"/>
  <c r="H2685" i="1"/>
  <c r="H1132" i="1"/>
  <c r="H844" i="1"/>
  <c r="H4419" i="1"/>
  <c r="H439" i="1"/>
  <c r="H4973" i="1"/>
  <c r="H3701" i="1"/>
  <c r="H337" i="1"/>
  <c r="H752" i="1"/>
  <c r="H2142" i="1"/>
  <c r="H1357" i="1"/>
  <c r="H2458" i="1"/>
  <c r="H1282" i="1"/>
  <c r="H2551" i="1"/>
  <c r="H1043" i="1"/>
  <c r="H4417" i="1"/>
  <c r="H4894" i="1"/>
  <c r="H2985" i="1"/>
  <c r="H4700" i="1"/>
  <c r="H4163" i="1"/>
  <c r="H4102" i="1"/>
  <c r="H3050" i="1"/>
  <c r="H3190" i="1"/>
  <c r="H2039" i="1"/>
  <c r="H1233" i="1"/>
  <c r="H1523" i="1"/>
  <c r="H530" i="1"/>
  <c r="H3864" i="1"/>
  <c r="H2018" i="1"/>
  <c r="H2073" i="1"/>
  <c r="H4051" i="1"/>
  <c r="H2248" i="1"/>
  <c r="H4113" i="1"/>
  <c r="H804" i="1"/>
  <c r="H3276" i="1"/>
  <c r="H3133" i="1"/>
  <c r="H4128" i="1"/>
  <c r="H3370" i="1"/>
  <c r="H1460" i="1"/>
  <c r="H2970" i="1"/>
  <c r="H483" i="1"/>
  <c r="H531" i="1"/>
  <c r="H4171" i="1"/>
  <c r="H4972" i="1"/>
  <c r="H412" i="1"/>
  <c r="H5114" i="1"/>
  <c r="H1889" i="1"/>
  <c r="H2218" i="1"/>
  <c r="H747" i="1"/>
  <c r="H2633" i="1"/>
  <c r="H190" i="1"/>
  <c r="H1884" i="1"/>
  <c r="H1856" i="1"/>
  <c r="H755" i="1"/>
  <c r="H3090" i="1"/>
  <c r="H2309" i="1"/>
  <c r="H2727" i="1"/>
  <c r="H846" i="1"/>
  <c r="H1984" i="1"/>
  <c r="H2857" i="1"/>
  <c r="H3832" i="1"/>
  <c r="H1590" i="1"/>
  <c r="H2553" i="1"/>
  <c r="H140" i="1"/>
  <c r="H2799" i="1"/>
  <c r="H4271" i="1"/>
  <c r="H5127" i="1"/>
  <c r="H4905" i="1"/>
  <c r="H4237" i="1"/>
  <c r="H3284" i="1"/>
  <c r="H3262" i="1"/>
  <c r="H1271" i="1"/>
  <c r="H4536" i="1"/>
  <c r="H763" i="1"/>
  <c r="H969" i="1"/>
  <c r="H1699" i="1"/>
  <c r="H1980" i="1"/>
  <c r="H1171" i="1"/>
  <c r="H1466" i="1"/>
  <c r="H2028" i="1"/>
  <c r="H2359" i="1"/>
  <c r="H1634" i="1"/>
  <c r="H803" i="1"/>
  <c r="H2438" i="1"/>
  <c r="H4682" i="1"/>
  <c r="H1303" i="1"/>
  <c r="H1904" i="1"/>
  <c r="H4239" i="1"/>
  <c r="H3445" i="1"/>
  <c r="H1564" i="1"/>
  <c r="H884" i="1"/>
  <c r="H2360" i="1"/>
  <c r="H4674" i="1"/>
  <c r="H3808" i="1"/>
  <c r="H1700" i="1"/>
  <c r="H2337" i="1"/>
  <c r="H242" i="1"/>
  <c r="H3951" i="1"/>
  <c r="H783" i="1"/>
  <c r="H2886" i="1"/>
  <c r="H1207" i="1"/>
  <c r="H2948" i="1"/>
  <c r="H3432" i="1"/>
  <c r="H3197" i="1"/>
  <c r="H3974" i="1"/>
  <c r="H3289" i="1"/>
  <c r="H2204" i="1"/>
  <c r="H1954" i="1"/>
  <c r="H2450" i="1"/>
  <c r="H3889" i="1"/>
  <c r="H2988" i="1"/>
  <c r="H5016" i="1"/>
  <c r="H1990" i="1"/>
  <c r="H3826" i="1"/>
  <c r="H341" i="1"/>
  <c r="H4987" i="1"/>
  <c r="H959" i="1"/>
  <c r="H3356" i="1"/>
  <c r="H3821" i="1"/>
  <c r="H3814" i="1"/>
  <c r="H1969" i="1"/>
  <c r="H4484" i="1"/>
  <c r="H1106" i="1"/>
  <c r="H524" i="1"/>
  <c r="H3079" i="1"/>
  <c r="H3384" i="1"/>
  <c r="H1728" i="1"/>
  <c r="H4526" i="1"/>
  <c r="H4595" i="1"/>
  <c r="H4654" i="1"/>
  <c r="H2997" i="1"/>
  <c r="H4345" i="1"/>
  <c r="H352" i="1"/>
  <c r="H4248" i="1"/>
  <c r="H1722" i="1"/>
  <c r="H4796" i="1"/>
  <c r="H4920" i="1"/>
  <c r="H4822" i="1"/>
  <c r="H4596" i="1"/>
  <c r="H4546" i="1"/>
  <c r="H4090" i="1"/>
  <c r="H965" i="1"/>
  <c r="H4011" i="1"/>
  <c r="H2597" i="1"/>
  <c r="H4798" i="1"/>
  <c r="H940" i="1"/>
  <c r="H1589" i="1"/>
  <c r="H3176" i="1"/>
  <c r="H4140" i="1"/>
  <c r="H106" i="1"/>
  <c r="H5066" i="1"/>
  <c r="H2144" i="1"/>
  <c r="H2407" i="1"/>
  <c r="H3998" i="1"/>
  <c r="H3968" i="1"/>
  <c r="H1260" i="1"/>
  <c r="H3140" i="1"/>
  <c r="H4462" i="1"/>
  <c r="H3350" i="1"/>
  <c r="H2748" i="1"/>
  <c r="H2920" i="1"/>
  <c r="H912" i="1"/>
  <c r="H4325" i="1"/>
  <c r="H4861" i="1"/>
  <c r="H671" i="1"/>
  <c r="H1714" i="1"/>
  <c r="H741" i="1"/>
  <c r="H906" i="1"/>
  <c r="H2453" i="1"/>
  <c r="H1206" i="1"/>
  <c r="H3481" i="1"/>
  <c r="H372" i="1"/>
  <c r="H654" i="1"/>
  <c r="H1945" i="1"/>
  <c r="H1757" i="1"/>
  <c r="H1085" i="1"/>
  <c r="H1062" i="1"/>
  <c r="H2325" i="1"/>
  <c r="H1298" i="1"/>
  <c r="H4556" i="1"/>
  <c r="H4066" i="1"/>
  <c r="H2135" i="1"/>
  <c r="H2389" i="1"/>
  <c r="H297" i="1"/>
  <c r="H5060" i="1"/>
  <c r="H2773" i="1"/>
  <c r="H652" i="1"/>
  <c r="H4243" i="1"/>
  <c r="H4980" i="1"/>
  <c r="H3660" i="1"/>
  <c r="H4640" i="1"/>
  <c r="H942" i="1"/>
  <c r="H323" i="1"/>
  <c r="H4029" i="1"/>
  <c r="H1670" i="1"/>
  <c r="H3839" i="1"/>
  <c r="H751" i="1"/>
  <c r="H5155" i="1"/>
  <c r="H4063" i="1"/>
  <c r="H167" i="1"/>
  <c r="H4602" i="1"/>
  <c r="H4169" i="1"/>
  <c r="H4866" i="1"/>
  <c r="H1635" i="1"/>
  <c r="H4000" i="1"/>
  <c r="H547" i="1"/>
  <c r="H502" i="1"/>
  <c r="H550" i="1"/>
  <c r="H3675" i="1"/>
  <c r="H4001" i="1"/>
  <c r="H3873" i="1"/>
  <c r="H2681" i="1"/>
  <c r="H277" i="1"/>
  <c r="H3743" i="1"/>
  <c r="H4488" i="1"/>
  <c r="H3738" i="1"/>
  <c r="H5122" i="1"/>
  <c r="H5049" i="1"/>
  <c r="H2169" i="1"/>
  <c r="H1123" i="1"/>
  <c r="H3333" i="1"/>
  <c r="H1036" i="1"/>
  <c r="H419" i="1"/>
  <c r="H5010" i="1"/>
  <c r="H233" i="1"/>
  <c r="H4800" i="1"/>
  <c r="H731" i="1"/>
  <c r="H538" i="1"/>
  <c r="H2939" i="1"/>
  <c r="H1508" i="1"/>
  <c r="H2243" i="1"/>
  <c r="H1926" i="1"/>
  <c r="H1266" i="1"/>
  <c r="H1558" i="1"/>
  <c r="H4324" i="1"/>
  <c r="H37" i="1"/>
  <c r="H1376" i="1"/>
  <c r="H4498" i="1"/>
  <c r="H4009" i="1"/>
  <c r="H953" i="1"/>
  <c r="H4057" i="1"/>
  <c r="H5124" i="1"/>
  <c r="H863" i="1"/>
  <c r="H3444" i="1"/>
  <c r="H1764" i="1"/>
  <c r="H259" i="1"/>
  <c r="H2421" i="1"/>
  <c r="H2831" i="1"/>
  <c r="H3593" i="1"/>
  <c r="H4971" i="1"/>
  <c r="H4233" i="1"/>
  <c r="H4864" i="1"/>
  <c r="H26" i="1"/>
  <c r="H2387" i="1"/>
  <c r="H3194" i="1"/>
  <c r="H2596" i="1"/>
  <c r="H447" i="1"/>
  <c r="H3326" i="1"/>
  <c r="H1463" i="1"/>
  <c r="H3935" i="1"/>
  <c r="H2676" i="1"/>
  <c r="H1530" i="1"/>
  <c r="H86" i="1"/>
  <c r="H4220" i="1"/>
  <c r="H2962" i="1"/>
  <c r="H2089" i="1"/>
  <c r="H273" i="1"/>
  <c r="H119" i="1"/>
  <c r="H4436" i="1"/>
  <c r="H810" i="1"/>
  <c r="H4466" i="1"/>
  <c r="H1594" i="1"/>
  <c r="H5064" i="1"/>
  <c r="H2436" i="1"/>
  <c r="H896" i="1"/>
  <c r="H4843" i="1"/>
  <c r="H526" i="1"/>
  <c r="H578" i="1"/>
  <c r="H2126" i="1"/>
  <c r="H542" i="1"/>
  <c r="H1692" i="1"/>
  <c r="H205" i="1"/>
  <c r="H3487" i="1"/>
  <c r="H2139" i="1"/>
  <c r="H4255" i="1"/>
  <c r="H1840" i="1"/>
  <c r="H673" i="1"/>
  <c r="H856" i="1"/>
  <c r="H1477" i="1"/>
  <c r="H513" i="1"/>
  <c r="H5220" i="1"/>
  <c r="H1800" i="1"/>
  <c r="H1181" i="1"/>
  <c r="H4400" i="1"/>
  <c r="H5184" i="1"/>
  <c r="H1760" i="1"/>
  <c r="H3193" i="1"/>
  <c r="H2477" i="1"/>
  <c r="H453" i="1"/>
  <c r="H1199" i="1"/>
  <c r="H4110" i="1"/>
  <c r="H1202" i="1"/>
  <c r="H4547" i="1"/>
  <c r="H5115" i="1"/>
  <c r="H5089" i="1"/>
  <c r="H3250" i="1"/>
  <c r="H4058" i="1"/>
  <c r="H2496" i="1"/>
  <c r="H3455" i="1"/>
  <c r="H4830" i="1"/>
  <c r="H258" i="1"/>
  <c r="H1693" i="1"/>
  <c r="H1175" i="1"/>
  <c r="H2593" i="1"/>
  <c r="H3647" i="1"/>
  <c r="H640" i="1"/>
  <c r="H2538" i="1"/>
  <c r="H898" i="1"/>
  <c r="H3547" i="1"/>
  <c r="H1715" i="1"/>
  <c r="H1701" i="1"/>
  <c r="H4611" i="1"/>
  <c r="H3509" i="1"/>
  <c r="H1495" i="1"/>
  <c r="H1577" i="1"/>
  <c r="H3390" i="1"/>
  <c r="H5007" i="1"/>
  <c r="H1548" i="1"/>
  <c r="H1152" i="1"/>
  <c r="H3280" i="1"/>
  <c r="H4837" i="1"/>
  <c r="H615" i="1"/>
  <c r="H3378" i="1"/>
  <c r="H264" i="1"/>
  <c r="H986" i="1"/>
  <c r="H4946" i="1"/>
  <c r="H36" i="1"/>
  <c r="H4855" i="1"/>
  <c r="H2736" i="1"/>
  <c r="H487" i="1"/>
  <c r="H2265" i="1"/>
  <c r="H22" i="1"/>
  <c r="H5101" i="1"/>
  <c r="H2245" i="1"/>
  <c r="H758" i="1"/>
  <c r="H1188" i="1"/>
  <c r="H2846" i="1"/>
  <c r="H2125" i="1"/>
  <c r="H3089" i="1"/>
  <c r="H338" i="1"/>
  <c r="H687" i="1"/>
  <c r="H5005" i="1"/>
  <c r="H1028" i="1"/>
  <c r="H2839" i="1"/>
  <c r="H5083" i="1"/>
  <c r="H320" i="1"/>
  <c r="H982" i="1"/>
  <c r="H2521" i="1"/>
  <c r="H2657" i="1"/>
  <c r="H4024" i="1"/>
  <c r="H4162" i="1"/>
  <c r="H2443" i="1"/>
  <c r="H768" i="1"/>
  <c r="H4874" i="1"/>
  <c r="H5080" i="1"/>
  <c r="H1717" i="1"/>
  <c r="H534" i="1"/>
  <c r="H1892" i="1"/>
  <c r="H1405" i="1"/>
  <c r="H1972" i="1"/>
  <c r="H2562" i="1"/>
  <c r="H2476" i="1"/>
  <c r="H2157" i="1"/>
  <c r="H3279" i="1"/>
  <c r="H5008" i="1"/>
  <c r="H3080" i="1"/>
  <c r="H1446" i="1"/>
  <c r="H1049" i="1"/>
  <c r="H1292" i="1"/>
  <c r="H2967" i="1"/>
  <c r="H1832" i="1"/>
  <c r="H1390" i="1"/>
  <c r="H4014" i="1"/>
  <c r="H4249" i="1"/>
  <c r="H3156" i="1"/>
  <c r="H4187" i="1"/>
  <c r="H4911" i="1"/>
  <c r="H347" i="1"/>
  <c r="H3710" i="1"/>
  <c r="H1450" i="1"/>
  <c r="H3291" i="1"/>
  <c r="H1274" i="1"/>
  <c r="H5056" i="1"/>
  <c r="H3316" i="1"/>
  <c r="H1404" i="1"/>
  <c r="H2852" i="1"/>
  <c r="H535" i="1"/>
  <c r="H967" i="1"/>
  <c r="H855" i="1"/>
  <c r="H4926" i="1"/>
  <c r="H1537" i="1"/>
  <c r="H240" i="1"/>
  <c r="H3911" i="1"/>
  <c r="H4649" i="1"/>
  <c r="H1366" i="1"/>
  <c r="H4521" i="1"/>
  <c r="H1420" i="1"/>
  <c r="H4039" i="1"/>
  <c r="H1073" i="1"/>
  <c r="H265" i="1"/>
  <c r="H1821" i="1"/>
  <c r="H3679" i="1"/>
  <c r="H4887" i="1"/>
  <c r="H1302" i="1"/>
  <c r="H4742" i="1"/>
  <c r="H3251" i="1"/>
  <c r="H1552" i="1"/>
  <c r="H1090" i="1"/>
  <c r="H1213" i="1"/>
  <c r="H228" i="1"/>
  <c r="H4901" i="1"/>
  <c r="H176" i="1"/>
  <c r="H3588" i="1"/>
  <c r="H2589" i="1"/>
  <c r="H4903" i="1"/>
  <c r="H1815" i="1"/>
  <c r="H4435" i="1"/>
  <c r="H4548" i="1"/>
  <c r="H635" i="1"/>
  <c r="H1289" i="1"/>
  <c r="H620" i="1"/>
  <c r="H2516" i="1"/>
  <c r="H943" i="1"/>
  <c r="H3988" i="1"/>
  <c r="H650" i="1"/>
  <c r="H1806" i="1"/>
  <c r="H984" i="1"/>
  <c r="H342" i="1"/>
  <c r="H1707" i="1"/>
  <c r="H4659" i="1"/>
  <c r="H1311" i="1"/>
  <c r="H2363" i="1"/>
  <c r="H2718" i="1"/>
  <c r="H1847" i="1"/>
  <c r="H1860" i="1"/>
  <c r="H1198" i="1"/>
  <c r="H4022" i="1"/>
  <c r="H1795" i="1"/>
  <c r="H2446" i="1"/>
  <c r="H4180" i="1"/>
  <c r="H4620" i="1"/>
  <c r="H73" i="1"/>
  <c r="H1276" i="1"/>
  <c r="H291" i="1"/>
  <c r="H1974" i="1"/>
  <c r="H1222" i="1"/>
  <c r="H5135" i="1"/>
  <c r="H968" i="1"/>
  <c r="H4307" i="1"/>
  <c r="H3201" i="1"/>
  <c r="H2982" i="1"/>
  <c r="H5190" i="1"/>
  <c r="H2786" i="1"/>
  <c r="H2057" i="1"/>
  <c r="H4482" i="1"/>
  <c r="H1820" i="1"/>
  <c r="H1975" i="1"/>
  <c r="H1886" i="1"/>
  <c r="H1743" i="1"/>
  <c r="H2827" i="1"/>
  <c r="H3885" i="1"/>
  <c r="H1858" i="1"/>
  <c r="H4306" i="1"/>
  <c r="H4458" i="1"/>
  <c r="H2926" i="1"/>
  <c r="H2769" i="1"/>
  <c r="H1196" i="1"/>
  <c r="H4935" i="1"/>
  <c r="H1418" i="1"/>
  <c r="H243" i="1"/>
  <c r="H554" i="1"/>
  <c r="H1480" i="1"/>
  <c r="H4308" i="1"/>
  <c r="H2483" i="1"/>
  <c r="H268" i="1"/>
  <c r="H5092" i="1"/>
  <c r="H5221" i="1"/>
  <c r="H4453" i="1"/>
  <c r="H2046" i="1"/>
  <c r="H1621" i="1"/>
  <c r="H1895" i="1"/>
  <c r="H4749" i="1"/>
  <c r="H1037" i="1"/>
  <c r="H4194" i="1"/>
  <c r="H3223" i="1"/>
  <c r="H3704" i="1"/>
  <c r="H4226" i="1"/>
  <c r="H5163" i="1"/>
  <c r="H4021" i="1"/>
  <c r="H1167" i="1"/>
  <c r="H1273" i="1"/>
  <c r="H4285" i="1"/>
  <c r="H2293" i="1"/>
  <c r="H4348" i="1"/>
  <c r="H501" i="1"/>
  <c r="H2999" i="1"/>
  <c r="H2288" i="1"/>
  <c r="H374" i="1"/>
  <c r="H107" i="1"/>
  <c r="H4327" i="1"/>
  <c r="H3118" i="1"/>
  <c r="H3196" i="1"/>
  <c r="H2749" i="1"/>
  <c r="H610" i="1"/>
  <c r="H1971" i="1"/>
  <c r="H779" i="1"/>
  <c r="H4026" i="1"/>
  <c r="H1963" i="1"/>
  <c r="H3178" i="1"/>
  <c r="H473" i="1"/>
  <c r="H3158" i="1"/>
  <c r="H2991" i="1"/>
  <c r="H2478" i="1"/>
  <c r="H3556" i="1"/>
  <c r="H2781" i="1"/>
  <c r="H4534" i="1"/>
  <c r="H4525" i="1"/>
  <c r="H166" i="1"/>
  <c r="H2462" i="1"/>
  <c r="H3364" i="1"/>
  <c r="H143" i="1"/>
  <c r="H4941" i="1"/>
  <c r="H5186" i="1"/>
  <c r="H2133" i="1"/>
  <c r="H5116" i="1"/>
  <c r="H3407" i="1"/>
  <c r="H4776" i="1"/>
  <c r="H3890" i="1"/>
  <c r="H438" i="1"/>
  <c r="H1051" i="1"/>
  <c r="H5224" i="1"/>
  <c r="H245" i="1"/>
  <c r="H4678" i="1"/>
  <c r="H2669" i="1"/>
  <c r="H3222" i="1"/>
  <c r="H3317" i="1"/>
  <c r="H1891" i="1"/>
  <c r="H3786" i="1"/>
  <c r="H1479" i="1"/>
  <c r="H3497" i="1"/>
  <c r="H4836" i="1"/>
  <c r="H2848" i="1"/>
  <c r="H2419" i="1"/>
  <c r="H1351" i="1"/>
  <c r="H4440" i="1"/>
  <c r="H94" i="1"/>
  <c r="H1350" i="1"/>
  <c r="H3123" i="1"/>
  <c r="H3626" i="1"/>
  <c r="H674" i="1"/>
  <c r="H4852" i="1"/>
  <c r="H897" i="1"/>
  <c r="H4985" i="1"/>
  <c r="H1575" i="1"/>
  <c r="H2505" i="1"/>
  <c r="H3217" i="1"/>
  <c r="H351" i="1"/>
  <c r="H1802" i="1"/>
  <c r="H4542" i="1"/>
  <c r="H2065" i="1"/>
  <c r="H223" i="1"/>
  <c r="H441" i="1"/>
  <c r="H676" i="1"/>
  <c r="H3016" i="1"/>
  <c r="H828" i="1"/>
  <c r="H15" i="1"/>
  <c r="H1092" i="1"/>
  <c r="H3590" i="1"/>
  <c r="H376" i="1"/>
  <c r="H2732" i="1"/>
  <c r="H1291" i="1"/>
  <c r="H944" i="1"/>
  <c r="H304" i="1"/>
  <c r="H2291" i="1"/>
  <c r="H2396" i="1"/>
  <c r="H2644" i="1"/>
  <c r="H4955" i="1"/>
  <c r="H681" i="1"/>
  <c r="H3807" i="1"/>
  <c r="H3210" i="1"/>
  <c r="H2087" i="1"/>
  <c r="H66" i="1"/>
  <c r="H3780" i="1"/>
  <c r="H2324" i="1"/>
  <c r="H3278" i="1"/>
  <c r="H774" i="1"/>
  <c r="H1829" i="1"/>
  <c r="H878" i="1"/>
  <c r="H5079" i="1"/>
  <c r="H3634" i="1"/>
  <c r="H947" i="1"/>
  <c r="H4503" i="1"/>
  <c r="H4374" i="1"/>
  <c r="H3605" i="1"/>
  <c r="H659" i="1"/>
  <c r="H2193" i="1"/>
  <c r="H2928" i="1"/>
  <c r="H1925" i="1"/>
  <c r="H3538" i="1"/>
  <c r="H2513" i="1"/>
  <c r="H3530" i="1"/>
  <c r="H115" i="1"/>
  <c r="H2566" i="1"/>
  <c r="H1018" i="1"/>
  <c r="H931" i="1"/>
  <c r="H260" i="1"/>
  <c r="H135" i="1"/>
  <c r="H101" i="1"/>
  <c r="H3244" i="1"/>
  <c r="H1739" i="1"/>
  <c r="H4645" i="1"/>
  <c r="H4050" i="1"/>
  <c r="H3942" i="1"/>
  <c r="H2124" i="1"/>
  <c r="H893" i="1"/>
  <c r="H1587" i="1"/>
  <c r="H51" i="1"/>
  <c r="H4485" i="1"/>
  <c r="H4665" i="1"/>
  <c r="H2888" i="1"/>
  <c r="H1362" i="1"/>
  <c r="H331" i="1"/>
  <c r="H404" i="1"/>
  <c r="H4993" i="1"/>
  <c r="H857" i="1"/>
  <c r="H1669" i="1"/>
  <c r="H3392" i="1"/>
  <c r="H3180" i="1"/>
  <c r="H2655" i="1"/>
  <c r="H3151" i="1"/>
  <c r="H2221" i="1"/>
  <c r="H719" i="1"/>
  <c r="H1573" i="1"/>
  <c r="H1742" i="1"/>
  <c r="H509" i="1"/>
  <c r="H1571" i="1"/>
  <c r="H3828" i="1"/>
  <c r="H2005" i="1"/>
  <c r="H1169" i="1"/>
  <c r="H4427" i="1"/>
  <c r="H3963" i="1"/>
  <c r="H3421" i="1"/>
  <c r="H881" i="1"/>
  <c r="H313" i="1"/>
  <c r="H1676" i="1"/>
  <c r="H1057" i="1"/>
  <c r="H734" i="1"/>
  <c r="H2246" i="1"/>
  <c r="H1004" i="1"/>
  <c r="H5020" i="1"/>
  <c r="H4804" i="1"/>
  <c r="H1065" i="1"/>
  <c r="H4182" i="1"/>
  <c r="H4709" i="1"/>
  <c r="H1406" i="1"/>
  <c r="H1153" i="1"/>
  <c r="H527" i="1"/>
  <c r="H3612" i="1"/>
  <c r="H2768" i="1"/>
  <c r="H5034" i="1"/>
  <c r="H2767" i="1"/>
  <c r="H1983" i="1"/>
  <c r="H105" i="1"/>
  <c r="H2122" i="1"/>
  <c r="H3643" i="1"/>
  <c r="H2544" i="1"/>
  <c r="H4893" i="1"/>
  <c r="H3498" i="1"/>
  <c r="H2883" i="1"/>
  <c r="H220" i="1"/>
  <c r="H1546" i="1"/>
  <c r="H3830" i="1"/>
  <c r="H1467" i="1"/>
  <c r="H2338" i="1"/>
  <c r="H296" i="1"/>
  <c r="H4204" i="1"/>
  <c r="H3770" i="1"/>
  <c r="H1632" i="1"/>
  <c r="H4888" i="1"/>
  <c r="H1818" i="1"/>
  <c r="H2203" i="1"/>
  <c r="H2807" i="1"/>
  <c r="H1321" i="1"/>
  <c r="H996" i="1"/>
  <c r="H991" i="1"/>
  <c r="H3152" i="1"/>
  <c r="H3887" i="1"/>
  <c r="H3309" i="1"/>
  <c r="H5136" i="1"/>
  <c r="H4097" i="1"/>
  <c r="H1579" i="1"/>
  <c r="H3577" i="1"/>
  <c r="H1529" i="1"/>
  <c r="H824" i="1"/>
  <c r="H529" i="1"/>
  <c r="H4615" i="1"/>
  <c r="H436" i="1"/>
  <c r="H1568" i="1"/>
  <c r="H4540" i="1"/>
  <c r="H2772" i="1"/>
  <c r="H5039" i="1"/>
  <c r="H577" i="1"/>
  <c r="H1054" i="1"/>
  <c r="H4326" i="1"/>
  <c r="H2652" i="1"/>
  <c r="H827" i="1"/>
  <c r="H479" i="1"/>
  <c r="H1755" i="1"/>
  <c r="H3976" i="1"/>
  <c r="H4006" i="1"/>
  <c r="H4940" i="1"/>
  <c r="H2587" i="1"/>
  <c r="H370" i="1"/>
  <c r="H2482" i="1"/>
  <c r="H2774" i="1"/>
  <c r="H271" i="1"/>
  <c r="H4692" i="1"/>
  <c r="H2673" i="1"/>
  <c r="H2879" i="1"/>
  <c r="H609" i="1"/>
  <c r="H634" i="1"/>
  <c r="H4617" i="1"/>
  <c r="H2129" i="1"/>
  <c r="H4518" i="1"/>
  <c r="H2148" i="1"/>
  <c r="H4479" i="1"/>
  <c r="H3739" i="1"/>
  <c r="H3619" i="1"/>
  <c r="H3202" i="1"/>
  <c r="H4757" i="1"/>
  <c r="H2647" i="1"/>
  <c r="H4745" i="1"/>
  <c r="H537" i="1"/>
  <c r="H4664" i="1"/>
  <c r="H3552" i="1"/>
  <c r="H3682" i="1"/>
  <c r="H19" i="1"/>
  <c r="H3872" i="1"/>
  <c r="H593" i="1"/>
  <c r="H1021" i="1"/>
  <c r="H4003" i="1"/>
  <c r="H495" i="1"/>
  <c r="H3916" i="1"/>
  <c r="H4238" i="1"/>
  <c r="H2223" i="1"/>
  <c r="H2217" i="1"/>
  <c r="H1297" i="1"/>
  <c r="H3192" i="1"/>
  <c r="H4040" i="1"/>
  <c r="H4610" i="1"/>
  <c r="H1159" i="1"/>
  <c r="H981" i="1"/>
  <c r="H1094" i="1"/>
  <c r="H1801" i="1"/>
  <c r="H2064" i="1"/>
  <c r="H2227" i="1"/>
  <c r="H2858" i="1"/>
  <c r="H1607" i="1"/>
  <c r="H3904" i="1"/>
  <c r="H2174" i="1"/>
  <c r="H1203" i="1"/>
  <c r="H2535" i="1"/>
  <c r="H2270" i="1"/>
  <c r="H3462" i="1"/>
  <c r="H1247" i="1"/>
  <c r="H2105" i="1"/>
  <c r="H1538" i="1"/>
  <c r="H1839" i="1"/>
  <c r="H2658" i="1"/>
  <c r="H1899" i="1"/>
  <c r="H2090" i="1"/>
  <c r="H568" i="1"/>
  <c r="H1778" i="1"/>
  <c r="H4258" i="1"/>
  <c r="H2863" i="1"/>
  <c r="H2509" i="1"/>
  <c r="H3314" i="1"/>
  <c r="H4445" i="1"/>
  <c r="H3478" i="1"/>
  <c r="H318" i="1"/>
  <c r="H4750" i="1"/>
  <c r="H5138" i="1"/>
  <c r="H4877" i="1"/>
  <c r="H858" i="1"/>
  <c r="H2244" i="1"/>
  <c r="H2283" i="1"/>
  <c r="H1185" i="1"/>
  <c r="H1312" i="1"/>
  <c r="H2390" i="1"/>
  <c r="H3474" i="1"/>
  <c r="H288" i="1"/>
  <c r="H1880" i="1"/>
  <c r="H1641" i="1"/>
  <c r="H1414" i="1"/>
  <c r="H5168" i="1"/>
  <c r="H3359" i="1"/>
  <c r="H425" i="1"/>
  <c r="H3159" i="1"/>
  <c r="H383" i="1"/>
  <c r="H4494" i="1"/>
  <c r="H5044" i="1"/>
  <c r="H1845" i="1"/>
  <c r="H3026" i="1"/>
  <c r="H2504" i="1"/>
  <c r="H2452" i="1"/>
  <c r="H3485" i="1"/>
  <c r="H2624" i="1"/>
  <c r="H4491" i="1"/>
  <c r="H5021" i="1"/>
  <c r="H3439" i="1"/>
  <c r="H2837" i="1"/>
  <c r="H1024" i="1"/>
  <c r="H2160" i="1"/>
  <c r="H1089" i="1"/>
  <c r="H1195" i="1"/>
  <c r="H4537" i="1"/>
  <c r="H883" i="1"/>
  <c r="H1947" i="1"/>
  <c r="H3775" i="1"/>
  <c r="H2972" i="1"/>
  <c r="H356" i="1"/>
  <c r="H3934" i="1"/>
  <c r="H3712" i="1"/>
  <c r="H3237" i="1"/>
  <c r="H3265" i="1"/>
  <c r="H3010" i="1"/>
  <c r="H4313" i="1"/>
  <c r="H729" i="1"/>
  <c r="H4962" i="1"/>
  <c r="H3563" i="1"/>
  <c r="H4786" i="1"/>
  <c r="H2054" i="1"/>
  <c r="H4990" i="1"/>
  <c r="H1955" i="1"/>
  <c r="H1995" i="1"/>
  <c r="H4567" i="1"/>
  <c r="H463" i="1"/>
  <c r="H3106" i="1"/>
  <c r="H3297" i="1"/>
  <c r="H164" i="1"/>
  <c r="H4447" i="1"/>
  <c r="H3790" i="1"/>
  <c r="H1248" i="1"/>
  <c r="H540" i="1"/>
  <c r="H2224" i="1"/>
  <c r="H4228" i="1"/>
  <c r="H4312" i="1"/>
  <c r="H4991" i="1"/>
  <c r="H886" i="1"/>
  <c r="H1816" i="1"/>
  <c r="H4441" i="1"/>
  <c r="H4430" i="1"/>
  <c r="H1402" i="1"/>
  <c r="H1099" i="1"/>
  <c r="H4150" i="1"/>
  <c r="H2181" i="1"/>
  <c r="H3416" i="1"/>
  <c r="H3342" i="1"/>
  <c r="H4343" i="1"/>
  <c r="H716" i="1"/>
  <c r="H2944" i="1"/>
  <c r="H290" i="1"/>
  <c r="H3492" i="1"/>
  <c r="H1388" i="1"/>
  <c r="H4438" i="1"/>
  <c r="H2670" i="1"/>
  <c r="H3630" i="1"/>
  <c r="H330" i="1"/>
  <c r="H5166" i="1"/>
  <c r="H2770" i="1"/>
  <c r="H1131" i="1"/>
  <c r="H1178" i="1"/>
  <c r="H5165" i="1"/>
  <c r="H3762" i="1"/>
  <c r="H2573" i="1"/>
  <c r="H1841" i="1"/>
  <c r="H4591" i="1"/>
  <c r="H1864" i="1"/>
  <c r="H4311" i="1"/>
  <c r="H3351" i="1"/>
  <c r="H129" i="1"/>
  <c r="H377" i="1"/>
  <c r="H3310" i="1"/>
  <c r="H832" i="1"/>
  <c r="H913" i="1"/>
  <c r="H116" i="1"/>
  <c r="H3132" i="1"/>
  <c r="H521" i="1"/>
  <c r="H3435" i="1"/>
  <c r="H2797" i="1"/>
  <c r="H4390" i="1"/>
  <c r="H1614" i="1"/>
  <c r="H4782" i="1"/>
  <c r="H3759" i="1"/>
  <c r="H4766" i="1"/>
  <c r="H806" i="1"/>
  <c r="H4471" i="1"/>
  <c r="H1148" i="1"/>
  <c r="H3799" i="1"/>
  <c r="H3875" i="1"/>
  <c r="H2033" i="1"/>
  <c r="H2040" i="1"/>
  <c r="H3939" i="1"/>
  <c r="H3683" i="1"/>
  <c r="H3611" i="1"/>
  <c r="H1966" i="1"/>
  <c r="H2437" i="1"/>
  <c r="H2880" i="1"/>
  <c r="H5200" i="1"/>
  <c r="H360" i="1"/>
  <c r="H386" i="1"/>
  <c r="H3686" i="1"/>
  <c r="H1419" i="1"/>
  <c r="H3715" i="1"/>
  <c r="H2796" i="1"/>
  <c r="H4450" i="1"/>
  <c r="H4382" i="1"/>
  <c r="H555" i="1"/>
  <c r="H452" i="1"/>
  <c r="H2712" i="1"/>
  <c r="H3319" i="1"/>
  <c r="H2811" i="1"/>
  <c r="H2361" i="1"/>
  <c r="H2627" i="1"/>
  <c r="H4793" i="1"/>
  <c r="H1592" i="1"/>
  <c r="H905" i="1"/>
  <c r="H2109" i="1"/>
  <c r="H4616" i="1"/>
  <c r="H1209" i="1"/>
  <c r="H4159" i="1"/>
  <c r="H5045" i="1"/>
  <c r="H3397" i="1"/>
  <c r="H5207" i="1"/>
  <c r="H1813" i="1"/>
  <c r="H5022" i="1"/>
  <c r="H3865" i="1"/>
  <c r="H1144" i="1"/>
  <c r="H1041" i="1"/>
  <c r="H1490" i="1"/>
  <c r="H1082" i="1"/>
  <c r="H4619" i="1"/>
  <c r="H4145" i="1"/>
  <c r="H4201" i="1"/>
  <c r="H2333" i="1"/>
  <c r="H3007" i="1"/>
  <c r="H761" i="1"/>
  <c r="H4527" i="1"/>
  <c r="H3014" i="1"/>
  <c r="H3796" i="1"/>
  <c r="H3203" i="1"/>
  <c r="H1189" i="1"/>
  <c r="H2307" i="1"/>
  <c r="H1973" i="1"/>
  <c r="H1823" i="1"/>
  <c r="H1720" i="1"/>
  <c r="H1852" i="1"/>
  <c r="H2215" i="1"/>
  <c r="H1023" i="1"/>
  <c r="H3851" i="1"/>
  <c r="H2611" i="1"/>
  <c r="H2526" i="1"/>
  <c r="H4052" i="1"/>
  <c r="H3837" i="1"/>
  <c r="H1429" i="1"/>
  <c r="H2902" i="1"/>
  <c r="H4291" i="1"/>
  <c r="H171" i="1"/>
  <c r="H815" i="1"/>
  <c r="H922" i="1"/>
  <c r="H954" i="1"/>
  <c r="H1775" i="1"/>
  <c r="H3524" i="1"/>
  <c r="H3273" i="1"/>
  <c r="H27" i="1"/>
  <c r="H464" i="1"/>
  <c r="H4895" i="1"/>
  <c r="H4816" i="1"/>
  <c r="H1257" i="1"/>
  <c r="H4813" i="1"/>
  <c r="H1526" i="1"/>
  <c r="H2391" i="1"/>
  <c r="H4429" i="1"/>
  <c r="H1224" i="1"/>
  <c r="H4352" i="1"/>
  <c r="H414" i="1"/>
  <c r="H346" i="1"/>
  <c r="H1827" i="1"/>
  <c r="H3506" i="1"/>
  <c r="H39" i="1"/>
  <c r="H2618" i="1"/>
  <c r="H3349" i="1"/>
  <c r="H4572" i="1"/>
  <c r="H5048" i="1"/>
  <c r="H2900" i="1"/>
  <c r="H4564" i="1"/>
  <c r="H1767" i="1"/>
  <c r="H3820" i="1"/>
  <c r="H710" i="1"/>
  <c r="H2412" i="1"/>
  <c r="H3355" i="1"/>
  <c r="H573" i="1"/>
  <c r="H4266" i="1"/>
  <c r="H1399" i="1"/>
  <c r="H1924" i="1"/>
  <c r="H266" i="1"/>
  <c r="H3322" i="1"/>
  <c r="H3049" i="1"/>
  <c r="H4632" i="1"/>
  <c r="H532" i="1"/>
  <c r="H2771" i="1"/>
  <c r="H174" i="1"/>
  <c r="H4242" i="1"/>
  <c r="H4205" i="1"/>
  <c r="H4225" i="1"/>
  <c r="H2907" i="1"/>
  <c r="H4557" i="1"/>
  <c r="H1863" i="1"/>
  <c r="H3385" i="1"/>
  <c r="H4403" i="1"/>
  <c r="H2127" i="1"/>
  <c r="H1570" i="1"/>
  <c r="H4704" i="1"/>
  <c r="H213" i="1"/>
  <c r="H3268" i="1"/>
  <c r="H5196" i="1"/>
  <c r="H4399" i="1"/>
  <c r="H2746" i="1"/>
  <c r="H2759" i="1"/>
  <c r="H4734" i="1"/>
  <c r="H2425" i="1"/>
  <c r="H2074" i="1"/>
  <c r="H866" i="1"/>
  <c r="H4705" i="1"/>
  <c r="H1836" i="1"/>
  <c r="H4452" i="1"/>
  <c r="H2870" i="1"/>
  <c r="H2282" i="1"/>
  <c r="H4246" i="1"/>
  <c r="H2066" i="1"/>
  <c r="H2328" i="1"/>
  <c r="H379" i="1"/>
  <c r="H1604" i="1"/>
  <c r="H5074" i="1"/>
  <c r="H4930" i="1"/>
  <c r="H1502" i="1"/>
  <c r="H17" i="1"/>
  <c r="H1205" i="1"/>
  <c r="H4900" i="1"/>
  <c r="H2382" i="1"/>
  <c r="H2782" i="1"/>
  <c r="H2882" i="1"/>
  <c r="H3700" i="1"/>
  <c r="H3703" i="1"/>
  <c r="H4370" i="1"/>
  <c r="H2072" i="1"/>
  <c r="H4544" i="1"/>
  <c r="H1484" i="1"/>
  <c r="H3695" i="1"/>
  <c r="H1162" i="1"/>
  <c r="H649" i="1"/>
  <c r="H3191" i="1"/>
  <c r="H549" i="1"/>
  <c r="H3503" i="1"/>
  <c r="H1805" i="1"/>
  <c r="H2162" i="1"/>
  <c r="H4532" i="1"/>
  <c r="H5095" i="1"/>
  <c r="H3246" i="1"/>
  <c r="H5" i="1"/>
  <c r="H5198" i="1"/>
  <c r="H4245" i="1"/>
  <c r="H3367" i="1"/>
  <c r="H983" i="1"/>
  <c r="H2165" i="1"/>
  <c r="H3447" i="1"/>
  <c r="H1345" i="1"/>
  <c r="H4474"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<sst xmlns="http://schemas.openxmlformats.org/spreadsheetml/2006/main" count="12629" uniqueCount="34">
  <si>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</si>
  <si>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</si>
  <si>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</si>
  <si>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</si>
  <si>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</si>
  <si>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</si>
  <si>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</si>
  <si>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</si>
  <si>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</si>
  <si>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</si>
  <si>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</si>
  <si>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</si>
  <si>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</si>
  <si>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</si>
  <si>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</si>
  <si>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</si>
  <si>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</si>
  <si>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</si>
  <si>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</si>
  <si>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</si>
  <si>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</si>
  <si>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</si>
  <si>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</si>
  <si>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</si>
  <si>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</si>
  <si>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</si>
  <si>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</si>
  <si>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</si>
  <si>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</si>
  <si>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</si>
  <si>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</si>
  <si>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</si>
  <si>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t>메일 수신일 (or 파일 작성일)</t>
    <phoneticPr fontId="5" type="noConversion"/>
  </si>
  <si>
    <r>
      <t xml:space="preserve">DJ </t>
    </r>
    <r>
      <rPr>
        <b/>
        <sz val="9"/>
        <color theme="0"/>
        <rFont val="맑은 고딕"/>
        <family val="3"/>
        <charset val="129"/>
      </rPr>
      <t>입력일</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</si>
</sst>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9" fillId="4" borderId="7" xfId="3" applyNumberFormat="1" applyFont="1" applyFill="1" applyBorder="1" applyAlignment="1">
      <alignment horizontal="center" vertical="center"/>
    </xf>
    <xf numFmtId="176" fontId="10"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3"/>
        <filter val="14"/>
        <filter val="15"/>
        <filter val="16"/>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484" activePane="bottomLeft" state="frozen"/>
      <selection activeCell="U1" sqref="U1:U1048576"/>
      <selection pane="bottomLeft" activeCell="E1516" sqref="E1516"/>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5976562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33</v>
      </c>
      <c r="J1" s="30" t="s">
        <v>32</v>
      </c>
    </row>
    <row r="2" spans="1:10" ht="15" hidden="1" customHeight="1" thickTop="1" x14ac:dyDescent="0.4">
      <c r="A2" s="9">
        <v>2026</v>
      </c>
      <c r="B2" s="9">
        <v>1</v>
      </c>
      <c r="C2" s="10" t="s">
        <v>28</v>
      </c>
      <c r="D2" s="11" t="s">
        <v>6</v>
      </c>
      <c r="E2" s="12" t="s">
        <v>7</v>
      </c>
      <c r="F2" s="21">
        <v>15</v>
      </c>
      <c r="H2" s="5" t="e">
        <f ca="1">_xlfn.FORMULATEXT(표1[[#This Row],[Q''ty]])</f>
        <v>#N/A</v>
      </c>
    </row>
    <row r="3" spans="1:10" s="2" customFormat="1" ht="15" hidden="1" customHeight="1" x14ac:dyDescent="0.4">
      <c r="A3" s="6">
        <v>2026</v>
      </c>
      <c r="B3" s="6">
        <v>1</v>
      </c>
      <c r="C3" s="13" t="s">
        <v>23</v>
      </c>
      <c r="D3" s="2" t="s">
        <v>6</v>
      </c>
      <c r="E3" s="14" t="s">
        <v>8</v>
      </c>
      <c r="F3" s="22">
        <v>10</v>
      </c>
      <c r="H3" s="5" t="e">
        <f ca="1">_xlfn.FORMULATEXT(표1[[#This Row],[Q''ty]])</f>
        <v>#N/A</v>
      </c>
      <c r="I3" s="26"/>
      <c r="J3" s="26"/>
    </row>
    <row r="4" spans="1:10" s="2" customFormat="1" ht="15" hidden="1" customHeight="1" x14ac:dyDescent="0.4">
      <c r="A4" s="6">
        <v>2026</v>
      </c>
      <c r="B4" s="6">
        <v>1</v>
      </c>
      <c r="C4" s="13" t="s">
        <v>23</v>
      </c>
      <c r="D4" s="2" t="s">
        <v>6</v>
      </c>
      <c r="E4" s="14" t="s">
        <v>9</v>
      </c>
      <c r="F4" s="22">
        <v>5</v>
      </c>
      <c r="H4" s="5" t="e">
        <f ca="1">_xlfn.FORMULATEXT(표1[[#This Row],[Q''ty]])</f>
        <v>#N/A</v>
      </c>
      <c r="I4" s="26"/>
      <c r="J4" s="26"/>
    </row>
    <row r="5" spans="1:10" ht="15" hidden="1" customHeight="1" x14ac:dyDescent="0.4">
      <c r="A5" s="6">
        <v>2026</v>
      </c>
      <c r="B5" s="6">
        <v>1</v>
      </c>
      <c r="C5" s="13" t="s">
        <v>23</v>
      </c>
      <c r="D5" s="2" t="s">
        <v>6</v>
      </c>
      <c r="E5" s="14" t="s">
        <v>27</v>
      </c>
      <c r="F5" s="22">
        <v>6</v>
      </c>
      <c r="H5" s="5" t="e">
        <f ca="1">_xlfn.FORMULATEXT(표1[[#This Row],[Q''ty]])</f>
        <v>#N/A</v>
      </c>
    </row>
    <row r="6" spans="1:10" ht="15" hidden="1" customHeight="1" x14ac:dyDescent="0.4">
      <c r="A6" s="6">
        <v>2026</v>
      </c>
      <c r="B6" s="6">
        <v>1</v>
      </c>
      <c r="C6" s="13" t="s">
        <v>23</v>
      </c>
      <c r="D6" s="2" t="s">
        <v>6</v>
      </c>
      <c r="E6" s="14" t="s">
        <v>10</v>
      </c>
      <c r="F6" s="22">
        <v>10</v>
      </c>
      <c r="H6" s="5" t="e">
        <f ca="1">_xlfn.FORMULATEXT(표1[[#This Row],[Q''ty]])</f>
        <v>#N/A</v>
      </c>
    </row>
    <row r="7" spans="1:10" ht="15" hidden="1" customHeight="1" x14ac:dyDescent="0.4">
      <c r="A7" s="6">
        <v>2026</v>
      </c>
      <c r="B7" s="6">
        <v>1</v>
      </c>
      <c r="C7" s="13" t="s">
        <v>23</v>
      </c>
      <c r="D7" s="2" t="s">
        <v>6</v>
      </c>
      <c r="E7" s="14" t="s">
        <v>11</v>
      </c>
      <c r="F7" s="22">
        <v>10</v>
      </c>
      <c r="H7" s="5" t="e">
        <f ca="1">_xlfn.FORMULATEXT(표1[[#This Row],[Q''ty]])</f>
        <v>#N/A</v>
      </c>
    </row>
    <row r="8" spans="1:10" ht="15" hidden="1" customHeight="1" x14ac:dyDescent="0.4">
      <c r="A8" s="6">
        <v>2026</v>
      </c>
      <c r="B8" s="6">
        <v>1</v>
      </c>
      <c r="C8" s="13" t="s">
        <v>23</v>
      </c>
      <c r="D8" s="2" t="s">
        <v>12</v>
      </c>
      <c r="E8" s="14" t="s">
        <v>13</v>
      </c>
      <c r="F8" s="22">
        <v>23</v>
      </c>
      <c r="H8" s="5" t="e">
        <f ca="1">_xlfn.FORMULATEXT(표1[[#This Row],[Q''ty]])</f>
        <v>#N/A</v>
      </c>
    </row>
    <row r="9" spans="1:10" s="2" customFormat="1" ht="15" hidden="1" customHeight="1" x14ac:dyDescent="0.4">
      <c r="A9" s="6">
        <v>2026</v>
      </c>
      <c r="B9" s="6">
        <v>1</v>
      </c>
      <c r="C9" s="13" t="s">
        <v>23</v>
      </c>
      <c r="D9" s="2" t="s">
        <v>12</v>
      </c>
      <c r="E9" s="14" t="s">
        <v>14</v>
      </c>
      <c r="F9" s="22">
        <v>19</v>
      </c>
      <c r="H9" s="5" t="e">
        <f ca="1">_xlfn.FORMULATEXT(표1[[#This Row],[Q''ty]])</f>
        <v>#N/A</v>
      </c>
      <c r="I9" s="26"/>
      <c r="J9" s="26"/>
    </row>
    <row r="10" spans="1:10" ht="15" hidden="1" customHeight="1" x14ac:dyDescent="0.4">
      <c r="A10" s="6">
        <v>2026</v>
      </c>
      <c r="B10" s="6">
        <v>1</v>
      </c>
      <c r="C10" s="13" t="s">
        <v>23</v>
      </c>
      <c r="D10" s="2" t="s">
        <v>12</v>
      </c>
      <c r="E10" s="14" t="s">
        <v>15</v>
      </c>
      <c r="F10" s="22">
        <v>217</v>
      </c>
      <c r="H10" s="5" t="e">
        <f ca="1">_xlfn.FORMULATEXT(표1[[#This Row],[Q''ty]])</f>
        <v>#N/A</v>
      </c>
    </row>
    <row r="11" spans="1:10" ht="15" hidden="1" customHeight="1" x14ac:dyDescent="0.4">
      <c r="A11" s="6">
        <v>2026</v>
      </c>
      <c r="B11" s="6">
        <v>1</v>
      </c>
      <c r="C11" s="13" t="s">
        <v>23</v>
      </c>
      <c r="D11" s="2" t="s">
        <v>12</v>
      </c>
      <c r="E11" s="14" t="s">
        <v>16</v>
      </c>
      <c r="F11" s="22">
        <v>217.2</v>
      </c>
      <c r="H11" s="5" t="e">
        <f ca="1">_xlfn.FORMULATEXT(표1[[#This Row],[Q''ty]])</f>
        <v>#N/A</v>
      </c>
    </row>
    <row r="12" spans="1:10" ht="15" hidden="1" customHeight="1" thickBot="1" x14ac:dyDescent="0.45">
      <c r="A12" s="15">
        <v>2026</v>
      </c>
      <c r="B12" s="15">
        <v>1</v>
      </c>
      <c r="C12" s="16" t="s">
        <v>23</v>
      </c>
      <c r="D12" s="17" t="s">
        <v>12</v>
      </c>
      <c r="E12" s="18" t="s">
        <v>17</v>
      </c>
      <c r="F12" s="23">
        <v>244.10000000000002</v>
      </c>
      <c r="H12" s="5" t="e">
        <f ca="1">_xlfn.FORMULATEXT(표1[[#This Row],[Q''ty]])</f>
        <v>#N/A</v>
      </c>
    </row>
    <row r="13" spans="1:10" ht="15" hidden="1" customHeight="1" thickTop="1" x14ac:dyDescent="0.4">
      <c r="A13" s="9">
        <v>2026</v>
      </c>
      <c r="B13" s="9">
        <v>1</v>
      </c>
      <c r="C13" s="10" t="s">
        <v>29</v>
      </c>
      <c r="D13" s="11" t="s">
        <v>6</v>
      </c>
      <c r="E13" s="12" t="s">
        <v>7</v>
      </c>
      <c r="F13" s="21">
        <v>14</v>
      </c>
      <c r="H13" s="5" t="e">
        <f ca="1">_xlfn.FORMULATEXT(표1[[#This Row],[Q''ty]])</f>
        <v>#N/A</v>
      </c>
    </row>
    <row r="14" spans="1:10" s="2" customFormat="1" ht="15" hidden="1" customHeight="1" x14ac:dyDescent="0.4">
      <c r="A14" s="6">
        <v>2026</v>
      </c>
      <c r="B14" s="6">
        <v>1</v>
      </c>
      <c r="C14" s="13" t="s">
        <v>24</v>
      </c>
      <c r="D14" s="2" t="s">
        <v>6</v>
      </c>
      <c r="E14" s="14" t="s">
        <v>8</v>
      </c>
      <c r="F14" s="22">
        <v>8</v>
      </c>
      <c r="H14" s="5" t="e">
        <f ca="1">_xlfn.FORMULATEXT(표1[[#This Row],[Q''ty]])</f>
        <v>#N/A</v>
      </c>
      <c r="I14" s="26"/>
      <c r="J14" s="26"/>
    </row>
    <row r="15" spans="1:10" s="2" customFormat="1" ht="15" hidden="1" customHeight="1" x14ac:dyDescent="0.4">
      <c r="A15" s="6">
        <v>2026</v>
      </c>
      <c r="B15" s="6">
        <v>1</v>
      </c>
      <c r="C15" s="13" t="s">
        <v>24</v>
      </c>
      <c r="D15" s="2" t="s">
        <v>6</v>
      </c>
      <c r="E15" s="14" t="s">
        <v>9</v>
      </c>
      <c r="F15" s="22">
        <v>4</v>
      </c>
      <c r="H15" s="5" t="e">
        <f ca="1">_xlfn.FORMULATEXT(표1[[#This Row],[Q''ty]])</f>
        <v>#N/A</v>
      </c>
      <c r="I15" s="26"/>
      <c r="J15" s="26"/>
    </row>
    <row r="16" spans="1:10" ht="15" hidden="1" customHeight="1" x14ac:dyDescent="0.4">
      <c r="A16" s="6">
        <v>2026</v>
      </c>
      <c r="B16" s="6">
        <v>1</v>
      </c>
      <c r="C16" s="13" t="s">
        <v>24</v>
      </c>
      <c r="D16" s="2" t="s">
        <v>6</v>
      </c>
      <c r="E16" s="14" t="s">
        <v>27</v>
      </c>
      <c r="F16" s="22">
        <v>3</v>
      </c>
      <c r="H16" s="5" t="e">
        <f ca="1">_xlfn.FORMULATEXT(표1[[#This Row],[Q''ty]])</f>
        <v>#N/A</v>
      </c>
    </row>
    <row r="17" spans="1:10" ht="15" hidden="1" customHeight="1" x14ac:dyDescent="0.4">
      <c r="A17" s="6">
        <v>2026</v>
      </c>
      <c r="B17" s="6">
        <v>1</v>
      </c>
      <c r="C17" s="13" t="s">
        <v>24</v>
      </c>
      <c r="D17" s="2" t="s">
        <v>6</v>
      </c>
      <c r="E17" s="14" t="s">
        <v>10</v>
      </c>
      <c r="F17" s="22">
        <v>6</v>
      </c>
      <c r="H17" s="5" t="e">
        <f ca="1">_xlfn.FORMULATEXT(표1[[#This Row],[Q''ty]])</f>
        <v>#N/A</v>
      </c>
    </row>
    <row r="18" spans="1:10" ht="15" hidden="1" customHeight="1" x14ac:dyDescent="0.4">
      <c r="A18" s="6">
        <v>2026</v>
      </c>
      <c r="B18" s="6">
        <v>1</v>
      </c>
      <c r="C18" s="13" t="s">
        <v>24</v>
      </c>
      <c r="D18" s="2" t="s">
        <v>6</v>
      </c>
      <c r="E18" s="14" t="s">
        <v>11</v>
      </c>
      <c r="F18" s="22">
        <v>8.8000000000000007</v>
      </c>
      <c r="H18" s="5" t="e">
        <f ca="1">_xlfn.FORMULATEXT(표1[[#This Row],[Q''ty]])</f>
        <v>#N/A</v>
      </c>
    </row>
    <row r="19" spans="1:10" ht="15" hidden="1" customHeight="1" x14ac:dyDescent="0.4">
      <c r="A19" s="6">
        <v>2026</v>
      </c>
      <c r="B19" s="6">
        <v>1</v>
      </c>
      <c r="C19" s="13" t="s">
        <v>24</v>
      </c>
      <c r="D19" s="2" t="s">
        <v>12</v>
      </c>
      <c r="E19" s="14" t="s">
        <v>13</v>
      </c>
      <c r="F19" s="22">
        <v>23</v>
      </c>
      <c r="H19" s="5" t="e">
        <f ca="1">_xlfn.FORMULATEXT(표1[[#This Row],[Q''ty]])</f>
        <v>#N/A</v>
      </c>
    </row>
    <row r="20" spans="1:10" s="2" customFormat="1" ht="15" hidden="1" customHeight="1" x14ac:dyDescent="0.4">
      <c r="A20" s="6">
        <v>2026</v>
      </c>
      <c r="B20" s="6">
        <v>1</v>
      </c>
      <c r="C20" s="13" t="s">
        <v>24</v>
      </c>
      <c r="D20" s="2" t="s">
        <v>12</v>
      </c>
      <c r="E20" s="14" t="s">
        <v>14</v>
      </c>
      <c r="F20" s="22">
        <v>22</v>
      </c>
      <c r="H20" s="5" t="e">
        <f ca="1">_xlfn.FORMULATEXT(표1[[#This Row],[Q''ty]])</f>
        <v>#N/A</v>
      </c>
      <c r="I20" s="26"/>
      <c r="J20" s="26"/>
    </row>
    <row r="21" spans="1:10" ht="15" hidden="1" customHeight="1" x14ac:dyDescent="0.4">
      <c r="A21" s="6">
        <v>2026</v>
      </c>
      <c r="B21" s="6">
        <v>1</v>
      </c>
      <c r="C21" s="13" t="s">
        <v>24</v>
      </c>
      <c r="D21" s="2" t="s">
        <v>12</v>
      </c>
      <c r="E21" s="14" t="s">
        <v>15</v>
      </c>
      <c r="F21" s="22">
        <v>156</v>
      </c>
      <c r="H21" s="5" t="e">
        <f ca="1">_xlfn.FORMULATEXT(표1[[#This Row],[Q''ty]])</f>
        <v>#N/A</v>
      </c>
    </row>
    <row r="22" spans="1:10" ht="15" hidden="1" customHeight="1" x14ac:dyDescent="0.4">
      <c r="A22" s="6">
        <v>2026</v>
      </c>
      <c r="B22" s="6">
        <v>1</v>
      </c>
      <c r="C22" s="13" t="s">
        <v>24</v>
      </c>
      <c r="D22" s="2" t="s">
        <v>12</v>
      </c>
      <c r="E22" s="14" t="s">
        <v>16</v>
      </c>
      <c r="F22" s="22">
        <v>158</v>
      </c>
      <c r="H22" s="5" t="e">
        <f ca="1">_xlfn.FORMULATEXT(표1[[#This Row],[Q''ty]])</f>
        <v>#N/A</v>
      </c>
    </row>
    <row r="23" spans="1:10" ht="15" hidden="1" customHeight="1" thickBot="1" x14ac:dyDescent="0.45">
      <c r="A23" s="15">
        <v>2026</v>
      </c>
      <c r="B23" s="15">
        <v>1</v>
      </c>
      <c r="C23" s="16" t="s">
        <v>24</v>
      </c>
      <c r="D23" s="17" t="s">
        <v>12</v>
      </c>
      <c r="E23" s="18" t="s">
        <v>17</v>
      </c>
      <c r="F23" s="23">
        <v>164.6</v>
      </c>
      <c r="H23" s="5" t="e">
        <f ca="1">_xlfn.FORMULATEXT(표1[[#This Row],[Q''ty]])</f>
        <v>#N/A</v>
      </c>
    </row>
    <row r="24" spans="1:10" ht="15" hidden="1" customHeight="1" thickTop="1" x14ac:dyDescent="0.4">
      <c r="A24" s="6">
        <v>2026</v>
      </c>
      <c r="B24" s="6">
        <v>1</v>
      </c>
      <c r="C24" s="13" t="s">
        <v>18</v>
      </c>
      <c r="D24" s="2" t="s">
        <v>6</v>
      </c>
      <c r="E24" s="14" t="s">
        <v>7</v>
      </c>
      <c r="F24" s="22">
        <v>5</v>
      </c>
      <c r="H24" s="5" t="e">
        <f ca="1">_xlfn.FORMULATEXT(표1[[#This Row],[Q''ty]])</f>
        <v>#N/A</v>
      </c>
    </row>
    <row r="25" spans="1:10" ht="15" hidden="1" customHeight="1" x14ac:dyDescent="0.4">
      <c r="A25" s="6">
        <v>2026</v>
      </c>
      <c r="B25" s="6">
        <v>1</v>
      </c>
      <c r="C25" s="13" t="s">
        <v>18</v>
      </c>
      <c r="D25" s="2" t="s">
        <v>6</v>
      </c>
      <c r="E25" s="14" t="s">
        <v>8</v>
      </c>
      <c r="F25" s="22">
        <v>3</v>
      </c>
      <c r="H25" s="5" t="e">
        <f ca="1">_xlfn.FORMULATEXT(표1[[#This Row],[Q''ty]])</f>
        <v>#N/A</v>
      </c>
    </row>
    <row r="26" spans="1:10" ht="15" hidden="1" customHeight="1" x14ac:dyDescent="0.4">
      <c r="A26" s="6">
        <v>2026</v>
      </c>
      <c r="B26" s="6">
        <v>1</v>
      </c>
      <c r="C26" s="13" t="s">
        <v>18</v>
      </c>
      <c r="D26" s="2" t="s">
        <v>6</v>
      </c>
      <c r="E26" s="14" t="s">
        <v>9</v>
      </c>
      <c r="F26" s="22">
        <v>2</v>
      </c>
      <c r="H26" s="5" t="e">
        <f ca="1">_xlfn.FORMULATEXT(표1[[#This Row],[Q''ty]])</f>
        <v>#N/A</v>
      </c>
    </row>
    <row r="27" spans="1:10" ht="15" hidden="1" customHeight="1" x14ac:dyDescent="0.4">
      <c r="A27" s="6">
        <v>2026</v>
      </c>
      <c r="B27" s="6">
        <v>1</v>
      </c>
      <c r="C27" s="13" t="s">
        <v>18</v>
      </c>
      <c r="D27" s="2" t="s">
        <v>6</v>
      </c>
      <c r="E27" s="14" t="s">
        <v>27</v>
      </c>
      <c r="F27" s="22">
        <v>2</v>
      </c>
      <c r="H27" s="5" t="e">
        <f ca="1">_xlfn.FORMULATEXT(표1[[#This Row],[Q''ty]])</f>
        <v>#N/A</v>
      </c>
    </row>
    <row r="28" spans="1:10" ht="15" hidden="1" customHeight="1" x14ac:dyDescent="0.4">
      <c r="A28" s="6">
        <v>2026</v>
      </c>
      <c r="B28" s="6">
        <v>1</v>
      </c>
      <c r="C28" s="13" t="s">
        <v>18</v>
      </c>
      <c r="D28" s="2" t="s">
        <v>6</v>
      </c>
      <c r="E28" s="14" t="s">
        <v>10</v>
      </c>
      <c r="F28" s="22">
        <v>2</v>
      </c>
      <c r="H28" s="5" t="e">
        <f ca="1">_xlfn.FORMULATEXT(표1[[#This Row],[Q''ty]])</f>
        <v>#N/A</v>
      </c>
    </row>
    <row r="29" spans="1:10" ht="15" hidden="1" customHeight="1" x14ac:dyDescent="0.4">
      <c r="A29" s="6">
        <v>2026</v>
      </c>
      <c r="B29" s="6">
        <v>1</v>
      </c>
      <c r="C29" s="13" t="s">
        <v>18</v>
      </c>
      <c r="D29" s="2" t="s">
        <v>6</v>
      </c>
      <c r="E29" s="14" t="s">
        <v>11</v>
      </c>
      <c r="F29" s="22">
        <v>3</v>
      </c>
      <c r="H29" s="5" t="e">
        <f ca="1">_xlfn.FORMULATEXT(표1[[#This Row],[Q''ty]])</f>
        <v>#N/A</v>
      </c>
    </row>
    <row r="30" spans="1:10" ht="15" hidden="1" customHeight="1" x14ac:dyDescent="0.4">
      <c r="A30" s="6">
        <v>2026</v>
      </c>
      <c r="B30" s="6">
        <v>1</v>
      </c>
      <c r="C30" s="13" t="s">
        <v>18</v>
      </c>
      <c r="D30" s="2" t="s">
        <v>12</v>
      </c>
      <c r="E30" s="14" t="s">
        <v>13</v>
      </c>
      <c r="F30" s="22">
        <v>0</v>
      </c>
      <c r="H30" s="5" t="e">
        <f ca="1">_xlfn.FORMULATEXT(표1[[#This Row],[Q''ty]])</f>
        <v>#N/A</v>
      </c>
    </row>
    <row r="31" spans="1:10" ht="15" hidden="1" customHeight="1" x14ac:dyDescent="0.4">
      <c r="A31" s="6">
        <v>2026</v>
      </c>
      <c r="B31" s="6">
        <v>1</v>
      </c>
      <c r="C31" s="13" t="s">
        <v>18</v>
      </c>
      <c r="D31" s="2" t="s">
        <v>12</v>
      </c>
      <c r="E31" s="14" t="s">
        <v>14</v>
      </c>
      <c r="F31" s="22">
        <v>0</v>
      </c>
      <c r="H31" s="5" t="e">
        <f ca="1">_xlfn.FORMULATEXT(표1[[#This Row],[Q''ty]])</f>
        <v>#N/A</v>
      </c>
    </row>
    <row r="32" spans="1:10" ht="15" hidden="1" customHeight="1" x14ac:dyDescent="0.4">
      <c r="A32" s="6">
        <v>2026</v>
      </c>
      <c r="B32" s="6">
        <v>1</v>
      </c>
      <c r="C32" s="13" t="s">
        <v>18</v>
      </c>
      <c r="D32" s="2" t="s">
        <v>12</v>
      </c>
      <c r="E32" s="14" t="s">
        <v>15</v>
      </c>
      <c r="F32" s="22">
        <v>0</v>
      </c>
      <c r="H32" s="5" t="e">
        <f ca="1">_xlfn.FORMULATEXT(표1[[#This Row],[Q''ty]])</f>
        <v>#N/A</v>
      </c>
    </row>
    <row r="33" spans="1:8" ht="15" hidden="1" customHeight="1" x14ac:dyDescent="0.4">
      <c r="A33" s="6">
        <v>2026</v>
      </c>
      <c r="B33" s="6">
        <v>1</v>
      </c>
      <c r="C33" s="13" t="s">
        <v>18</v>
      </c>
      <c r="D33" s="2" t="s">
        <v>12</v>
      </c>
      <c r="E33" s="14" t="s">
        <v>16</v>
      </c>
      <c r="F33" s="22">
        <v>0</v>
      </c>
      <c r="H33" s="5" t="e">
        <f ca="1">_xlfn.FORMULATEXT(표1[[#This Row],[Q''ty]])</f>
        <v>#N/A</v>
      </c>
    </row>
    <row r="34" spans="1:8" ht="15" hidden="1" customHeight="1" thickBot="1" x14ac:dyDescent="0.45">
      <c r="A34" s="15">
        <v>2026</v>
      </c>
      <c r="B34" s="15">
        <v>1</v>
      </c>
      <c r="C34" s="16" t="s">
        <v>18</v>
      </c>
      <c r="D34" s="17" t="s">
        <v>12</v>
      </c>
      <c r="E34" s="18" t="s">
        <v>17</v>
      </c>
      <c r="F34" s="23">
        <v>0</v>
      </c>
      <c r="H34" s="5" t="e">
        <f ca="1">_xlfn.FORMULATEXT(표1[[#This Row],[Q''ty]])</f>
        <v>#N/A</v>
      </c>
    </row>
    <row r="35" spans="1:8" ht="15" hidden="1" customHeight="1" thickTop="1" x14ac:dyDescent="0.4">
      <c r="A35" s="6">
        <v>2026</v>
      </c>
      <c r="B35" s="6">
        <v>1</v>
      </c>
      <c r="C35" s="13" t="s">
        <v>19</v>
      </c>
      <c r="D35" s="2" t="s">
        <v>6</v>
      </c>
      <c r="E35" s="14" t="s">
        <v>7</v>
      </c>
      <c r="F35" s="22">
        <v>20</v>
      </c>
      <c r="H35" s="5" t="e">
        <f ca="1">_xlfn.FORMULATEXT(표1[[#This Row],[Q''ty]])</f>
        <v>#N/A</v>
      </c>
    </row>
    <row r="36" spans="1:8" ht="15" hidden="1" customHeight="1" x14ac:dyDescent="0.4">
      <c r="A36" s="6">
        <v>2026</v>
      </c>
      <c r="B36" s="6">
        <v>1</v>
      </c>
      <c r="C36" s="13" t="s">
        <v>19</v>
      </c>
      <c r="D36" s="2" t="s">
        <v>6</v>
      </c>
      <c r="E36" s="14" t="s">
        <v>8</v>
      </c>
      <c r="F36" s="22">
        <v>22</v>
      </c>
      <c r="H36" s="5" t="e">
        <f ca="1">_xlfn.FORMULATEXT(표1[[#This Row],[Q''ty]])</f>
        <v>#N/A</v>
      </c>
    </row>
    <row r="37" spans="1:8" ht="15" hidden="1" customHeight="1" x14ac:dyDescent="0.4">
      <c r="A37" s="6">
        <v>2026</v>
      </c>
      <c r="B37" s="6">
        <v>1</v>
      </c>
      <c r="C37" s="13" t="s">
        <v>19</v>
      </c>
      <c r="D37" s="2" t="s">
        <v>6</v>
      </c>
      <c r="E37" s="14" t="s">
        <v>9</v>
      </c>
      <c r="F37" s="22">
        <v>6</v>
      </c>
      <c r="H37" s="5" t="e">
        <f ca="1">_xlfn.FORMULATEXT(표1[[#This Row],[Q''ty]])</f>
        <v>#N/A</v>
      </c>
    </row>
    <row r="38" spans="1:8" ht="15" hidden="1" customHeight="1" x14ac:dyDescent="0.4">
      <c r="A38" s="6">
        <v>2026</v>
      </c>
      <c r="B38" s="6">
        <v>1</v>
      </c>
      <c r="C38" s="13" t="s">
        <v>19</v>
      </c>
      <c r="D38" s="2" t="s">
        <v>6</v>
      </c>
      <c r="E38" s="14" t="s">
        <v>27</v>
      </c>
      <c r="F38" s="22">
        <v>4</v>
      </c>
      <c r="H38" s="5" t="e">
        <f ca="1">_xlfn.FORMULATEXT(표1[[#This Row],[Q''ty]])</f>
        <v>#N/A</v>
      </c>
    </row>
    <row r="39" spans="1:8" ht="15" hidden="1" customHeight="1" x14ac:dyDescent="0.4">
      <c r="A39" s="6">
        <v>2026</v>
      </c>
      <c r="B39" s="6">
        <v>1</v>
      </c>
      <c r="C39" s="13" t="s">
        <v>19</v>
      </c>
      <c r="D39" s="2" t="s">
        <v>6</v>
      </c>
      <c r="E39" s="14" t="s">
        <v>10</v>
      </c>
      <c r="F39" s="22">
        <v>10</v>
      </c>
      <c r="H39" s="5" t="e">
        <f ca="1">_xlfn.FORMULATEXT(표1[[#This Row],[Q''ty]])</f>
        <v>#N/A</v>
      </c>
    </row>
    <row r="40" spans="1:8" ht="15" hidden="1" customHeight="1" x14ac:dyDescent="0.4">
      <c r="A40" s="6">
        <v>2026</v>
      </c>
      <c r="B40" s="6">
        <v>1</v>
      </c>
      <c r="C40" s="13" t="s">
        <v>19</v>
      </c>
      <c r="D40" s="2" t="s">
        <v>6</v>
      </c>
      <c r="E40" s="14" t="s">
        <v>11</v>
      </c>
      <c r="F40" s="22">
        <v>12</v>
      </c>
      <c r="H40" s="5" t="e">
        <f ca="1">_xlfn.FORMULATEXT(표1[[#This Row],[Q''ty]])</f>
        <v>#N/A</v>
      </c>
    </row>
    <row r="41" spans="1:8" ht="15" hidden="1" customHeight="1" x14ac:dyDescent="0.4">
      <c r="A41" s="6">
        <v>2026</v>
      </c>
      <c r="B41" s="6">
        <v>1</v>
      </c>
      <c r="C41" s="13" t="s">
        <v>19</v>
      </c>
      <c r="D41" s="2" t="s">
        <v>12</v>
      </c>
      <c r="E41" s="14" t="s">
        <v>13</v>
      </c>
      <c r="F41" s="22">
        <v>24</v>
      </c>
      <c r="H41" s="5" t="e">
        <f ca="1">_xlfn.FORMULATEXT(표1[[#This Row],[Q''ty]])</f>
        <v>#N/A</v>
      </c>
    </row>
    <row r="42" spans="1:8" ht="15" hidden="1" customHeight="1" x14ac:dyDescent="0.4">
      <c r="A42" s="6">
        <v>2026</v>
      </c>
      <c r="B42" s="6">
        <v>1</v>
      </c>
      <c r="C42" s="13" t="s">
        <v>19</v>
      </c>
      <c r="D42" s="2" t="s">
        <v>12</v>
      </c>
      <c r="E42" s="14" t="s">
        <v>14</v>
      </c>
      <c r="F42" s="22">
        <v>24</v>
      </c>
      <c r="H42" s="5" t="e">
        <f ca="1">_xlfn.FORMULATEXT(표1[[#This Row],[Q''ty]])</f>
        <v>#N/A</v>
      </c>
    </row>
    <row r="43" spans="1:8" ht="15" hidden="1" customHeight="1" x14ac:dyDescent="0.4">
      <c r="A43" s="6">
        <v>2026</v>
      </c>
      <c r="B43" s="6">
        <v>1</v>
      </c>
      <c r="C43" s="13" t="s">
        <v>19</v>
      </c>
      <c r="D43" s="2" t="s">
        <v>12</v>
      </c>
      <c r="E43" s="14" t="s">
        <v>15</v>
      </c>
      <c r="F43" s="22">
        <v>215</v>
      </c>
      <c r="H43" s="5" t="e">
        <f ca="1">_xlfn.FORMULATEXT(표1[[#This Row],[Q''ty]])</f>
        <v>#N/A</v>
      </c>
    </row>
    <row r="44" spans="1:8" ht="15" hidden="1" customHeight="1" x14ac:dyDescent="0.4">
      <c r="A44" s="6">
        <v>2026</v>
      </c>
      <c r="B44" s="6">
        <v>1</v>
      </c>
      <c r="C44" s="13" t="s">
        <v>19</v>
      </c>
      <c r="D44" s="2" t="s">
        <v>12</v>
      </c>
      <c r="E44" s="14" t="s">
        <v>16</v>
      </c>
      <c r="F44" s="22">
        <v>215</v>
      </c>
      <c r="H44" s="5" t="e">
        <f ca="1">_xlfn.FORMULATEXT(표1[[#This Row],[Q''ty]])</f>
        <v>#N/A</v>
      </c>
    </row>
    <row r="45" spans="1:8" ht="15" hidden="1" customHeight="1" thickBot="1" x14ac:dyDescent="0.45">
      <c r="A45" s="15">
        <v>2026</v>
      </c>
      <c r="B45" s="15">
        <v>1</v>
      </c>
      <c r="C45" s="16" t="s">
        <v>19</v>
      </c>
      <c r="D45" s="17" t="s">
        <v>12</v>
      </c>
      <c r="E45" s="18" t="s">
        <v>17</v>
      </c>
      <c r="F45" s="23">
        <v>247</v>
      </c>
      <c r="H45" s="5" t="e">
        <f ca="1">_xlfn.FORMULATEXT(표1[[#This Row],[Q''ty]])</f>
        <v>#N/A</v>
      </c>
    </row>
    <row r="46" spans="1:8" ht="15" hidden="1" customHeight="1" thickTop="1" x14ac:dyDescent="0.4">
      <c r="A46" s="6">
        <v>2026</v>
      </c>
      <c r="B46" s="6">
        <v>1</v>
      </c>
      <c r="C46" s="13" t="s">
        <v>30</v>
      </c>
      <c r="D46" s="2" t="s">
        <v>6</v>
      </c>
      <c r="E46" s="14" t="s">
        <v>7</v>
      </c>
      <c r="F46" s="22">
        <v>3</v>
      </c>
      <c r="H46" s="5" t="e">
        <f ca="1">_xlfn.FORMULATEXT(표1[[#This Row],[Q''ty]])</f>
        <v>#N/A</v>
      </c>
    </row>
    <row r="47" spans="1:8" ht="15" hidden="1" customHeight="1" x14ac:dyDescent="0.4">
      <c r="A47" s="6">
        <v>2026</v>
      </c>
      <c r="B47" s="6">
        <v>1</v>
      </c>
      <c r="C47" s="13" t="s">
        <v>25</v>
      </c>
      <c r="D47" s="2" t="s">
        <v>6</v>
      </c>
      <c r="E47" s="14" t="s">
        <v>8</v>
      </c>
      <c r="F47" s="22">
        <v>3</v>
      </c>
      <c r="H47" s="5" t="e">
        <f ca="1">_xlfn.FORMULATEXT(표1[[#This Row],[Q''ty]])</f>
        <v>#N/A</v>
      </c>
    </row>
    <row r="48" spans="1:8" ht="15" hidden="1" customHeight="1" x14ac:dyDescent="0.4">
      <c r="A48" s="6">
        <v>2026</v>
      </c>
      <c r="B48" s="6">
        <v>1</v>
      </c>
      <c r="C48" s="13" t="s">
        <v>25</v>
      </c>
      <c r="D48" s="2" t="s">
        <v>6</v>
      </c>
      <c r="E48" s="14" t="s">
        <v>9</v>
      </c>
      <c r="F48" s="22">
        <v>2</v>
      </c>
      <c r="H48" s="5" t="e">
        <f ca="1">_xlfn.FORMULATEXT(표1[[#This Row],[Q''ty]])</f>
        <v>#N/A</v>
      </c>
    </row>
    <row r="49" spans="1:8" ht="15" hidden="1" customHeight="1" x14ac:dyDescent="0.4">
      <c r="A49" s="6">
        <v>2026</v>
      </c>
      <c r="B49" s="6">
        <v>1</v>
      </c>
      <c r="C49" s="13" t="s">
        <v>25</v>
      </c>
      <c r="D49" s="2" t="s">
        <v>6</v>
      </c>
      <c r="E49" s="14" t="s">
        <v>27</v>
      </c>
      <c r="F49" s="22">
        <v>2</v>
      </c>
      <c r="H49" s="5" t="e">
        <f ca="1">_xlfn.FORMULATEXT(표1[[#This Row],[Q''ty]])</f>
        <v>#N/A</v>
      </c>
    </row>
    <row r="50" spans="1:8" ht="15" hidden="1" customHeight="1" x14ac:dyDescent="0.4">
      <c r="A50" s="6">
        <v>2026</v>
      </c>
      <c r="B50" s="6">
        <v>1</v>
      </c>
      <c r="C50" s="13" t="s">
        <v>25</v>
      </c>
      <c r="D50" s="2" t="s">
        <v>6</v>
      </c>
      <c r="E50" s="14" t="s">
        <v>10</v>
      </c>
      <c r="F50" s="22">
        <v>3</v>
      </c>
      <c r="H50" s="5" t="e">
        <f ca="1">_xlfn.FORMULATEXT(표1[[#This Row],[Q''ty]])</f>
        <v>#N/A</v>
      </c>
    </row>
    <row r="51" spans="1:8" ht="15" hidden="1" customHeight="1" x14ac:dyDescent="0.4">
      <c r="A51" s="6">
        <v>2026</v>
      </c>
      <c r="B51" s="6">
        <v>1</v>
      </c>
      <c r="C51" s="13" t="s">
        <v>25</v>
      </c>
      <c r="D51" s="2" t="s">
        <v>6</v>
      </c>
      <c r="E51" s="14" t="s">
        <v>11</v>
      </c>
      <c r="F51" s="22">
        <v>4</v>
      </c>
      <c r="H51" s="5" t="e">
        <f ca="1">_xlfn.FORMULATEXT(표1[[#This Row],[Q''ty]])</f>
        <v>#N/A</v>
      </c>
    </row>
    <row r="52" spans="1:8" ht="15" hidden="1" customHeight="1" x14ac:dyDescent="0.4">
      <c r="A52" s="6">
        <v>2026</v>
      </c>
      <c r="B52" s="6">
        <v>1</v>
      </c>
      <c r="C52" s="13" t="s">
        <v>25</v>
      </c>
      <c r="D52" s="2" t="s">
        <v>12</v>
      </c>
      <c r="E52" s="14" t="s">
        <v>13</v>
      </c>
      <c r="F52" s="22">
        <v>0</v>
      </c>
      <c r="H52" s="5" t="e">
        <f ca="1">_xlfn.FORMULATEXT(표1[[#This Row],[Q''ty]])</f>
        <v>#N/A</v>
      </c>
    </row>
    <row r="53" spans="1:8" ht="15" hidden="1" customHeight="1" x14ac:dyDescent="0.4">
      <c r="A53" s="6">
        <v>2026</v>
      </c>
      <c r="B53" s="6">
        <v>1</v>
      </c>
      <c r="C53" s="13" t="s">
        <v>25</v>
      </c>
      <c r="D53" s="2" t="s">
        <v>12</v>
      </c>
      <c r="E53" s="14" t="s">
        <v>14</v>
      </c>
      <c r="F53" s="22">
        <v>0</v>
      </c>
      <c r="H53" s="5" t="e">
        <f ca="1">_xlfn.FORMULATEXT(표1[[#This Row],[Q''ty]])</f>
        <v>#N/A</v>
      </c>
    </row>
    <row r="54" spans="1:8" ht="15" hidden="1" customHeight="1" x14ac:dyDescent="0.4">
      <c r="A54" s="6">
        <v>2026</v>
      </c>
      <c r="B54" s="6">
        <v>1</v>
      </c>
      <c r="C54" s="13" t="s">
        <v>25</v>
      </c>
      <c r="D54" s="2" t="s">
        <v>12</v>
      </c>
      <c r="E54" s="14" t="s">
        <v>15</v>
      </c>
      <c r="F54" s="22">
        <v>0</v>
      </c>
      <c r="H54" s="5" t="e">
        <f ca="1">_xlfn.FORMULATEXT(표1[[#This Row],[Q''ty]])</f>
        <v>#N/A</v>
      </c>
    </row>
    <row r="55" spans="1:8" ht="15" hidden="1" customHeight="1" x14ac:dyDescent="0.4">
      <c r="A55" s="6">
        <v>2026</v>
      </c>
      <c r="B55" s="6">
        <v>1</v>
      </c>
      <c r="C55" s="13" t="s">
        <v>25</v>
      </c>
      <c r="D55" s="2" t="s">
        <v>12</v>
      </c>
      <c r="E55" s="14" t="s">
        <v>16</v>
      </c>
      <c r="F55" s="22">
        <v>0</v>
      </c>
      <c r="H55" s="5" t="e">
        <f ca="1">_xlfn.FORMULATEXT(표1[[#This Row],[Q''ty]])</f>
        <v>#N/A</v>
      </c>
    </row>
    <row r="56" spans="1:8" ht="15" hidden="1" customHeight="1" thickBot="1" x14ac:dyDescent="0.45">
      <c r="A56" s="15">
        <v>2026</v>
      </c>
      <c r="B56" s="15">
        <v>1</v>
      </c>
      <c r="C56" s="16" t="s">
        <v>25</v>
      </c>
      <c r="D56" s="17" t="s">
        <v>12</v>
      </c>
      <c r="E56" s="18" t="s">
        <v>17</v>
      </c>
      <c r="F56" s="23">
        <v>0</v>
      </c>
      <c r="H56" s="5" t="e">
        <f ca="1">_xlfn.FORMULATEXT(표1[[#This Row],[Q''ty]])</f>
        <v>#N/A</v>
      </c>
    </row>
    <row r="57" spans="1:8" ht="15" hidden="1" customHeight="1" thickTop="1" x14ac:dyDescent="0.4">
      <c r="A57" s="6">
        <v>2026</v>
      </c>
      <c r="B57" s="6">
        <v>1</v>
      </c>
      <c r="C57" s="13" t="s">
        <v>31</v>
      </c>
      <c r="D57" s="2" t="s">
        <v>6</v>
      </c>
      <c r="E57" s="14" t="s">
        <v>7</v>
      </c>
      <c r="F57" s="22">
        <v>6</v>
      </c>
      <c r="H57" s="5" t="e">
        <f ca="1">_xlfn.FORMULATEXT(표1[[#This Row],[Q''ty]])</f>
        <v>#N/A</v>
      </c>
    </row>
    <row r="58" spans="1:8" ht="15" hidden="1" customHeight="1" x14ac:dyDescent="0.4">
      <c r="A58" s="6">
        <v>2026</v>
      </c>
      <c r="B58" s="6">
        <v>1</v>
      </c>
      <c r="C58" s="13" t="s">
        <v>26</v>
      </c>
      <c r="D58" s="2" t="s">
        <v>6</v>
      </c>
      <c r="E58" s="14" t="s">
        <v>8</v>
      </c>
      <c r="F58" s="22">
        <v>4</v>
      </c>
      <c r="H58" s="5" t="e">
        <f ca="1">_xlfn.FORMULATEXT(표1[[#This Row],[Q''ty]])</f>
        <v>#N/A</v>
      </c>
    </row>
    <row r="59" spans="1:8" ht="15" hidden="1" customHeight="1" x14ac:dyDescent="0.4">
      <c r="A59" s="6">
        <v>2026</v>
      </c>
      <c r="B59" s="6">
        <v>1</v>
      </c>
      <c r="C59" s="13" t="s">
        <v>26</v>
      </c>
      <c r="D59" s="2" t="s">
        <v>6</v>
      </c>
      <c r="E59" s="14" t="s">
        <v>9</v>
      </c>
      <c r="F59" s="22">
        <v>2</v>
      </c>
      <c r="H59" s="5" t="e">
        <f ca="1">_xlfn.FORMULATEXT(표1[[#This Row],[Q''ty]])</f>
        <v>#N/A</v>
      </c>
    </row>
    <row r="60" spans="1:8" ht="15" hidden="1" customHeight="1" x14ac:dyDescent="0.4">
      <c r="A60" s="6">
        <v>2026</v>
      </c>
      <c r="B60" s="6">
        <v>1</v>
      </c>
      <c r="C60" s="13" t="s">
        <v>26</v>
      </c>
      <c r="D60" s="2" t="s">
        <v>6</v>
      </c>
      <c r="E60" s="14" t="s">
        <v>27</v>
      </c>
      <c r="F60" s="22">
        <v>3</v>
      </c>
      <c r="H60" s="5" t="e">
        <f ca="1">_xlfn.FORMULATEXT(표1[[#This Row],[Q''ty]])</f>
        <v>#N/A</v>
      </c>
    </row>
    <row r="61" spans="1:8" ht="15" hidden="1" customHeight="1" x14ac:dyDescent="0.4">
      <c r="A61" s="6">
        <v>2026</v>
      </c>
      <c r="B61" s="6">
        <v>1</v>
      </c>
      <c r="C61" s="13" t="s">
        <v>26</v>
      </c>
      <c r="D61" s="2" t="s">
        <v>6</v>
      </c>
      <c r="E61" s="14" t="s">
        <v>10</v>
      </c>
      <c r="F61" s="22">
        <v>4</v>
      </c>
      <c r="H61" s="5" t="e">
        <f ca="1">_xlfn.FORMULATEXT(표1[[#This Row],[Q''ty]])</f>
        <v>#N/A</v>
      </c>
    </row>
    <row r="62" spans="1:8" ht="15" hidden="1" customHeight="1" x14ac:dyDescent="0.4">
      <c r="A62" s="6">
        <v>2026</v>
      </c>
      <c r="B62" s="6">
        <v>1</v>
      </c>
      <c r="C62" s="13" t="s">
        <v>26</v>
      </c>
      <c r="D62" s="2" t="s">
        <v>6</v>
      </c>
      <c r="E62" s="14" t="s">
        <v>11</v>
      </c>
      <c r="F62" s="22">
        <v>6</v>
      </c>
      <c r="H62" s="5" t="e">
        <f ca="1">_xlfn.FORMULATEXT(표1[[#This Row],[Q''ty]])</f>
        <v>#N/A</v>
      </c>
    </row>
    <row r="63" spans="1:8" ht="15" hidden="1" customHeight="1" x14ac:dyDescent="0.4">
      <c r="A63" s="6">
        <v>2026</v>
      </c>
      <c r="B63" s="6">
        <v>1</v>
      </c>
      <c r="C63" s="13" t="s">
        <v>26</v>
      </c>
      <c r="D63" s="2" t="s">
        <v>12</v>
      </c>
      <c r="E63" s="14" t="s">
        <v>13</v>
      </c>
      <c r="F63" s="22">
        <v>15</v>
      </c>
      <c r="H63" s="5" t="e">
        <f ca="1">_xlfn.FORMULATEXT(표1[[#This Row],[Q''ty]])</f>
        <v>#N/A</v>
      </c>
    </row>
    <row r="64" spans="1:8" ht="15" hidden="1" customHeight="1" x14ac:dyDescent="0.4">
      <c r="A64" s="6">
        <v>2026</v>
      </c>
      <c r="B64" s="6">
        <v>1</v>
      </c>
      <c r="C64" s="13" t="s">
        <v>26</v>
      </c>
      <c r="D64" s="2" t="s">
        <v>12</v>
      </c>
      <c r="E64" s="14" t="s">
        <v>14</v>
      </c>
      <c r="F64" s="22">
        <v>20</v>
      </c>
      <c r="H64" s="5" t="e">
        <f ca="1">_xlfn.FORMULATEXT(표1[[#This Row],[Q''ty]])</f>
        <v>#N/A</v>
      </c>
    </row>
    <row r="65" spans="1:8" ht="15" hidden="1" customHeight="1" x14ac:dyDescent="0.4">
      <c r="A65" s="6">
        <v>2026</v>
      </c>
      <c r="B65" s="6">
        <v>1</v>
      </c>
      <c r="C65" s="13" t="s">
        <v>26</v>
      </c>
      <c r="D65" s="2" t="s">
        <v>12</v>
      </c>
      <c r="E65" s="14" t="s">
        <v>15</v>
      </c>
      <c r="F65" s="22">
        <v>118</v>
      </c>
      <c r="H65" s="5" t="e">
        <f ca="1">_xlfn.FORMULATEXT(표1[[#This Row],[Q''ty]])</f>
        <v>#N/A</v>
      </c>
    </row>
    <row r="66" spans="1:8" ht="15" hidden="1" customHeight="1" x14ac:dyDescent="0.4">
      <c r="A66" s="6">
        <v>2026</v>
      </c>
      <c r="B66" s="6">
        <v>1</v>
      </c>
      <c r="C66" s="13" t="s">
        <v>26</v>
      </c>
      <c r="D66" s="2" t="s">
        <v>12</v>
      </c>
      <c r="E66" s="14" t="s">
        <v>16</v>
      </c>
      <c r="F66" s="22">
        <v>124</v>
      </c>
      <c r="H66" s="5" t="e">
        <f ca="1">_xlfn.FORMULATEXT(표1[[#This Row],[Q''ty]])</f>
        <v>#N/A</v>
      </c>
    </row>
    <row r="67" spans="1:8" ht="15" hidden="1" customHeight="1" thickBot="1" x14ac:dyDescent="0.45">
      <c r="A67" s="15">
        <v>2026</v>
      </c>
      <c r="B67" s="15">
        <v>1</v>
      </c>
      <c r="C67" s="16" t="s">
        <v>26</v>
      </c>
      <c r="D67" s="17" t="s">
        <v>12</v>
      </c>
      <c r="E67" s="18" t="s">
        <v>17</v>
      </c>
      <c r="F67" s="23">
        <v>158</v>
      </c>
      <c r="H67" s="5" t="e">
        <f ca="1">_xlfn.FORMULATEXT(표1[[#This Row],[Q''ty]])</f>
        <v>#N/A</v>
      </c>
    </row>
    <row r="68" spans="1:8" ht="15" hidden="1" customHeight="1" thickTop="1" x14ac:dyDescent="0.4">
      <c r="A68" s="6">
        <v>2026</v>
      </c>
      <c r="B68" s="6">
        <v>1</v>
      </c>
      <c r="C68" s="13" t="s">
        <v>20</v>
      </c>
      <c r="D68" s="2" t="s">
        <v>6</v>
      </c>
      <c r="E68" s="14" t="s">
        <v>7</v>
      </c>
      <c r="F68" s="22">
        <v>30</v>
      </c>
      <c r="H68" s="5" t="e">
        <f ca="1">_xlfn.FORMULATEXT(표1[[#This Row],[Q''ty]])</f>
        <v>#N/A</v>
      </c>
    </row>
    <row r="69" spans="1:8" ht="15" hidden="1" customHeight="1" x14ac:dyDescent="0.4">
      <c r="A69" s="6">
        <v>2026</v>
      </c>
      <c r="B69" s="6">
        <v>1</v>
      </c>
      <c r="C69" s="13" t="s">
        <v>20</v>
      </c>
      <c r="D69" s="2" t="s">
        <v>6</v>
      </c>
      <c r="E69" s="14" t="s">
        <v>8</v>
      </c>
      <c r="F69" s="22">
        <v>16</v>
      </c>
      <c r="H69" s="5" t="e">
        <f ca="1">_xlfn.FORMULATEXT(표1[[#This Row],[Q''ty]])</f>
        <v>#N/A</v>
      </c>
    </row>
    <row r="70" spans="1:8" ht="15" hidden="1" customHeight="1" x14ac:dyDescent="0.4">
      <c r="A70" s="6">
        <v>2026</v>
      </c>
      <c r="B70" s="6">
        <v>1</v>
      </c>
      <c r="C70" s="13" t="s">
        <v>20</v>
      </c>
      <c r="D70" s="2" t="s">
        <v>6</v>
      </c>
      <c r="E70" s="14" t="s">
        <v>9</v>
      </c>
      <c r="F70" s="22">
        <v>8</v>
      </c>
      <c r="H70" s="5" t="e">
        <f ca="1">_xlfn.FORMULATEXT(표1[[#This Row],[Q''ty]])</f>
        <v>#N/A</v>
      </c>
    </row>
    <row r="71" spans="1:8" ht="15" hidden="1" customHeight="1" x14ac:dyDescent="0.4">
      <c r="A71" s="6">
        <v>2026</v>
      </c>
      <c r="B71" s="6">
        <v>1</v>
      </c>
      <c r="C71" s="13" t="s">
        <v>20</v>
      </c>
      <c r="D71" s="2" t="s">
        <v>6</v>
      </c>
      <c r="E71" s="14" t="s">
        <v>27</v>
      </c>
      <c r="F71" s="22">
        <v>6</v>
      </c>
      <c r="H71" s="5" t="e">
        <f ca="1">_xlfn.FORMULATEXT(표1[[#This Row],[Q''ty]])</f>
        <v>#N/A</v>
      </c>
    </row>
    <row r="72" spans="1:8" ht="15" hidden="1" customHeight="1" x14ac:dyDescent="0.4">
      <c r="A72" s="6">
        <v>2026</v>
      </c>
      <c r="B72" s="6">
        <v>1</v>
      </c>
      <c r="C72" s="13" t="s">
        <v>20</v>
      </c>
      <c r="D72" s="2" t="s">
        <v>6</v>
      </c>
      <c r="E72" s="14" t="s">
        <v>10</v>
      </c>
      <c r="F72" s="22">
        <v>11</v>
      </c>
      <c r="H72" s="5" t="e">
        <f ca="1">_xlfn.FORMULATEXT(표1[[#This Row],[Q''ty]])</f>
        <v>#N/A</v>
      </c>
    </row>
    <row r="73" spans="1:8" ht="15" hidden="1" customHeight="1" x14ac:dyDescent="0.4">
      <c r="A73" s="6">
        <v>2026</v>
      </c>
      <c r="B73" s="6">
        <v>1</v>
      </c>
      <c r="C73" s="13" t="s">
        <v>20</v>
      </c>
      <c r="D73" s="2" t="s">
        <v>6</v>
      </c>
      <c r="E73" s="14" t="s">
        <v>11</v>
      </c>
      <c r="F73" s="22">
        <v>15</v>
      </c>
      <c r="H73" s="5" t="e">
        <f ca="1">_xlfn.FORMULATEXT(표1[[#This Row],[Q''ty]])</f>
        <v>#N/A</v>
      </c>
    </row>
    <row r="74" spans="1:8" ht="15" hidden="1" customHeight="1" x14ac:dyDescent="0.4">
      <c r="A74" s="6">
        <v>2026</v>
      </c>
      <c r="B74" s="6">
        <v>1</v>
      </c>
      <c r="C74" s="13" t="s">
        <v>20</v>
      </c>
      <c r="D74" s="2" t="s">
        <v>12</v>
      </c>
      <c r="E74" s="14" t="s">
        <v>13</v>
      </c>
      <c r="F74" s="22">
        <v>0</v>
      </c>
      <c r="H74" s="5" t="e">
        <f ca="1">_xlfn.FORMULATEXT(표1[[#This Row],[Q''ty]])</f>
        <v>#N/A</v>
      </c>
    </row>
    <row r="75" spans="1:8" ht="15" hidden="1" customHeight="1" x14ac:dyDescent="0.4">
      <c r="A75" s="6">
        <v>2026</v>
      </c>
      <c r="B75" s="6">
        <v>1</v>
      </c>
      <c r="C75" s="13" t="s">
        <v>20</v>
      </c>
      <c r="D75" s="2" t="s">
        <v>12</v>
      </c>
      <c r="E75" s="14" t="s">
        <v>14</v>
      </c>
      <c r="F75" s="22">
        <v>0</v>
      </c>
      <c r="H75" s="5" t="e">
        <f ca="1">_xlfn.FORMULATEXT(표1[[#This Row],[Q''ty]])</f>
        <v>#N/A</v>
      </c>
    </row>
    <row r="76" spans="1:8" ht="15" hidden="1" customHeight="1" x14ac:dyDescent="0.4">
      <c r="A76" s="6">
        <v>2026</v>
      </c>
      <c r="B76" s="6">
        <v>1</v>
      </c>
      <c r="C76" s="13" t="s">
        <v>20</v>
      </c>
      <c r="D76" s="2" t="s">
        <v>12</v>
      </c>
      <c r="E76" s="14" t="s">
        <v>15</v>
      </c>
      <c r="F76" s="22">
        <v>0</v>
      </c>
      <c r="H76" s="5" t="e">
        <f ca="1">_xlfn.FORMULATEXT(표1[[#This Row],[Q''ty]])</f>
        <v>#N/A</v>
      </c>
    </row>
    <row r="77" spans="1:8" ht="15" hidden="1" customHeight="1" x14ac:dyDescent="0.4">
      <c r="A77" s="6">
        <v>2026</v>
      </c>
      <c r="B77" s="6">
        <v>1</v>
      </c>
      <c r="C77" s="13" t="s">
        <v>20</v>
      </c>
      <c r="D77" s="2" t="s">
        <v>12</v>
      </c>
      <c r="E77" s="14" t="s">
        <v>16</v>
      </c>
      <c r="F77" s="22">
        <v>0</v>
      </c>
      <c r="H77" s="5" t="e">
        <f ca="1">_xlfn.FORMULATEXT(표1[[#This Row],[Q''ty]])</f>
        <v>#N/A</v>
      </c>
    </row>
    <row r="78" spans="1:8" ht="15" hidden="1" customHeight="1" thickBot="1" x14ac:dyDescent="0.45">
      <c r="A78" s="15">
        <v>2026</v>
      </c>
      <c r="B78" s="15">
        <v>1</v>
      </c>
      <c r="C78" s="16" t="s">
        <v>20</v>
      </c>
      <c r="D78" s="17" t="s">
        <v>12</v>
      </c>
      <c r="E78" s="18" t="s">
        <v>17</v>
      </c>
      <c r="F78" s="23">
        <v>0</v>
      </c>
      <c r="H78" s="5" t="e">
        <f ca="1">_xlfn.FORMULATEXT(표1[[#This Row],[Q''ty]])</f>
        <v>#N/A</v>
      </c>
    </row>
    <row r="79" spans="1:8" ht="15" hidden="1" customHeight="1" thickTop="1" x14ac:dyDescent="0.4">
      <c r="A79" s="6">
        <v>2026</v>
      </c>
      <c r="B79" s="6">
        <v>1</v>
      </c>
      <c r="C79" s="13" t="s">
        <v>21</v>
      </c>
      <c r="D79" s="2" t="s">
        <v>6</v>
      </c>
      <c r="E79" s="14" t="s">
        <v>7</v>
      </c>
      <c r="F79" s="22">
        <v>6</v>
      </c>
      <c r="H79" s="5" t="e">
        <f ca="1">_xlfn.FORMULATEXT(표1[[#This Row],[Q''ty]])</f>
        <v>#N/A</v>
      </c>
    </row>
    <row r="80" spans="1:8" ht="15" hidden="1" customHeight="1" x14ac:dyDescent="0.4">
      <c r="A80" s="6">
        <v>2026</v>
      </c>
      <c r="B80" s="6">
        <v>1</v>
      </c>
      <c r="C80" s="13" t="s">
        <v>21</v>
      </c>
      <c r="D80" s="2" t="s">
        <v>6</v>
      </c>
      <c r="E80" s="14" t="s">
        <v>8</v>
      </c>
      <c r="F80" s="22">
        <v>4</v>
      </c>
      <c r="H80" s="5" t="e">
        <f ca="1">_xlfn.FORMULATEXT(표1[[#This Row],[Q''ty]])</f>
        <v>#N/A</v>
      </c>
    </row>
    <row r="81" spans="1:8" ht="15" hidden="1" customHeight="1" x14ac:dyDescent="0.4">
      <c r="A81" s="6">
        <v>2026</v>
      </c>
      <c r="B81" s="6">
        <v>1</v>
      </c>
      <c r="C81" s="13" t="s">
        <v>21</v>
      </c>
      <c r="D81" s="2" t="s">
        <v>6</v>
      </c>
      <c r="E81" s="14" t="s">
        <v>9</v>
      </c>
      <c r="F81" s="22">
        <v>4</v>
      </c>
      <c r="H81" s="5" t="e">
        <f ca="1">_xlfn.FORMULATEXT(표1[[#This Row],[Q''ty]])</f>
        <v>#N/A</v>
      </c>
    </row>
    <row r="82" spans="1:8" ht="15" hidden="1" customHeight="1" x14ac:dyDescent="0.4">
      <c r="A82" s="6">
        <v>2026</v>
      </c>
      <c r="B82" s="6">
        <v>1</v>
      </c>
      <c r="C82" s="13" t="s">
        <v>21</v>
      </c>
      <c r="D82" s="2" t="s">
        <v>6</v>
      </c>
      <c r="E82" s="14" t="s">
        <v>27</v>
      </c>
      <c r="F82" s="22">
        <v>3</v>
      </c>
      <c r="H82" s="5" t="e">
        <f ca="1">_xlfn.FORMULATEXT(표1[[#This Row],[Q''ty]])</f>
        <v>#N/A</v>
      </c>
    </row>
    <row r="83" spans="1:8" ht="15" hidden="1" customHeight="1" x14ac:dyDescent="0.4">
      <c r="A83" s="6">
        <v>2026</v>
      </c>
      <c r="B83" s="6">
        <v>1</v>
      </c>
      <c r="C83" s="13" t="s">
        <v>21</v>
      </c>
      <c r="D83" s="2" t="s">
        <v>6</v>
      </c>
      <c r="E83" s="14" t="s">
        <v>10</v>
      </c>
      <c r="F83" s="22">
        <v>4</v>
      </c>
      <c r="H83" s="5" t="e">
        <f ca="1">_xlfn.FORMULATEXT(표1[[#This Row],[Q''ty]])</f>
        <v>#N/A</v>
      </c>
    </row>
    <row r="84" spans="1:8" ht="15" hidden="1" customHeight="1" x14ac:dyDescent="0.4">
      <c r="A84" s="6">
        <v>2026</v>
      </c>
      <c r="B84" s="6">
        <v>1</v>
      </c>
      <c r="C84" s="13" t="s">
        <v>21</v>
      </c>
      <c r="D84" s="2" t="s">
        <v>6</v>
      </c>
      <c r="E84" s="14" t="s">
        <v>11</v>
      </c>
      <c r="F84" s="22">
        <v>6.5</v>
      </c>
      <c r="H84" s="5" t="e">
        <f ca="1">_xlfn.FORMULATEXT(표1[[#This Row],[Q''ty]])</f>
        <v>#N/A</v>
      </c>
    </row>
    <row r="85" spans="1:8" ht="15" hidden="1" customHeight="1" x14ac:dyDescent="0.4">
      <c r="A85" s="6">
        <v>2026</v>
      </c>
      <c r="B85" s="6">
        <v>1</v>
      </c>
      <c r="C85" s="13" t="s">
        <v>21</v>
      </c>
      <c r="D85" s="2" t="s">
        <v>12</v>
      </c>
      <c r="E85" s="14" t="s">
        <v>13</v>
      </c>
      <c r="F85" s="22">
        <v>0</v>
      </c>
      <c r="H85" s="5" t="e">
        <f ca="1">_xlfn.FORMULATEXT(표1[[#This Row],[Q''ty]])</f>
        <v>#N/A</v>
      </c>
    </row>
    <row r="86" spans="1:8" ht="15" hidden="1" customHeight="1" x14ac:dyDescent="0.4">
      <c r="A86" s="6">
        <v>2026</v>
      </c>
      <c r="B86" s="6">
        <v>1</v>
      </c>
      <c r="C86" s="13" t="s">
        <v>21</v>
      </c>
      <c r="D86" s="2" t="s">
        <v>12</v>
      </c>
      <c r="E86" s="14" t="s">
        <v>14</v>
      </c>
      <c r="F86" s="22">
        <v>0</v>
      </c>
      <c r="H86" s="5" t="e">
        <f ca="1">_xlfn.FORMULATEXT(표1[[#This Row],[Q''ty]])</f>
        <v>#N/A</v>
      </c>
    </row>
    <row r="87" spans="1:8" ht="15" hidden="1" customHeight="1" x14ac:dyDescent="0.4">
      <c r="A87" s="6">
        <v>2026</v>
      </c>
      <c r="B87" s="6">
        <v>1</v>
      </c>
      <c r="C87" s="13" t="s">
        <v>21</v>
      </c>
      <c r="D87" s="2" t="s">
        <v>12</v>
      </c>
      <c r="E87" s="14" t="s">
        <v>15</v>
      </c>
      <c r="F87" s="22">
        <v>0</v>
      </c>
      <c r="H87" s="5" t="e">
        <f ca="1">_xlfn.FORMULATEXT(표1[[#This Row],[Q''ty]])</f>
        <v>#N/A</v>
      </c>
    </row>
    <row r="88" spans="1:8" ht="15" hidden="1" customHeight="1" x14ac:dyDescent="0.4">
      <c r="A88" s="6">
        <v>2026</v>
      </c>
      <c r="B88" s="6">
        <v>1</v>
      </c>
      <c r="C88" s="13" t="s">
        <v>21</v>
      </c>
      <c r="D88" s="2" t="s">
        <v>12</v>
      </c>
      <c r="E88" s="14" t="s">
        <v>16</v>
      </c>
      <c r="F88" s="22">
        <v>0</v>
      </c>
      <c r="H88" s="5" t="e">
        <f ca="1">_xlfn.FORMULATEXT(표1[[#This Row],[Q''ty]])</f>
        <v>#N/A</v>
      </c>
    </row>
    <row r="89" spans="1:8" ht="15" hidden="1" customHeight="1" thickBot="1" x14ac:dyDescent="0.45">
      <c r="A89" s="15">
        <v>2026</v>
      </c>
      <c r="B89" s="15">
        <v>1</v>
      </c>
      <c r="C89" s="16" t="s">
        <v>21</v>
      </c>
      <c r="D89" s="17" t="s">
        <v>12</v>
      </c>
      <c r="E89" s="18" t="s">
        <v>17</v>
      </c>
      <c r="F89" s="23">
        <v>0</v>
      </c>
      <c r="H89" s="5" t="e">
        <f ca="1">_xlfn.FORMULATEXT(표1[[#This Row],[Q''ty]])</f>
        <v>#N/A</v>
      </c>
    </row>
    <row r="90" spans="1:8" ht="15" hidden="1" customHeight="1" thickTop="1" x14ac:dyDescent="0.4">
      <c r="A90" s="6">
        <v>2026</v>
      </c>
      <c r="B90" s="6">
        <v>1</v>
      </c>
      <c r="C90" s="13" t="s">
        <v>22</v>
      </c>
      <c r="D90" s="2" t="s">
        <v>6</v>
      </c>
      <c r="E90" s="14" t="s">
        <v>7</v>
      </c>
      <c r="F90" s="21">
        <v>11</v>
      </c>
      <c r="H90" s="5" t="e">
        <f ca="1">_xlfn.FORMULATEXT(표1[[#This Row],[Q''ty]])</f>
        <v>#N/A</v>
      </c>
    </row>
    <row r="91" spans="1:8" ht="15" hidden="1" customHeight="1" x14ac:dyDescent="0.4">
      <c r="A91" s="6">
        <v>2026</v>
      </c>
      <c r="B91" s="6">
        <v>1</v>
      </c>
      <c r="C91" s="13" t="s">
        <v>22</v>
      </c>
      <c r="D91" s="2" t="s">
        <v>6</v>
      </c>
      <c r="E91" s="14" t="s">
        <v>8</v>
      </c>
      <c r="F91" s="22">
        <v>6</v>
      </c>
      <c r="H91" s="5" t="e">
        <f ca="1">_xlfn.FORMULATEXT(표1[[#This Row],[Q''ty]])</f>
        <v>#N/A</v>
      </c>
    </row>
    <row r="92" spans="1:8" ht="15" hidden="1" customHeight="1" x14ac:dyDescent="0.4">
      <c r="A92" s="6">
        <v>2026</v>
      </c>
      <c r="B92" s="6">
        <v>1</v>
      </c>
      <c r="C92" s="13" t="s">
        <v>22</v>
      </c>
      <c r="D92" s="2" t="s">
        <v>6</v>
      </c>
      <c r="E92" s="14" t="s">
        <v>9</v>
      </c>
      <c r="F92" s="22">
        <v>4</v>
      </c>
      <c r="H92" s="5" t="e">
        <f ca="1">_xlfn.FORMULATEXT(표1[[#This Row],[Q''ty]])</f>
        <v>#N/A</v>
      </c>
    </row>
    <row r="93" spans="1:8" ht="15" hidden="1" customHeight="1" x14ac:dyDescent="0.4">
      <c r="A93" s="6">
        <v>2026</v>
      </c>
      <c r="B93" s="6">
        <v>1</v>
      </c>
      <c r="C93" s="13" t="s">
        <v>22</v>
      </c>
      <c r="D93" s="2" t="s">
        <v>6</v>
      </c>
      <c r="E93" s="14" t="s">
        <v>27</v>
      </c>
      <c r="F93" s="22">
        <v>4</v>
      </c>
      <c r="H93" s="5" t="e">
        <f ca="1">_xlfn.FORMULATEXT(표1[[#This Row],[Q''ty]])</f>
        <v>#N/A</v>
      </c>
    </row>
    <row r="94" spans="1:8" ht="15" hidden="1" customHeight="1" x14ac:dyDescent="0.4">
      <c r="A94" s="6">
        <v>2026</v>
      </c>
      <c r="B94" s="6">
        <v>1</v>
      </c>
      <c r="C94" s="13" t="s">
        <v>22</v>
      </c>
      <c r="D94" s="2" t="s">
        <v>6</v>
      </c>
      <c r="E94" s="14" t="s">
        <v>10</v>
      </c>
      <c r="F94" s="22">
        <v>7</v>
      </c>
      <c r="H94" s="5" t="e">
        <f ca="1">_xlfn.FORMULATEXT(표1[[#This Row],[Q''ty]])</f>
        <v>#N/A</v>
      </c>
    </row>
    <row r="95" spans="1:8" ht="15" hidden="1" customHeight="1" x14ac:dyDescent="0.4">
      <c r="A95" s="6">
        <v>2026</v>
      </c>
      <c r="B95" s="6">
        <v>1</v>
      </c>
      <c r="C95" s="13" t="s">
        <v>22</v>
      </c>
      <c r="D95" s="2" t="s">
        <v>6</v>
      </c>
      <c r="E95" s="14" t="s">
        <v>11</v>
      </c>
      <c r="F95" s="22">
        <v>12.5</v>
      </c>
      <c r="H95" s="5" t="e">
        <f ca="1">_xlfn.FORMULATEXT(표1[[#This Row],[Q''ty]])</f>
        <v>#N/A</v>
      </c>
    </row>
    <row r="96" spans="1:8" ht="15" hidden="1" customHeight="1" x14ac:dyDescent="0.4">
      <c r="A96" s="6">
        <v>2026</v>
      </c>
      <c r="B96" s="6">
        <v>1</v>
      </c>
      <c r="C96" s="13" t="s">
        <v>22</v>
      </c>
      <c r="D96" s="2" t="s">
        <v>12</v>
      </c>
      <c r="E96" s="14" t="s">
        <v>13</v>
      </c>
      <c r="F96" s="22">
        <v>0</v>
      </c>
      <c r="H96" s="5" t="e">
        <f ca="1">_xlfn.FORMULATEXT(표1[[#This Row],[Q''ty]])</f>
        <v>#N/A</v>
      </c>
    </row>
    <row r="97" spans="1:10" ht="15" hidden="1" customHeight="1" x14ac:dyDescent="0.4">
      <c r="A97" s="6">
        <v>2026</v>
      </c>
      <c r="B97" s="6">
        <v>1</v>
      </c>
      <c r="C97" s="13" t="s">
        <v>22</v>
      </c>
      <c r="D97" s="2" t="s">
        <v>12</v>
      </c>
      <c r="E97" s="14" t="s">
        <v>14</v>
      </c>
      <c r="F97" s="22">
        <v>0</v>
      </c>
      <c r="H97" s="5" t="e">
        <f ca="1">_xlfn.FORMULATEXT(표1[[#This Row],[Q''ty]])</f>
        <v>#N/A</v>
      </c>
    </row>
    <row r="98" spans="1:10" ht="15" hidden="1" customHeight="1" x14ac:dyDescent="0.4">
      <c r="A98" s="6">
        <v>2026</v>
      </c>
      <c r="B98" s="6">
        <v>1</v>
      </c>
      <c r="C98" s="13" t="s">
        <v>22</v>
      </c>
      <c r="D98" s="2" t="s">
        <v>12</v>
      </c>
      <c r="E98" s="14" t="s">
        <v>15</v>
      </c>
      <c r="F98" s="22">
        <v>0</v>
      </c>
      <c r="H98" s="5" t="e">
        <f ca="1">_xlfn.FORMULATEXT(표1[[#This Row],[Q''ty]])</f>
        <v>#N/A</v>
      </c>
    </row>
    <row r="99" spans="1:10" ht="15" hidden="1" customHeight="1" x14ac:dyDescent="0.4">
      <c r="A99" s="6">
        <v>2026</v>
      </c>
      <c r="B99" s="6">
        <v>1</v>
      </c>
      <c r="C99" s="13" t="s">
        <v>22</v>
      </c>
      <c r="D99" s="2" t="s">
        <v>12</v>
      </c>
      <c r="E99" s="14" t="s">
        <v>16</v>
      </c>
      <c r="F99" s="22">
        <v>0</v>
      </c>
      <c r="H99" s="5" t="e">
        <f ca="1">_xlfn.FORMULATEXT(표1[[#This Row],[Q''ty]])</f>
        <v>#N/A</v>
      </c>
    </row>
    <row r="100" spans="1:10" ht="15" hidden="1" customHeight="1" thickBot="1" x14ac:dyDescent="0.45">
      <c r="A100" s="15">
        <v>2026</v>
      </c>
      <c r="B100" s="15">
        <v>1</v>
      </c>
      <c r="C100" s="16" t="s">
        <v>22</v>
      </c>
      <c r="D100" s="17" t="s">
        <v>12</v>
      </c>
      <c r="E100" s="18" t="s">
        <v>17</v>
      </c>
      <c r="F100" s="23">
        <v>0</v>
      </c>
      <c r="H100" s="5" t="e">
        <f ca="1">_xlfn.FORMULATEXT(표1[[#This Row],[Q''ty]])</f>
        <v>#N/A</v>
      </c>
    </row>
    <row r="101" spans="1:10" ht="15" hidden="1" customHeight="1" thickTop="1" x14ac:dyDescent="0.4">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4">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4">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4">
      <c r="A104" s="6">
        <v>2026</v>
      </c>
      <c r="B104" s="6">
        <f t="shared" si="1"/>
        <v>2</v>
      </c>
      <c r="C104" s="13" t="s">
        <v>23</v>
      </c>
      <c r="D104" s="2" t="s">
        <v>6</v>
      </c>
      <c r="E104" s="14" t="s">
        <v>27</v>
      </c>
      <c r="F104" s="22">
        <f t="shared" si="0"/>
        <v>6</v>
      </c>
      <c r="H104" s="5" t="str">
        <f ca="1">_xlfn.FORMULATEXT(표1[[#This Row],[Q''ty]])</f>
        <v>=F5</v>
      </c>
    </row>
    <row r="105" spans="1:10" ht="15" hidden="1" customHeight="1" x14ac:dyDescent="0.4">
      <c r="A105" s="6">
        <v>2026</v>
      </c>
      <c r="B105" s="6">
        <f t="shared" si="1"/>
        <v>2</v>
      </c>
      <c r="C105" s="13" t="s">
        <v>23</v>
      </c>
      <c r="D105" s="2" t="s">
        <v>6</v>
      </c>
      <c r="E105" s="14" t="s">
        <v>10</v>
      </c>
      <c r="F105" s="22">
        <f t="shared" si="0"/>
        <v>10</v>
      </c>
      <c r="H105" s="5" t="str">
        <f ca="1">_xlfn.FORMULATEXT(표1[[#This Row],[Q''ty]])</f>
        <v>=F6</v>
      </c>
    </row>
    <row r="106" spans="1:10" ht="15" hidden="1" customHeight="1" x14ac:dyDescent="0.4">
      <c r="A106" s="6">
        <v>2026</v>
      </c>
      <c r="B106" s="6">
        <f t="shared" si="1"/>
        <v>2</v>
      </c>
      <c r="C106" s="13" t="s">
        <v>23</v>
      </c>
      <c r="D106" s="2" t="s">
        <v>6</v>
      </c>
      <c r="E106" s="14" t="s">
        <v>11</v>
      </c>
      <c r="F106" s="22">
        <f t="shared" si="0"/>
        <v>10</v>
      </c>
      <c r="H106" s="5" t="str">
        <f ca="1">_xlfn.FORMULATEXT(표1[[#This Row],[Q''ty]])</f>
        <v>=F7</v>
      </c>
    </row>
    <row r="107" spans="1:10" ht="15" hidden="1" customHeight="1" x14ac:dyDescent="0.4">
      <c r="A107" s="6">
        <v>2026</v>
      </c>
      <c r="B107" s="6">
        <f t="shared" si="1"/>
        <v>2</v>
      </c>
      <c r="C107" s="13" t="s">
        <v>23</v>
      </c>
      <c r="D107" s="2" t="s">
        <v>12</v>
      </c>
      <c r="E107" s="14" t="s">
        <v>13</v>
      </c>
      <c r="F107" s="22">
        <v>24</v>
      </c>
      <c r="H107" s="5" t="e">
        <f ca="1">_xlfn.FORMULATEXT(표1[[#This Row],[Q''ty]])</f>
        <v>#N/A</v>
      </c>
    </row>
    <row r="108" spans="1:10" s="2" customFormat="1" ht="15" hidden="1" customHeight="1" x14ac:dyDescent="0.4">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4">
      <c r="A109" s="6">
        <v>2026</v>
      </c>
      <c r="B109" s="6">
        <f t="shared" si="1"/>
        <v>2</v>
      </c>
      <c r="C109" s="13" t="s">
        <v>23</v>
      </c>
      <c r="D109" s="2" t="s">
        <v>12</v>
      </c>
      <c r="E109" s="14" t="s">
        <v>15</v>
      </c>
      <c r="F109" s="22">
        <v>240.39999999999998</v>
      </c>
      <c r="H109" s="5" t="e">
        <f ca="1">_xlfn.FORMULATEXT(표1[[#This Row],[Q''ty]])</f>
        <v>#N/A</v>
      </c>
    </row>
    <row r="110" spans="1:10" ht="15" hidden="1" customHeight="1" x14ac:dyDescent="0.4">
      <c r="A110" s="6">
        <v>2026</v>
      </c>
      <c r="B110" s="6">
        <f t="shared" si="1"/>
        <v>2</v>
      </c>
      <c r="C110" s="13" t="s">
        <v>23</v>
      </c>
      <c r="D110" s="2" t="s">
        <v>12</v>
      </c>
      <c r="E110" s="14" t="s">
        <v>16</v>
      </c>
      <c r="F110" s="22">
        <v>237.8</v>
      </c>
      <c r="H110" s="5" t="e">
        <f ca="1">_xlfn.FORMULATEXT(표1[[#This Row],[Q''ty]])</f>
        <v>#N/A</v>
      </c>
    </row>
    <row r="111" spans="1:10" ht="15" hidden="1" customHeight="1" thickBot="1" x14ac:dyDescent="0.4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4">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4">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4">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4">
      <c r="A115" s="6">
        <v>2026</v>
      </c>
      <c r="B115" s="6">
        <f t="shared" si="1"/>
        <v>2</v>
      </c>
      <c r="C115" s="13" t="s">
        <v>24</v>
      </c>
      <c r="D115" s="2" t="s">
        <v>6</v>
      </c>
      <c r="E115" s="14" t="s">
        <v>27</v>
      </c>
      <c r="F115" s="22">
        <f t="shared" si="2"/>
        <v>3</v>
      </c>
      <c r="H115" s="5" t="str">
        <f ca="1">_xlfn.FORMULATEXT(표1[[#This Row],[Q''ty]])</f>
        <v>=F16</v>
      </c>
    </row>
    <row r="116" spans="1:10" ht="15" hidden="1" customHeight="1" x14ac:dyDescent="0.4">
      <c r="A116" s="6">
        <v>2026</v>
      </c>
      <c r="B116" s="6">
        <f t="shared" si="1"/>
        <v>2</v>
      </c>
      <c r="C116" s="13" t="s">
        <v>24</v>
      </c>
      <c r="D116" s="2" t="s">
        <v>6</v>
      </c>
      <c r="E116" s="14" t="s">
        <v>10</v>
      </c>
      <c r="F116" s="22">
        <f t="shared" si="2"/>
        <v>6</v>
      </c>
      <c r="H116" s="5" t="str">
        <f ca="1">_xlfn.FORMULATEXT(표1[[#This Row],[Q''ty]])</f>
        <v>=F17</v>
      </c>
    </row>
    <row r="117" spans="1:10" ht="15" hidden="1" customHeight="1" x14ac:dyDescent="0.4">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4">
      <c r="A118" s="6">
        <v>2026</v>
      </c>
      <c r="B118" s="6">
        <f t="shared" si="1"/>
        <v>2</v>
      </c>
      <c r="C118" s="13" t="s">
        <v>24</v>
      </c>
      <c r="D118" s="2" t="s">
        <v>12</v>
      </c>
      <c r="E118" s="14" t="s">
        <v>13</v>
      </c>
      <c r="F118" s="22">
        <v>22</v>
      </c>
      <c r="H118" s="5" t="e">
        <f ca="1">_xlfn.FORMULATEXT(표1[[#This Row],[Q''ty]])</f>
        <v>#N/A</v>
      </c>
    </row>
    <row r="119" spans="1:10" s="2" customFormat="1" ht="15" hidden="1" customHeight="1" x14ac:dyDescent="0.4">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4">
      <c r="A120" s="6">
        <v>2026</v>
      </c>
      <c r="B120" s="6">
        <f t="shared" si="1"/>
        <v>2</v>
      </c>
      <c r="C120" s="13" t="s">
        <v>24</v>
      </c>
      <c r="D120" s="2" t="s">
        <v>12</v>
      </c>
      <c r="E120" s="14" t="s">
        <v>15</v>
      </c>
      <c r="F120" s="22">
        <v>179</v>
      </c>
      <c r="H120" s="5" t="e">
        <f ca="1">_xlfn.FORMULATEXT(표1[[#This Row],[Q''ty]])</f>
        <v>#N/A</v>
      </c>
    </row>
    <row r="121" spans="1:10" ht="15" hidden="1" customHeight="1" x14ac:dyDescent="0.4">
      <c r="A121" s="6">
        <v>2026</v>
      </c>
      <c r="B121" s="6">
        <f t="shared" si="1"/>
        <v>2</v>
      </c>
      <c r="C121" s="13" t="s">
        <v>24</v>
      </c>
      <c r="D121" s="2" t="s">
        <v>12</v>
      </c>
      <c r="E121" s="14" t="s">
        <v>16</v>
      </c>
      <c r="F121" s="22">
        <v>180</v>
      </c>
      <c r="H121" s="5" t="e">
        <f ca="1">_xlfn.FORMULATEXT(표1[[#This Row],[Q''ty]])</f>
        <v>#N/A</v>
      </c>
    </row>
    <row r="122" spans="1:10" ht="15" hidden="1" customHeight="1" thickBot="1" x14ac:dyDescent="0.4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4">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4">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4">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4">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4">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4">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4">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4">
      <c r="A130" s="6">
        <v>2026</v>
      </c>
      <c r="B130" s="6">
        <f t="shared" si="1"/>
        <v>2</v>
      </c>
      <c r="C130" s="13" t="s">
        <v>18</v>
      </c>
      <c r="D130" s="2" t="s">
        <v>12</v>
      </c>
      <c r="E130" s="14" t="str">
        <f t="shared" si="4"/>
        <v>WT GT</v>
      </c>
      <c r="F130" s="22">
        <v>0</v>
      </c>
      <c r="H130" s="5" t="e">
        <f ca="1">_xlfn.FORMULATEXT(표1[[#This Row],[Q''ty]])</f>
        <v>#N/A</v>
      </c>
    </row>
    <row r="131" spans="1:8" ht="15" hidden="1" customHeight="1" x14ac:dyDescent="0.4">
      <c r="A131" s="6">
        <v>2026</v>
      </c>
      <c r="B131" s="6">
        <f t="shared" si="1"/>
        <v>2</v>
      </c>
      <c r="C131" s="13" t="s">
        <v>18</v>
      </c>
      <c r="D131" s="2" t="s">
        <v>12</v>
      </c>
      <c r="E131" s="14" t="str">
        <f t="shared" si="4"/>
        <v>Bending</v>
      </c>
      <c r="F131" s="22">
        <v>0</v>
      </c>
      <c r="H131" s="5" t="e">
        <f ca="1">_xlfn.FORMULATEXT(표1[[#This Row],[Q''ty]])</f>
        <v>#N/A</v>
      </c>
    </row>
    <row r="132" spans="1:8" ht="15" hidden="1" customHeight="1" x14ac:dyDescent="0.4">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4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4">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4">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4">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4">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4">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4">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4">
      <c r="A140" s="6">
        <v>2026</v>
      </c>
      <c r="B140" s="6">
        <f t="shared" si="1"/>
        <v>2</v>
      </c>
      <c r="C140" s="13" t="s">
        <v>19</v>
      </c>
      <c r="D140" s="2" t="s">
        <v>12</v>
      </c>
      <c r="E140" s="14" t="str">
        <f t="shared" si="4"/>
        <v>BT GT</v>
      </c>
      <c r="F140" s="22">
        <v>31</v>
      </c>
      <c r="H140" s="5" t="e">
        <f ca="1">_xlfn.FORMULATEXT(표1[[#This Row],[Q''ty]])</f>
        <v>#N/A</v>
      </c>
    </row>
    <row r="141" spans="1:8" ht="15" hidden="1" customHeight="1" x14ac:dyDescent="0.4">
      <c r="A141" s="6">
        <v>2026</v>
      </c>
      <c r="B141" s="6">
        <f t="shared" si="1"/>
        <v>2</v>
      </c>
      <c r="C141" s="13" t="s">
        <v>19</v>
      </c>
      <c r="D141" s="2" t="s">
        <v>12</v>
      </c>
      <c r="E141" s="14" t="str">
        <f t="shared" si="4"/>
        <v>WT GT</v>
      </c>
      <c r="F141" s="22">
        <v>30</v>
      </c>
      <c r="H141" s="5" t="e">
        <f ca="1">_xlfn.FORMULATEXT(표1[[#This Row],[Q''ty]])</f>
        <v>#N/A</v>
      </c>
    </row>
    <row r="142" spans="1:8" ht="15" hidden="1" customHeight="1" x14ac:dyDescent="0.4">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4">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4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4">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4">
      <c r="A146" s="6">
        <v>2026</v>
      </c>
      <c r="B146" s="6">
        <f t="shared" si="1"/>
        <v>2</v>
      </c>
      <c r="C146" s="13" t="s">
        <v>25</v>
      </c>
      <c r="D146" s="2" t="s">
        <v>6</v>
      </c>
      <c r="E146" s="14" t="s">
        <v>8</v>
      </c>
      <c r="F146" s="22">
        <f t="shared" si="6"/>
        <v>3</v>
      </c>
      <c r="H146" s="5" t="str">
        <f ca="1">_xlfn.FORMULATEXT(표1[[#This Row],[Q''ty]])</f>
        <v>=F47</v>
      </c>
    </row>
    <row r="147" spans="1:8" ht="15" hidden="1" customHeight="1" x14ac:dyDescent="0.4">
      <c r="A147" s="6">
        <v>2026</v>
      </c>
      <c r="B147" s="6">
        <f t="shared" si="1"/>
        <v>2</v>
      </c>
      <c r="C147" s="13" t="s">
        <v>25</v>
      </c>
      <c r="D147" s="2" t="s">
        <v>6</v>
      </c>
      <c r="E147" s="14" t="s">
        <v>9</v>
      </c>
      <c r="F147" s="22">
        <f t="shared" si="6"/>
        <v>2</v>
      </c>
      <c r="H147" s="5" t="str">
        <f ca="1">_xlfn.FORMULATEXT(표1[[#This Row],[Q''ty]])</f>
        <v>=F48</v>
      </c>
    </row>
    <row r="148" spans="1:8" ht="15" hidden="1" customHeight="1" x14ac:dyDescent="0.4">
      <c r="A148" s="6">
        <v>2026</v>
      </c>
      <c r="B148" s="6">
        <f t="shared" si="1"/>
        <v>2</v>
      </c>
      <c r="C148" s="13" t="s">
        <v>25</v>
      </c>
      <c r="D148" s="2" t="s">
        <v>6</v>
      </c>
      <c r="E148" s="14" t="s">
        <v>27</v>
      </c>
      <c r="F148" s="22">
        <f t="shared" si="6"/>
        <v>2</v>
      </c>
      <c r="H148" s="5" t="str">
        <f ca="1">_xlfn.FORMULATEXT(표1[[#This Row],[Q''ty]])</f>
        <v>=F49</v>
      </c>
    </row>
    <row r="149" spans="1:8" ht="15" hidden="1" customHeight="1" x14ac:dyDescent="0.4">
      <c r="A149" s="6">
        <v>2026</v>
      </c>
      <c r="B149" s="6">
        <f t="shared" si="1"/>
        <v>2</v>
      </c>
      <c r="C149" s="13" t="s">
        <v>25</v>
      </c>
      <c r="D149" s="2" t="s">
        <v>6</v>
      </c>
      <c r="E149" s="14" t="s">
        <v>10</v>
      </c>
      <c r="F149" s="22">
        <f t="shared" si="6"/>
        <v>3</v>
      </c>
      <c r="H149" s="5" t="str">
        <f ca="1">_xlfn.FORMULATEXT(표1[[#This Row],[Q''ty]])</f>
        <v>=F50</v>
      </c>
    </row>
    <row r="150" spans="1:8" ht="15" hidden="1" customHeight="1" x14ac:dyDescent="0.4">
      <c r="A150" s="6">
        <v>2026</v>
      </c>
      <c r="B150" s="6">
        <f t="shared" si="1"/>
        <v>2</v>
      </c>
      <c r="C150" s="13" t="s">
        <v>25</v>
      </c>
      <c r="D150" s="2" t="s">
        <v>6</v>
      </c>
      <c r="E150" s="14" t="s">
        <v>11</v>
      </c>
      <c r="F150" s="22">
        <f t="shared" si="6"/>
        <v>4</v>
      </c>
      <c r="H150" s="5" t="str">
        <f ca="1">_xlfn.FORMULATEXT(표1[[#This Row],[Q''ty]])</f>
        <v>=F51</v>
      </c>
    </row>
    <row r="151" spans="1:8" ht="15" hidden="1" customHeight="1" x14ac:dyDescent="0.4">
      <c r="A151" s="6">
        <v>2026</v>
      </c>
      <c r="B151" s="6">
        <f t="shared" si="1"/>
        <v>2</v>
      </c>
      <c r="C151" s="13" t="s">
        <v>25</v>
      </c>
      <c r="D151" s="2" t="s">
        <v>12</v>
      </c>
      <c r="E151" s="14" t="s">
        <v>13</v>
      </c>
      <c r="F151" s="22">
        <v>0</v>
      </c>
      <c r="H151" s="5" t="e">
        <f ca="1">_xlfn.FORMULATEXT(표1[[#This Row],[Q''ty]])</f>
        <v>#N/A</v>
      </c>
    </row>
    <row r="152" spans="1:8" ht="15" hidden="1" customHeight="1" x14ac:dyDescent="0.4">
      <c r="A152" s="6">
        <v>2026</v>
      </c>
      <c r="B152" s="6">
        <f t="shared" si="1"/>
        <v>2</v>
      </c>
      <c r="C152" s="13" t="s">
        <v>25</v>
      </c>
      <c r="D152" s="2" t="s">
        <v>12</v>
      </c>
      <c r="E152" s="14" t="s">
        <v>14</v>
      </c>
      <c r="F152" s="22">
        <v>0</v>
      </c>
      <c r="H152" s="5" t="e">
        <f ca="1">_xlfn.FORMULATEXT(표1[[#This Row],[Q''ty]])</f>
        <v>#N/A</v>
      </c>
    </row>
    <row r="153" spans="1:8" ht="15" hidden="1" customHeight="1" x14ac:dyDescent="0.4">
      <c r="A153" s="6">
        <v>2026</v>
      </c>
      <c r="B153" s="6">
        <f t="shared" si="1"/>
        <v>2</v>
      </c>
      <c r="C153" s="13" t="s">
        <v>25</v>
      </c>
      <c r="D153" s="2" t="s">
        <v>12</v>
      </c>
      <c r="E153" s="14" t="s">
        <v>15</v>
      </c>
      <c r="F153" s="22">
        <v>0</v>
      </c>
      <c r="H153" s="5" t="e">
        <f ca="1">_xlfn.FORMULATEXT(표1[[#This Row],[Q''ty]])</f>
        <v>#N/A</v>
      </c>
    </row>
    <row r="154" spans="1:8" ht="15" hidden="1" customHeight="1" x14ac:dyDescent="0.4">
      <c r="A154" s="6">
        <v>2026</v>
      </c>
      <c r="B154" s="6">
        <f t="shared" si="1"/>
        <v>2</v>
      </c>
      <c r="C154" s="13" t="s">
        <v>25</v>
      </c>
      <c r="D154" s="2" t="s">
        <v>12</v>
      </c>
      <c r="E154" s="14" t="s">
        <v>16</v>
      </c>
      <c r="F154" s="22">
        <v>0</v>
      </c>
      <c r="H154" s="5" t="e">
        <f ca="1">_xlfn.FORMULATEXT(표1[[#This Row],[Q''ty]])</f>
        <v>#N/A</v>
      </c>
    </row>
    <row r="155" spans="1:8" ht="15" hidden="1" customHeight="1" thickBot="1" x14ac:dyDescent="0.45">
      <c r="A155" s="15">
        <v>2026</v>
      </c>
      <c r="B155" s="15">
        <f t="shared" si="1"/>
        <v>2</v>
      </c>
      <c r="C155" s="16" t="s">
        <v>25</v>
      </c>
      <c r="D155" s="17" t="s">
        <v>12</v>
      </c>
      <c r="E155" s="18" t="s">
        <v>17</v>
      </c>
      <c r="F155" s="23">
        <v>0</v>
      </c>
      <c r="H155" s="5" t="e">
        <f ca="1">_xlfn.FORMULATEXT(표1[[#This Row],[Q''ty]])</f>
        <v>#N/A</v>
      </c>
    </row>
    <row r="156" spans="1:8" ht="15" hidden="1" customHeight="1" thickTop="1" x14ac:dyDescent="0.4">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4">
      <c r="A157" s="6">
        <v>2026</v>
      </c>
      <c r="B157" s="6">
        <f t="shared" si="1"/>
        <v>2</v>
      </c>
      <c r="C157" s="13" t="s">
        <v>26</v>
      </c>
      <c r="D157" s="2" t="s">
        <v>6</v>
      </c>
      <c r="E157" s="14" t="s">
        <v>8</v>
      </c>
      <c r="F157" s="22">
        <f t="shared" si="7"/>
        <v>4</v>
      </c>
      <c r="H157" s="5" t="str">
        <f ca="1">_xlfn.FORMULATEXT(표1[[#This Row],[Q''ty]])</f>
        <v>=F58</v>
      </c>
    </row>
    <row r="158" spans="1:8" ht="15" hidden="1" customHeight="1" x14ac:dyDescent="0.4">
      <c r="A158" s="6">
        <v>2026</v>
      </c>
      <c r="B158" s="6">
        <f t="shared" si="1"/>
        <v>2</v>
      </c>
      <c r="C158" s="13" t="s">
        <v>26</v>
      </c>
      <c r="D158" s="2" t="s">
        <v>6</v>
      </c>
      <c r="E158" s="14" t="s">
        <v>9</v>
      </c>
      <c r="F158" s="22">
        <f t="shared" si="7"/>
        <v>2</v>
      </c>
      <c r="H158" s="5" t="str">
        <f ca="1">_xlfn.FORMULATEXT(표1[[#This Row],[Q''ty]])</f>
        <v>=F59</v>
      </c>
    </row>
    <row r="159" spans="1:8" ht="15" hidden="1" customHeight="1" x14ac:dyDescent="0.4">
      <c r="A159" s="6">
        <v>2026</v>
      </c>
      <c r="B159" s="6">
        <f t="shared" si="1"/>
        <v>2</v>
      </c>
      <c r="C159" s="13" t="s">
        <v>26</v>
      </c>
      <c r="D159" s="2" t="s">
        <v>6</v>
      </c>
      <c r="E159" s="14" t="s">
        <v>27</v>
      </c>
      <c r="F159" s="22">
        <f t="shared" si="7"/>
        <v>3</v>
      </c>
      <c r="H159" s="5" t="str">
        <f ca="1">_xlfn.FORMULATEXT(표1[[#This Row],[Q''ty]])</f>
        <v>=F60</v>
      </c>
    </row>
    <row r="160" spans="1:8" ht="15" hidden="1" customHeight="1" x14ac:dyDescent="0.4">
      <c r="A160" s="6">
        <v>2026</v>
      </c>
      <c r="B160" s="6">
        <f t="shared" si="1"/>
        <v>2</v>
      </c>
      <c r="C160" s="13" t="s">
        <v>26</v>
      </c>
      <c r="D160" s="2" t="s">
        <v>6</v>
      </c>
      <c r="E160" s="14" t="s">
        <v>10</v>
      </c>
      <c r="F160" s="22">
        <f t="shared" si="7"/>
        <v>4</v>
      </c>
      <c r="H160" s="5" t="str">
        <f ca="1">_xlfn.FORMULATEXT(표1[[#This Row],[Q''ty]])</f>
        <v>=F61</v>
      </c>
    </row>
    <row r="161" spans="1:8" ht="15" hidden="1" customHeight="1" x14ac:dyDescent="0.4">
      <c r="A161" s="6">
        <v>2026</v>
      </c>
      <c r="B161" s="6">
        <f t="shared" si="1"/>
        <v>2</v>
      </c>
      <c r="C161" s="13" t="s">
        <v>26</v>
      </c>
      <c r="D161" s="2" t="s">
        <v>6</v>
      </c>
      <c r="E161" s="14" t="s">
        <v>11</v>
      </c>
      <c r="F161" s="22">
        <f t="shared" si="7"/>
        <v>6</v>
      </c>
      <c r="H161" s="5" t="str">
        <f ca="1">_xlfn.FORMULATEXT(표1[[#This Row],[Q''ty]])</f>
        <v>=F62</v>
      </c>
    </row>
    <row r="162" spans="1:8" ht="15" hidden="1" customHeight="1" x14ac:dyDescent="0.4">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4">
      <c r="A163" s="6">
        <v>2026</v>
      </c>
      <c r="B163" s="6">
        <f t="shared" si="1"/>
        <v>2</v>
      </c>
      <c r="C163" s="13" t="s">
        <v>26</v>
      </c>
      <c r="D163" s="2" t="s">
        <v>12</v>
      </c>
      <c r="E163" s="14" t="str">
        <f t="shared" si="8"/>
        <v>WT GT</v>
      </c>
      <c r="F163" s="22">
        <v>32</v>
      </c>
      <c r="H163" s="5" t="e">
        <f ca="1">_xlfn.FORMULATEXT(표1[[#This Row],[Q''ty]])</f>
        <v>#N/A</v>
      </c>
    </row>
    <row r="164" spans="1:8" ht="15" hidden="1" customHeight="1" x14ac:dyDescent="0.4">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4">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4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4">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4">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4">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4">
      <c r="A173" s="6">
        <v>2026</v>
      </c>
      <c r="B173" s="6">
        <f t="shared" si="9"/>
        <v>2</v>
      </c>
      <c r="C173" s="13" t="s">
        <v>20</v>
      </c>
      <c r="D173" s="2" t="s">
        <v>12</v>
      </c>
      <c r="E173" s="14" t="str">
        <f t="shared" si="8"/>
        <v>BT GT</v>
      </c>
      <c r="F173" s="22">
        <v>59</v>
      </c>
      <c r="H173" s="5" t="e">
        <f ca="1">_xlfn.FORMULATEXT(표1[[#This Row],[Q''ty]])</f>
        <v>#N/A</v>
      </c>
    </row>
    <row r="174" spans="1:8" ht="15" hidden="1" customHeight="1" x14ac:dyDescent="0.4">
      <c r="A174" s="6">
        <v>2026</v>
      </c>
      <c r="B174" s="6">
        <f t="shared" si="9"/>
        <v>2</v>
      </c>
      <c r="C174" s="13" t="s">
        <v>20</v>
      </c>
      <c r="D174" s="2" t="s">
        <v>12</v>
      </c>
      <c r="E174" s="14" t="str">
        <f t="shared" si="8"/>
        <v>WT GT</v>
      </c>
      <c r="F174" s="22">
        <v>50</v>
      </c>
      <c r="H174" s="5" t="e">
        <f ca="1">_xlfn.FORMULATEXT(표1[[#This Row],[Q''ty]])</f>
        <v>#N/A</v>
      </c>
    </row>
    <row r="175" spans="1:8" ht="15" hidden="1" customHeight="1" x14ac:dyDescent="0.4">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4">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4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4">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4">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4">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4">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4">
      <c r="A184" s="6">
        <v>2026</v>
      </c>
      <c r="B184" s="6">
        <f t="shared" si="9"/>
        <v>2</v>
      </c>
      <c r="C184" s="13" t="s">
        <v>21</v>
      </c>
      <c r="D184" s="2" t="s">
        <v>12</v>
      </c>
      <c r="E184" s="14" t="str">
        <f t="shared" si="8"/>
        <v>BT GT</v>
      </c>
      <c r="F184" s="22">
        <v>13</v>
      </c>
      <c r="H184" s="5" t="e">
        <f ca="1">_xlfn.FORMULATEXT(표1[[#This Row],[Q''ty]])</f>
        <v>#N/A</v>
      </c>
    </row>
    <row r="185" spans="1:8" ht="15" hidden="1" customHeight="1" x14ac:dyDescent="0.4">
      <c r="A185" s="6">
        <v>2026</v>
      </c>
      <c r="B185" s="6">
        <f t="shared" si="9"/>
        <v>2</v>
      </c>
      <c r="C185" s="13" t="s">
        <v>21</v>
      </c>
      <c r="D185" s="2" t="s">
        <v>12</v>
      </c>
      <c r="E185" s="14" t="str">
        <f t="shared" si="8"/>
        <v>WT GT</v>
      </c>
      <c r="F185" s="22">
        <v>13</v>
      </c>
      <c r="H185" s="5" t="e">
        <f ca="1">_xlfn.FORMULATEXT(표1[[#This Row],[Q''ty]])</f>
        <v>#N/A</v>
      </c>
    </row>
    <row r="186" spans="1:8" ht="15" hidden="1" customHeight="1" x14ac:dyDescent="0.4">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4">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4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4">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4">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4">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4">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22</v>
      </c>
      <c r="D195" s="2" t="s">
        <v>12</v>
      </c>
      <c r="E195" s="14" t="str">
        <f t="shared" si="8"/>
        <v>BT GT</v>
      </c>
      <c r="F195" s="22">
        <v>6</v>
      </c>
      <c r="H195" s="5" t="e">
        <f ca="1">_xlfn.FORMULATEXT(표1[[#This Row],[Q''ty]])</f>
        <v>#N/A</v>
      </c>
    </row>
    <row r="196" spans="1:10" ht="15" hidden="1" customHeight="1" x14ac:dyDescent="0.4">
      <c r="A196" s="6">
        <v>2026</v>
      </c>
      <c r="B196" s="6">
        <f t="shared" si="9"/>
        <v>2</v>
      </c>
      <c r="C196" s="13" t="s">
        <v>22</v>
      </c>
      <c r="D196" s="2" t="s">
        <v>12</v>
      </c>
      <c r="E196" s="14" t="str">
        <f t="shared" si="8"/>
        <v>WT GT</v>
      </c>
      <c r="F196" s="22">
        <v>9</v>
      </c>
      <c r="H196" s="5" t="e">
        <f ca="1">_xlfn.FORMULATEXT(표1[[#This Row],[Q''ty]])</f>
        <v>#N/A</v>
      </c>
    </row>
    <row r="197" spans="1:10" ht="15" hidden="1" customHeight="1" x14ac:dyDescent="0.4">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4">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4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4">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4">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4">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4">
      <c r="A203" s="6">
        <v>2026</v>
      </c>
      <c r="B203" s="6">
        <f t="shared" si="14"/>
        <v>3</v>
      </c>
      <c r="C203" s="13" t="s">
        <v>23</v>
      </c>
      <c r="D203" s="2" t="s">
        <v>6</v>
      </c>
      <c r="E203" s="14" t="s">
        <v>27</v>
      </c>
      <c r="F203" s="22">
        <f t="shared" si="13"/>
        <v>6</v>
      </c>
      <c r="H203" s="5" t="str">
        <f ca="1">_xlfn.FORMULATEXT(표1[[#This Row],[Q''ty]])</f>
        <v>=F104</v>
      </c>
    </row>
    <row r="204" spans="1:10" ht="15" hidden="1" customHeight="1" x14ac:dyDescent="0.4">
      <c r="A204" s="6">
        <v>2026</v>
      </c>
      <c r="B204" s="6">
        <f t="shared" si="14"/>
        <v>3</v>
      </c>
      <c r="C204" s="13" t="s">
        <v>23</v>
      </c>
      <c r="D204" s="2" t="s">
        <v>6</v>
      </c>
      <c r="E204" s="14" t="s">
        <v>10</v>
      </c>
      <c r="F204" s="22">
        <f t="shared" si="13"/>
        <v>10</v>
      </c>
      <c r="H204" s="5" t="str">
        <f ca="1">_xlfn.FORMULATEXT(표1[[#This Row],[Q''ty]])</f>
        <v>=F105</v>
      </c>
    </row>
    <row r="205" spans="1:10" ht="15" hidden="1" customHeight="1" x14ac:dyDescent="0.4">
      <c r="A205" s="6">
        <v>2026</v>
      </c>
      <c r="B205" s="6">
        <f t="shared" si="14"/>
        <v>3</v>
      </c>
      <c r="C205" s="13" t="s">
        <v>23</v>
      </c>
      <c r="D205" s="2" t="s">
        <v>6</v>
      </c>
      <c r="E205" s="14" t="s">
        <v>11</v>
      </c>
      <c r="F205" s="22">
        <f t="shared" si="13"/>
        <v>10</v>
      </c>
      <c r="H205" s="5" t="str">
        <f ca="1">_xlfn.FORMULATEXT(표1[[#This Row],[Q''ty]])</f>
        <v>=F106</v>
      </c>
    </row>
    <row r="206" spans="1:10" ht="15" hidden="1" customHeight="1" x14ac:dyDescent="0.4">
      <c r="A206" s="6">
        <v>2026</v>
      </c>
      <c r="B206" s="6">
        <f t="shared" si="14"/>
        <v>3</v>
      </c>
      <c r="C206" s="13" t="s">
        <v>23</v>
      </c>
      <c r="D206" s="2" t="s">
        <v>12</v>
      </c>
      <c r="E206" s="14" t="s">
        <v>13</v>
      </c>
      <c r="F206" s="22">
        <v>21</v>
      </c>
      <c r="H206" s="5" t="e">
        <f ca="1">_xlfn.FORMULATEXT(표1[[#This Row],[Q''ty]])</f>
        <v>#N/A</v>
      </c>
    </row>
    <row r="207" spans="1:10" s="2" customFormat="1" ht="15" hidden="1" customHeight="1" x14ac:dyDescent="0.4">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4">
      <c r="A208" s="6">
        <v>2026</v>
      </c>
      <c r="B208" s="6">
        <f t="shared" si="14"/>
        <v>3</v>
      </c>
      <c r="C208" s="13" t="s">
        <v>23</v>
      </c>
      <c r="D208" s="2" t="s">
        <v>12</v>
      </c>
      <c r="E208" s="14" t="s">
        <v>15</v>
      </c>
      <c r="F208" s="22">
        <v>228</v>
      </c>
      <c r="H208" s="5" t="e">
        <f ca="1">_xlfn.FORMULATEXT(표1[[#This Row],[Q''ty]])</f>
        <v>#N/A</v>
      </c>
    </row>
    <row r="209" spans="1:10" ht="15" hidden="1" customHeight="1" x14ac:dyDescent="0.4">
      <c r="A209" s="6">
        <v>2026</v>
      </c>
      <c r="B209" s="6">
        <f t="shared" si="14"/>
        <v>3</v>
      </c>
      <c r="C209" s="13" t="s">
        <v>23</v>
      </c>
      <c r="D209" s="2" t="s">
        <v>12</v>
      </c>
      <c r="E209" s="14" t="s">
        <v>16</v>
      </c>
      <c r="F209" s="22">
        <v>222.5</v>
      </c>
      <c r="H209" s="5" t="e">
        <f ca="1">_xlfn.FORMULATEXT(표1[[#This Row],[Q''ty]])</f>
        <v>#N/A</v>
      </c>
    </row>
    <row r="210" spans="1:10" ht="15" hidden="1" customHeight="1" thickBot="1" x14ac:dyDescent="0.4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4">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4">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4">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4">
      <c r="A214" s="6">
        <v>2026</v>
      </c>
      <c r="B214" s="6">
        <f t="shared" si="14"/>
        <v>3</v>
      </c>
      <c r="C214" s="13" t="s">
        <v>24</v>
      </c>
      <c r="D214" s="2" t="s">
        <v>6</v>
      </c>
      <c r="E214" s="14" t="s">
        <v>27</v>
      </c>
      <c r="F214" s="22">
        <f t="shared" si="15"/>
        <v>3</v>
      </c>
      <c r="H214" s="5" t="str">
        <f ca="1">_xlfn.FORMULATEXT(표1[[#This Row],[Q''ty]])</f>
        <v>=F115</v>
      </c>
    </row>
    <row r="215" spans="1:10" ht="15" hidden="1" customHeight="1" x14ac:dyDescent="0.4">
      <c r="A215" s="6">
        <v>2026</v>
      </c>
      <c r="B215" s="6">
        <f t="shared" si="14"/>
        <v>3</v>
      </c>
      <c r="C215" s="13" t="s">
        <v>24</v>
      </c>
      <c r="D215" s="2" t="s">
        <v>6</v>
      </c>
      <c r="E215" s="14" t="s">
        <v>10</v>
      </c>
      <c r="F215" s="22">
        <f t="shared" si="15"/>
        <v>6</v>
      </c>
      <c r="H215" s="5" t="str">
        <f ca="1">_xlfn.FORMULATEXT(표1[[#This Row],[Q''ty]])</f>
        <v>=F116</v>
      </c>
    </row>
    <row r="216" spans="1:10" ht="15" hidden="1" customHeight="1" x14ac:dyDescent="0.4">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4">
      <c r="A217" s="6">
        <v>2026</v>
      </c>
      <c r="B217" s="6">
        <f t="shared" si="14"/>
        <v>3</v>
      </c>
      <c r="C217" s="13" t="s">
        <v>24</v>
      </c>
      <c r="D217" s="2" t="s">
        <v>12</v>
      </c>
      <c r="E217" s="14" t="s">
        <v>13</v>
      </c>
      <c r="F217" s="22">
        <v>20</v>
      </c>
      <c r="H217" s="5" t="e">
        <f ca="1">_xlfn.FORMULATEXT(표1[[#This Row],[Q''ty]])</f>
        <v>#N/A</v>
      </c>
    </row>
    <row r="218" spans="1:10" s="2" customFormat="1" ht="15" hidden="1" customHeight="1" x14ac:dyDescent="0.4">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4">
      <c r="A219" s="6">
        <v>2026</v>
      </c>
      <c r="B219" s="6">
        <f t="shared" si="14"/>
        <v>3</v>
      </c>
      <c r="C219" s="13" t="s">
        <v>24</v>
      </c>
      <c r="D219" s="2" t="s">
        <v>12</v>
      </c>
      <c r="E219" s="14" t="s">
        <v>15</v>
      </c>
      <c r="F219" s="22">
        <v>194</v>
      </c>
      <c r="H219" s="5" t="e">
        <f ca="1">_xlfn.FORMULATEXT(표1[[#This Row],[Q''ty]])</f>
        <v>#N/A</v>
      </c>
    </row>
    <row r="220" spans="1:10" ht="15" hidden="1" customHeight="1" x14ac:dyDescent="0.4">
      <c r="A220" s="6">
        <v>2026</v>
      </c>
      <c r="B220" s="6">
        <f t="shared" si="14"/>
        <v>3</v>
      </c>
      <c r="C220" s="13" t="s">
        <v>24</v>
      </c>
      <c r="D220" s="2" t="s">
        <v>12</v>
      </c>
      <c r="E220" s="14" t="s">
        <v>16</v>
      </c>
      <c r="F220" s="22">
        <v>194</v>
      </c>
      <c r="H220" s="5" t="e">
        <f ca="1">_xlfn.FORMULATEXT(표1[[#This Row],[Q''ty]])</f>
        <v>#N/A</v>
      </c>
    </row>
    <row r="221" spans="1:10" ht="15" hidden="1" customHeight="1" thickBot="1" x14ac:dyDescent="0.45">
      <c r="A221" s="15">
        <v>2026</v>
      </c>
      <c r="B221" s="15">
        <f t="shared" si="14"/>
        <v>3</v>
      </c>
      <c r="C221" s="16" t="s">
        <v>24</v>
      </c>
      <c r="D221" s="17" t="s">
        <v>12</v>
      </c>
      <c r="E221" s="18" t="s">
        <v>17</v>
      </c>
      <c r="F221" s="23">
        <v>213.7</v>
      </c>
      <c r="H221" s="5" t="e">
        <f ca="1">_xlfn.FORMULATEXT(표1[[#This Row],[Q''ty]])</f>
        <v>#N/A</v>
      </c>
    </row>
    <row r="222" spans="1:10" ht="15" hidden="1" customHeight="1" thickTop="1" x14ac:dyDescent="0.4">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4">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4">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4">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4">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4">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4">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4">
      <c r="A229" s="6">
        <v>2026</v>
      </c>
      <c r="B229" s="6">
        <f t="shared" si="14"/>
        <v>3</v>
      </c>
      <c r="C229" s="13" t="s">
        <v>18</v>
      </c>
      <c r="D229" s="2" t="s">
        <v>12</v>
      </c>
      <c r="E229" s="14" t="str">
        <f t="shared" si="17"/>
        <v>WT GT</v>
      </c>
      <c r="F229" s="22">
        <v>0</v>
      </c>
      <c r="H229" s="5" t="e">
        <f ca="1">_xlfn.FORMULATEXT(표1[[#This Row],[Q''ty]])</f>
        <v>#N/A</v>
      </c>
    </row>
    <row r="230" spans="1:8" ht="15" hidden="1" customHeight="1" x14ac:dyDescent="0.4">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4">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4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4">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4">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4">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4">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4">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4">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4">
      <c r="A239" s="6">
        <v>2026</v>
      </c>
      <c r="B239" s="6">
        <f t="shared" si="14"/>
        <v>3</v>
      </c>
      <c r="C239" s="13" t="s">
        <v>19</v>
      </c>
      <c r="D239" s="2" t="s">
        <v>12</v>
      </c>
      <c r="E239" s="14" t="str">
        <f t="shared" si="17"/>
        <v>BT GT</v>
      </c>
      <c r="F239" s="22">
        <v>34</v>
      </c>
      <c r="H239" s="5" t="e">
        <f ca="1">_xlfn.FORMULATEXT(표1[[#This Row],[Q''ty]])</f>
        <v>#N/A</v>
      </c>
    </row>
    <row r="240" spans="1:8" ht="15" hidden="1" customHeight="1" x14ac:dyDescent="0.4">
      <c r="A240" s="6">
        <v>2026</v>
      </c>
      <c r="B240" s="6">
        <f t="shared" si="14"/>
        <v>3</v>
      </c>
      <c r="C240" s="13" t="s">
        <v>19</v>
      </c>
      <c r="D240" s="2" t="s">
        <v>12</v>
      </c>
      <c r="E240" s="14" t="str">
        <f t="shared" si="17"/>
        <v>WT GT</v>
      </c>
      <c r="F240" s="22">
        <v>30</v>
      </c>
      <c r="H240" s="5" t="e">
        <f ca="1">_xlfn.FORMULATEXT(표1[[#This Row],[Q''ty]])</f>
        <v>#N/A</v>
      </c>
    </row>
    <row r="241" spans="1:8" ht="15" hidden="1" customHeight="1" x14ac:dyDescent="0.4">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4">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4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4">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4">
      <c r="A245" s="6">
        <v>2026</v>
      </c>
      <c r="B245" s="6">
        <f t="shared" si="14"/>
        <v>3</v>
      </c>
      <c r="C245" s="13" t="s">
        <v>25</v>
      </c>
      <c r="D245" s="2" t="s">
        <v>6</v>
      </c>
      <c r="E245" s="14" t="s">
        <v>8</v>
      </c>
      <c r="F245" s="22">
        <f t="shared" si="19"/>
        <v>3</v>
      </c>
      <c r="H245" s="5" t="str">
        <f ca="1">_xlfn.FORMULATEXT(표1[[#This Row],[Q''ty]])</f>
        <v>=F146</v>
      </c>
    </row>
    <row r="246" spans="1:8" ht="15" hidden="1" customHeight="1" x14ac:dyDescent="0.4">
      <c r="A246" s="6">
        <v>2026</v>
      </c>
      <c r="B246" s="6">
        <f t="shared" si="14"/>
        <v>3</v>
      </c>
      <c r="C246" s="13" t="s">
        <v>25</v>
      </c>
      <c r="D246" s="2" t="s">
        <v>6</v>
      </c>
      <c r="E246" s="14" t="s">
        <v>9</v>
      </c>
      <c r="F246" s="22">
        <f t="shared" si="19"/>
        <v>2</v>
      </c>
      <c r="H246" s="5" t="str">
        <f ca="1">_xlfn.FORMULATEXT(표1[[#This Row],[Q''ty]])</f>
        <v>=F147</v>
      </c>
    </row>
    <row r="247" spans="1:8" ht="15" hidden="1" customHeight="1" x14ac:dyDescent="0.4">
      <c r="A247" s="6">
        <v>2026</v>
      </c>
      <c r="B247" s="6">
        <f t="shared" si="14"/>
        <v>3</v>
      </c>
      <c r="C247" s="13" t="s">
        <v>25</v>
      </c>
      <c r="D247" s="2" t="s">
        <v>6</v>
      </c>
      <c r="E247" s="14" t="s">
        <v>27</v>
      </c>
      <c r="F247" s="22">
        <f t="shared" si="19"/>
        <v>2</v>
      </c>
      <c r="H247" s="5" t="str">
        <f ca="1">_xlfn.FORMULATEXT(표1[[#This Row],[Q''ty]])</f>
        <v>=F148</v>
      </c>
    </row>
    <row r="248" spans="1:8" ht="15" hidden="1" customHeight="1" x14ac:dyDescent="0.4">
      <c r="A248" s="6">
        <v>2026</v>
      </c>
      <c r="B248" s="6">
        <f t="shared" si="14"/>
        <v>3</v>
      </c>
      <c r="C248" s="13" t="s">
        <v>25</v>
      </c>
      <c r="D248" s="2" t="s">
        <v>6</v>
      </c>
      <c r="E248" s="14" t="s">
        <v>10</v>
      </c>
      <c r="F248" s="22">
        <f t="shared" si="19"/>
        <v>3</v>
      </c>
      <c r="H248" s="5" t="str">
        <f ca="1">_xlfn.FORMULATEXT(표1[[#This Row],[Q''ty]])</f>
        <v>=F149</v>
      </c>
    </row>
    <row r="249" spans="1:8" ht="15" hidden="1" customHeight="1" x14ac:dyDescent="0.4">
      <c r="A249" s="6">
        <v>2026</v>
      </c>
      <c r="B249" s="6">
        <f t="shared" si="14"/>
        <v>3</v>
      </c>
      <c r="C249" s="13" t="s">
        <v>25</v>
      </c>
      <c r="D249" s="2" t="s">
        <v>6</v>
      </c>
      <c r="E249" s="14" t="s">
        <v>11</v>
      </c>
      <c r="F249" s="22">
        <f t="shared" si="19"/>
        <v>4</v>
      </c>
      <c r="H249" s="5" t="str">
        <f ca="1">_xlfn.FORMULATEXT(표1[[#This Row],[Q''ty]])</f>
        <v>=F150</v>
      </c>
    </row>
    <row r="250" spans="1:8" ht="15" hidden="1" customHeight="1" x14ac:dyDescent="0.4">
      <c r="A250" s="6">
        <v>2026</v>
      </c>
      <c r="B250" s="6">
        <f t="shared" si="14"/>
        <v>3</v>
      </c>
      <c r="C250" s="13" t="s">
        <v>25</v>
      </c>
      <c r="D250" s="2" t="s">
        <v>12</v>
      </c>
      <c r="E250" s="14" t="s">
        <v>13</v>
      </c>
      <c r="F250" s="22">
        <v>0</v>
      </c>
      <c r="H250" s="5" t="e">
        <f ca="1">_xlfn.FORMULATEXT(표1[[#This Row],[Q''ty]])</f>
        <v>#N/A</v>
      </c>
    </row>
    <row r="251" spans="1:8" ht="15" hidden="1" customHeight="1" x14ac:dyDescent="0.4">
      <c r="A251" s="6">
        <v>2026</v>
      </c>
      <c r="B251" s="6">
        <f t="shared" si="14"/>
        <v>3</v>
      </c>
      <c r="C251" s="13" t="s">
        <v>25</v>
      </c>
      <c r="D251" s="2" t="s">
        <v>12</v>
      </c>
      <c r="E251" s="14" t="s">
        <v>14</v>
      </c>
      <c r="F251" s="22">
        <v>0</v>
      </c>
      <c r="H251" s="5" t="e">
        <f ca="1">_xlfn.FORMULATEXT(표1[[#This Row],[Q''ty]])</f>
        <v>#N/A</v>
      </c>
    </row>
    <row r="252" spans="1:8" ht="15" hidden="1" customHeight="1" x14ac:dyDescent="0.4">
      <c r="A252" s="6">
        <v>2026</v>
      </c>
      <c r="B252" s="6">
        <f t="shared" si="14"/>
        <v>3</v>
      </c>
      <c r="C252" s="13" t="s">
        <v>25</v>
      </c>
      <c r="D252" s="2" t="s">
        <v>12</v>
      </c>
      <c r="E252" s="14" t="s">
        <v>15</v>
      </c>
      <c r="F252" s="22">
        <v>0</v>
      </c>
      <c r="H252" s="5" t="e">
        <f ca="1">_xlfn.FORMULATEXT(표1[[#This Row],[Q''ty]])</f>
        <v>#N/A</v>
      </c>
    </row>
    <row r="253" spans="1:8" ht="15" hidden="1" customHeight="1" x14ac:dyDescent="0.4">
      <c r="A253" s="6">
        <v>2026</v>
      </c>
      <c r="B253" s="6">
        <f t="shared" si="14"/>
        <v>3</v>
      </c>
      <c r="C253" s="13" t="s">
        <v>25</v>
      </c>
      <c r="D253" s="2" t="s">
        <v>12</v>
      </c>
      <c r="E253" s="14" t="s">
        <v>16</v>
      </c>
      <c r="F253" s="22">
        <v>0</v>
      </c>
      <c r="H253" s="5" t="e">
        <f ca="1">_xlfn.FORMULATEXT(표1[[#This Row],[Q''ty]])</f>
        <v>#N/A</v>
      </c>
    </row>
    <row r="254" spans="1:8" ht="15" hidden="1" customHeight="1" thickBot="1" x14ac:dyDescent="0.45">
      <c r="A254" s="15">
        <v>2026</v>
      </c>
      <c r="B254" s="15">
        <f t="shared" si="14"/>
        <v>3</v>
      </c>
      <c r="C254" s="16" t="s">
        <v>25</v>
      </c>
      <c r="D254" s="17" t="s">
        <v>12</v>
      </c>
      <c r="E254" s="18" t="s">
        <v>17</v>
      </c>
      <c r="F254" s="23">
        <v>0</v>
      </c>
      <c r="H254" s="5" t="e">
        <f ca="1">_xlfn.FORMULATEXT(표1[[#This Row],[Q''ty]])</f>
        <v>#N/A</v>
      </c>
    </row>
    <row r="255" spans="1:8" ht="15" hidden="1" customHeight="1" thickTop="1" x14ac:dyDescent="0.4">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4">
      <c r="A256" s="6">
        <v>2026</v>
      </c>
      <c r="B256" s="6">
        <f t="shared" si="14"/>
        <v>3</v>
      </c>
      <c r="C256" s="13" t="s">
        <v>26</v>
      </c>
      <c r="D256" s="2" t="s">
        <v>6</v>
      </c>
      <c r="E256" s="14" t="s">
        <v>8</v>
      </c>
      <c r="F256" s="22">
        <f t="shared" si="20"/>
        <v>4</v>
      </c>
      <c r="H256" s="5" t="str">
        <f ca="1">_xlfn.FORMULATEXT(표1[[#This Row],[Q''ty]])</f>
        <v>=F157</v>
      </c>
    </row>
    <row r="257" spans="1:8" ht="15" hidden="1" customHeight="1" x14ac:dyDescent="0.4">
      <c r="A257" s="6">
        <v>2026</v>
      </c>
      <c r="B257" s="6">
        <f t="shared" si="14"/>
        <v>3</v>
      </c>
      <c r="C257" s="13" t="s">
        <v>26</v>
      </c>
      <c r="D257" s="2" t="s">
        <v>6</v>
      </c>
      <c r="E257" s="14" t="s">
        <v>9</v>
      </c>
      <c r="F257" s="22">
        <f t="shared" si="20"/>
        <v>2</v>
      </c>
      <c r="H257" s="5" t="str">
        <f ca="1">_xlfn.FORMULATEXT(표1[[#This Row],[Q''ty]])</f>
        <v>=F158</v>
      </c>
    </row>
    <row r="258" spans="1:8" ht="15" hidden="1" customHeight="1" x14ac:dyDescent="0.4">
      <c r="A258" s="6">
        <v>2026</v>
      </c>
      <c r="B258" s="6">
        <f t="shared" si="14"/>
        <v>3</v>
      </c>
      <c r="C258" s="13" t="s">
        <v>26</v>
      </c>
      <c r="D258" s="2" t="s">
        <v>6</v>
      </c>
      <c r="E258" s="14" t="s">
        <v>27</v>
      </c>
      <c r="F258" s="22">
        <f t="shared" si="20"/>
        <v>3</v>
      </c>
      <c r="H258" s="5" t="str">
        <f ca="1">_xlfn.FORMULATEXT(표1[[#This Row],[Q''ty]])</f>
        <v>=F159</v>
      </c>
    </row>
    <row r="259" spans="1:8" ht="15" hidden="1" customHeight="1" x14ac:dyDescent="0.4">
      <c r="A259" s="6">
        <v>2026</v>
      </c>
      <c r="B259" s="6">
        <f t="shared" si="14"/>
        <v>3</v>
      </c>
      <c r="C259" s="13" t="s">
        <v>26</v>
      </c>
      <c r="D259" s="2" t="s">
        <v>6</v>
      </c>
      <c r="E259" s="14" t="s">
        <v>10</v>
      </c>
      <c r="F259" s="22">
        <f t="shared" si="20"/>
        <v>4</v>
      </c>
      <c r="H259" s="5" t="str">
        <f ca="1">_xlfn.FORMULATEXT(표1[[#This Row],[Q''ty]])</f>
        <v>=F160</v>
      </c>
    </row>
    <row r="260" spans="1:8" ht="15" hidden="1" customHeight="1" x14ac:dyDescent="0.4">
      <c r="A260" s="6">
        <v>2026</v>
      </c>
      <c r="B260" s="6">
        <f t="shared" si="14"/>
        <v>3</v>
      </c>
      <c r="C260" s="13" t="s">
        <v>26</v>
      </c>
      <c r="D260" s="2" t="s">
        <v>6</v>
      </c>
      <c r="E260" s="14" t="s">
        <v>11</v>
      </c>
      <c r="F260" s="22">
        <f t="shared" si="20"/>
        <v>6</v>
      </c>
      <c r="H260" s="5" t="str">
        <f ca="1">_xlfn.FORMULATEXT(표1[[#This Row],[Q''ty]])</f>
        <v>=F161</v>
      </c>
    </row>
    <row r="261" spans="1:8" ht="15" hidden="1" customHeight="1" x14ac:dyDescent="0.4">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4">
      <c r="A262" s="6">
        <v>2026</v>
      </c>
      <c r="B262" s="6">
        <f t="shared" si="14"/>
        <v>3</v>
      </c>
      <c r="C262" s="13" t="s">
        <v>26</v>
      </c>
      <c r="D262" s="2" t="s">
        <v>12</v>
      </c>
      <c r="E262" s="14" t="str">
        <f t="shared" si="21"/>
        <v>WT GT</v>
      </c>
      <c r="F262" s="22">
        <v>17</v>
      </c>
      <c r="H262" s="5" t="e">
        <f ca="1">_xlfn.FORMULATEXT(표1[[#This Row],[Q''ty]])</f>
        <v>#N/A</v>
      </c>
    </row>
    <row r="263" spans="1:8" ht="15" hidden="1" customHeight="1" x14ac:dyDescent="0.4">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4">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4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4">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4">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4">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4">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4">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4">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4">
      <c r="A272" s="6">
        <v>2026</v>
      </c>
      <c r="B272" s="6">
        <f t="shared" si="22"/>
        <v>3</v>
      </c>
      <c r="C272" s="13" t="s">
        <v>20</v>
      </c>
      <c r="D272" s="2" t="s">
        <v>12</v>
      </c>
      <c r="E272" s="14" t="str">
        <f t="shared" si="21"/>
        <v>BT GT</v>
      </c>
      <c r="F272" s="22">
        <v>62</v>
      </c>
      <c r="H272" s="5" t="e">
        <f ca="1">_xlfn.FORMULATEXT(표1[[#This Row],[Q''ty]])</f>
        <v>#N/A</v>
      </c>
    </row>
    <row r="273" spans="1:8" ht="15" hidden="1" customHeight="1" x14ac:dyDescent="0.4">
      <c r="A273" s="6">
        <v>2026</v>
      </c>
      <c r="B273" s="6">
        <f t="shared" si="22"/>
        <v>3</v>
      </c>
      <c r="C273" s="13" t="s">
        <v>20</v>
      </c>
      <c r="D273" s="2" t="s">
        <v>12</v>
      </c>
      <c r="E273" s="14" t="str">
        <f t="shared" si="21"/>
        <v>WT GT</v>
      </c>
      <c r="F273" s="22">
        <v>66</v>
      </c>
      <c r="H273" s="5" t="e">
        <f ca="1">_xlfn.FORMULATEXT(표1[[#This Row],[Q''ty]])</f>
        <v>#N/A</v>
      </c>
    </row>
    <row r="274" spans="1:8" ht="15" hidden="1" customHeight="1" x14ac:dyDescent="0.4">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4">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4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4">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4">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4">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4">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4">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4">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4">
      <c r="A283" s="6">
        <v>2026</v>
      </c>
      <c r="B283" s="6">
        <f t="shared" si="22"/>
        <v>3</v>
      </c>
      <c r="C283" s="13" t="s">
        <v>21</v>
      </c>
      <c r="D283" s="2" t="s">
        <v>12</v>
      </c>
      <c r="E283" s="14" t="str">
        <f t="shared" si="21"/>
        <v>BT GT</v>
      </c>
      <c r="F283" s="22">
        <v>15</v>
      </c>
      <c r="H283" s="5" t="e">
        <f ca="1">_xlfn.FORMULATEXT(표1[[#This Row],[Q''ty]])</f>
        <v>#N/A</v>
      </c>
    </row>
    <row r="284" spans="1:8" ht="15" hidden="1" customHeight="1" x14ac:dyDescent="0.4">
      <c r="A284" s="6">
        <v>2026</v>
      </c>
      <c r="B284" s="6">
        <f t="shared" si="22"/>
        <v>3</v>
      </c>
      <c r="C284" s="13" t="s">
        <v>21</v>
      </c>
      <c r="D284" s="2" t="s">
        <v>12</v>
      </c>
      <c r="E284" s="14" t="str">
        <f t="shared" si="21"/>
        <v>WT GT</v>
      </c>
      <c r="F284" s="22">
        <v>15</v>
      </c>
      <c r="H284" s="5" t="e">
        <f ca="1">_xlfn.FORMULATEXT(표1[[#This Row],[Q''ty]])</f>
        <v>#N/A</v>
      </c>
    </row>
    <row r="285" spans="1:8" ht="15" hidden="1" customHeight="1" x14ac:dyDescent="0.4">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4">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4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4">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4">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4">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4">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4">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4">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4">
      <c r="A294" s="6">
        <v>2026</v>
      </c>
      <c r="B294" s="6">
        <f t="shared" si="22"/>
        <v>3</v>
      </c>
      <c r="C294" s="13" t="s">
        <v>22</v>
      </c>
      <c r="D294" s="2" t="s">
        <v>12</v>
      </c>
      <c r="E294" s="14" t="str">
        <f t="shared" si="21"/>
        <v>BT GT</v>
      </c>
      <c r="F294" s="22">
        <v>9</v>
      </c>
      <c r="H294" s="5" t="e">
        <f ca="1">_xlfn.FORMULATEXT(표1[[#This Row],[Q''ty]])</f>
        <v>#N/A</v>
      </c>
    </row>
    <row r="295" spans="1:10" ht="15" hidden="1" customHeight="1" x14ac:dyDescent="0.4">
      <c r="A295" s="6">
        <v>2026</v>
      </c>
      <c r="B295" s="6">
        <f t="shared" si="22"/>
        <v>3</v>
      </c>
      <c r="C295" s="13" t="s">
        <v>22</v>
      </c>
      <c r="D295" s="2" t="s">
        <v>12</v>
      </c>
      <c r="E295" s="14" t="str">
        <f t="shared" si="21"/>
        <v>WT GT</v>
      </c>
      <c r="F295" s="22">
        <v>9</v>
      </c>
      <c r="H295" s="5" t="e">
        <f ca="1">_xlfn.FORMULATEXT(표1[[#This Row],[Q''ty]])</f>
        <v>#N/A</v>
      </c>
    </row>
    <row r="296" spans="1:10" ht="15" hidden="1" customHeight="1" x14ac:dyDescent="0.4">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4">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4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4">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4">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4">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4">
      <c r="A302" s="6">
        <v>2026</v>
      </c>
      <c r="B302" s="6">
        <f t="shared" si="27"/>
        <v>4</v>
      </c>
      <c r="C302" s="13" t="s">
        <v>23</v>
      </c>
      <c r="D302" s="2" t="s">
        <v>6</v>
      </c>
      <c r="E302" s="14" t="s">
        <v>27</v>
      </c>
      <c r="F302" s="22">
        <f t="shared" si="26"/>
        <v>6</v>
      </c>
      <c r="H302" s="5" t="str">
        <f ca="1">_xlfn.FORMULATEXT(표1[[#This Row],[Q''ty]])</f>
        <v>=F203</v>
      </c>
    </row>
    <row r="303" spans="1:10" ht="15" hidden="1" customHeight="1" x14ac:dyDescent="0.4">
      <c r="A303" s="6">
        <v>2026</v>
      </c>
      <c r="B303" s="6">
        <f t="shared" si="27"/>
        <v>4</v>
      </c>
      <c r="C303" s="13" t="s">
        <v>23</v>
      </c>
      <c r="D303" s="2" t="s">
        <v>6</v>
      </c>
      <c r="E303" s="14" t="s">
        <v>10</v>
      </c>
      <c r="F303" s="22">
        <f t="shared" si="26"/>
        <v>10</v>
      </c>
      <c r="H303" s="5" t="str">
        <f ca="1">_xlfn.FORMULATEXT(표1[[#This Row],[Q''ty]])</f>
        <v>=F204</v>
      </c>
    </row>
    <row r="304" spans="1:10" ht="15" hidden="1" customHeight="1" x14ac:dyDescent="0.4">
      <c r="A304" s="6">
        <v>2026</v>
      </c>
      <c r="B304" s="6">
        <f t="shared" si="27"/>
        <v>4</v>
      </c>
      <c r="C304" s="13" t="s">
        <v>23</v>
      </c>
      <c r="D304" s="2" t="s">
        <v>6</v>
      </c>
      <c r="E304" s="14" t="s">
        <v>11</v>
      </c>
      <c r="F304" s="22">
        <f t="shared" si="26"/>
        <v>10</v>
      </c>
      <c r="H304" s="5" t="str">
        <f ca="1">_xlfn.FORMULATEXT(표1[[#This Row],[Q''ty]])</f>
        <v>=F205</v>
      </c>
    </row>
    <row r="305" spans="1:10" ht="15" hidden="1" customHeight="1" x14ac:dyDescent="0.4">
      <c r="A305" s="6">
        <v>2026</v>
      </c>
      <c r="B305" s="6">
        <f t="shared" si="27"/>
        <v>4</v>
      </c>
      <c r="C305" s="13" t="s">
        <v>23</v>
      </c>
      <c r="D305" s="2" t="s">
        <v>12</v>
      </c>
      <c r="E305" s="14" t="s">
        <v>13</v>
      </c>
      <c r="F305" s="22">
        <v>20</v>
      </c>
      <c r="H305" s="5" t="e">
        <f ca="1">_xlfn.FORMULATEXT(표1[[#This Row],[Q''ty]])</f>
        <v>#N/A</v>
      </c>
    </row>
    <row r="306" spans="1:10" s="2" customFormat="1" ht="15" hidden="1" customHeight="1" x14ac:dyDescent="0.4">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4">
      <c r="A307" s="6">
        <v>2026</v>
      </c>
      <c r="B307" s="6">
        <f t="shared" si="27"/>
        <v>4</v>
      </c>
      <c r="C307" s="13" t="s">
        <v>23</v>
      </c>
      <c r="D307" s="2" t="s">
        <v>12</v>
      </c>
      <c r="E307" s="14" t="s">
        <v>15</v>
      </c>
      <c r="F307" s="22">
        <v>196</v>
      </c>
      <c r="H307" s="5" t="e">
        <f ca="1">_xlfn.FORMULATEXT(표1[[#This Row],[Q''ty]])</f>
        <v>#N/A</v>
      </c>
    </row>
    <row r="308" spans="1:10" ht="15" hidden="1" customHeight="1" x14ac:dyDescent="0.4">
      <c r="A308" s="6">
        <v>2026</v>
      </c>
      <c r="B308" s="6">
        <f t="shared" si="27"/>
        <v>4</v>
      </c>
      <c r="C308" s="13" t="s">
        <v>23</v>
      </c>
      <c r="D308" s="2" t="s">
        <v>12</v>
      </c>
      <c r="E308" s="14" t="s">
        <v>16</v>
      </c>
      <c r="F308" s="22">
        <v>216.5</v>
      </c>
      <c r="H308" s="5" t="e">
        <f ca="1">_xlfn.FORMULATEXT(표1[[#This Row],[Q''ty]])</f>
        <v>#N/A</v>
      </c>
    </row>
    <row r="309" spans="1:10" ht="15" hidden="1" customHeight="1" thickBot="1" x14ac:dyDescent="0.45">
      <c r="A309" s="15">
        <v>2026</v>
      </c>
      <c r="B309" s="15">
        <f t="shared" si="27"/>
        <v>4</v>
      </c>
      <c r="C309" s="16" t="s">
        <v>23</v>
      </c>
      <c r="D309" s="17" t="s">
        <v>12</v>
      </c>
      <c r="E309" s="18" t="s">
        <v>17</v>
      </c>
      <c r="F309" s="23">
        <v>222.2</v>
      </c>
      <c r="H309" s="5" t="e">
        <f ca="1">_xlfn.FORMULATEXT(표1[[#This Row],[Q''ty]])</f>
        <v>#N/A</v>
      </c>
    </row>
    <row r="310" spans="1:10" ht="15" hidden="1" customHeight="1" thickTop="1" x14ac:dyDescent="0.4">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4">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4">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4">
      <c r="A313" s="6">
        <v>2026</v>
      </c>
      <c r="B313" s="6">
        <f t="shared" si="27"/>
        <v>4</v>
      </c>
      <c r="C313" s="13" t="s">
        <v>24</v>
      </c>
      <c r="D313" s="2" t="s">
        <v>6</v>
      </c>
      <c r="E313" s="14" t="s">
        <v>27</v>
      </c>
      <c r="F313" s="22">
        <f t="shared" si="28"/>
        <v>3</v>
      </c>
      <c r="H313" s="5" t="str">
        <f ca="1">_xlfn.FORMULATEXT(표1[[#This Row],[Q''ty]])</f>
        <v>=F214</v>
      </c>
    </row>
    <row r="314" spans="1:10" ht="15" hidden="1" customHeight="1" x14ac:dyDescent="0.4">
      <c r="A314" s="6">
        <v>2026</v>
      </c>
      <c r="B314" s="6">
        <f t="shared" si="27"/>
        <v>4</v>
      </c>
      <c r="C314" s="13" t="s">
        <v>24</v>
      </c>
      <c r="D314" s="2" t="s">
        <v>6</v>
      </c>
      <c r="E314" s="14" t="s">
        <v>10</v>
      </c>
      <c r="F314" s="22">
        <f t="shared" si="28"/>
        <v>6</v>
      </c>
      <c r="H314" s="5" t="str">
        <f ca="1">_xlfn.FORMULATEXT(표1[[#This Row],[Q''ty]])</f>
        <v>=F215</v>
      </c>
    </row>
    <row r="315" spans="1:10" ht="15" hidden="1" customHeight="1" x14ac:dyDescent="0.4">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4">
      <c r="A316" s="6">
        <v>2026</v>
      </c>
      <c r="B316" s="6">
        <f t="shared" si="27"/>
        <v>4</v>
      </c>
      <c r="C316" s="13" t="s">
        <v>24</v>
      </c>
      <c r="D316" s="2" t="s">
        <v>12</v>
      </c>
      <c r="E316" s="14" t="s">
        <v>13</v>
      </c>
      <c r="F316" s="22">
        <v>21</v>
      </c>
      <c r="H316" s="5" t="e">
        <f ca="1">_xlfn.FORMULATEXT(표1[[#This Row],[Q''ty]])</f>
        <v>#N/A</v>
      </c>
    </row>
    <row r="317" spans="1:10" s="2" customFormat="1" ht="15" hidden="1" customHeight="1" x14ac:dyDescent="0.4">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4">
      <c r="A318" s="6">
        <v>2026</v>
      </c>
      <c r="B318" s="6">
        <f t="shared" si="27"/>
        <v>4</v>
      </c>
      <c r="C318" s="13" t="s">
        <v>24</v>
      </c>
      <c r="D318" s="2" t="s">
        <v>12</v>
      </c>
      <c r="E318" s="14" t="s">
        <v>15</v>
      </c>
      <c r="F318" s="22">
        <v>172</v>
      </c>
      <c r="H318" s="5" t="e">
        <f ca="1">_xlfn.FORMULATEXT(표1[[#This Row],[Q''ty]])</f>
        <v>#N/A</v>
      </c>
    </row>
    <row r="319" spans="1:10" ht="15" hidden="1" customHeight="1" x14ac:dyDescent="0.4">
      <c r="A319" s="6">
        <v>2026</v>
      </c>
      <c r="B319" s="6">
        <f t="shared" si="27"/>
        <v>4</v>
      </c>
      <c r="C319" s="13" t="s">
        <v>24</v>
      </c>
      <c r="D319" s="2" t="s">
        <v>12</v>
      </c>
      <c r="E319" s="14" t="s">
        <v>16</v>
      </c>
      <c r="F319" s="22">
        <v>181</v>
      </c>
      <c r="H319" s="5" t="e">
        <f ca="1">_xlfn.FORMULATEXT(표1[[#This Row],[Q''ty]])</f>
        <v>#N/A</v>
      </c>
    </row>
    <row r="320" spans="1:10" ht="15" hidden="1" customHeight="1" thickBot="1" x14ac:dyDescent="0.45">
      <c r="A320" s="15">
        <v>2026</v>
      </c>
      <c r="B320" s="15">
        <f t="shared" si="27"/>
        <v>4</v>
      </c>
      <c r="C320" s="16" t="s">
        <v>24</v>
      </c>
      <c r="D320" s="17" t="s">
        <v>12</v>
      </c>
      <c r="E320" s="18" t="s">
        <v>17</v>
      </c>
      <c r="F320" s="23">
        <v>178.5</v>
      </c>
      <c r="H320" s="5" t="e">
        <f ca="1">_xlfn.FORMULATEXT(표1[[#This Row],[Q''ty]])</f>
        <v>#N/A</v>
      </c>
    </row>
    <row r="321" spans="1:8" ht="15" hidden="1" customHeight="1" thickTop="1" x14ac:dyDescent="0.4">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4">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4">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4">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4">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4">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4">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4">
      <c r="A328" s="6">
        <v>2026</v>
      </c>
      <c r="B328" s="6">
        <f t="shared" si="27"/>
        <v>4</v>
      </c>
      <c r="C328" s="13" t="s">
        <v>18</v>
      </c>
      <c r="D328" s="2" t="s">
        <v>12</v>
      </c>
      <c r="E328" s="14" t="str">
        <f t="shared" si="30"/>
        <v>WT GT</v>
      </c>
      <c r="F328" s="22">
        <v>0</v>
      </c>
      <c r="H328" s="5" t="e">
        <f ca="1">_xlfn.FORMULATEXT(표1[[#This Row],[Q''ty]])</f>
        <v>#N/A</v>
      </c>
    </row>
    <row r="329" spans="1:8" ht="15" hidden="1" customHeight="1" x14ac:dyDescent="0.4">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4">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4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4">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4">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4">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4">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4">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4">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4">
      <c r="A338" s="6">
        <v>2026</v>
      </c>
      <c r="B338" s="6">
        <f t="shared" si="27"/>
        <v>4</v>
      </c>
      <c r="C338" s="13" t="s">
        <v>19</v>
      </c>
      <c r="D338" s="2" t="s">
        <v>12</v>
      </c>
      <c r="E338" s="14" t="str">
        <f t="shared" si="30"/>
        <v>BT GT</v>
      </c>
      <c r="F338" s="22">
        <v>32</v>
      </c>
      <c r="H338" s="5" t="e">
        <f ca="1">_xlfn.FORMULATEXT(표1[[#This Row],[Q''ty]])</f>
        <v>#N/A</v>
      </c>
    </row>
    <row r="339" spans="1:8" ht="15" hidden="1" customHeight="1" x14ac:dyDescent="0.4">
      <c r="A339" s="6">
        <v>2026</v>
      </c>
      <c r="B339" s="6">
        <f t="shared" si="27"/>
        <v>4</v>
      </c>
      <c r="C339" s="13" t="s">
        <v>19</v>
      </c>
      <c r="D339" s="2" t="s">
        <v>12</v>
      </c>
      <c r="E339" s="14" t="str">
        <f t="shared" si="30"/>
        <v>WT GT</v>
      </c>
      <c r="F339" s="22">
        <v>30</v>
      </c>
      <c r="H339" s="5" t="e">
        <f ca="1">_xlfn.FORMULATEXT(표1[[#This Row],[Q''ty]])</f>
        <v>#N/A</v>
      </c>
    </row>
    <row r="340" spans="1:8" ht="15" hidden="1" customHeight="1" x14ac:dyDescent="0.4">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4">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4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4">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4">
      <c r="A344" s="6">
        <v>2026</v>
      </c>
      <c r="B344" s="6">
        <f t="shared" si="27"/>
        <v>4</v>
      </c>
      <c r="C344" s="13" t="s">
        <v>25</v>
      </c>
      <c r="D344" s="2" t="s">
        <v>6</v>
      </c>
      <c r="E344" s="14" t="s">
        <v>8</v>
      </c>
      <c r="F344" s="22">
        <f t="shared" si="32"/>
        <v>3</v>
      </c>
      <c r="H344" s="5" t="str">
        <f ca="1">_xlfn.FORMULATEXT(표1[[#This Row],[Q''ty]])</f>
        <v>=F245</v>
      </c>
    </row>
    <row r="345" spans="1:8" ht="15" hidden="1" customHeight="1" x14ac:dyDescent="0.4">
      <c r="A345" s="6">
        <v>2026</v>
      </c>
      <c r="B345" s="6">
        <f t="shared" si="27"/>
        <v>4</v>
      </c>
      <c r="C345" s="13" t="s">
        <v>25</v>
      </c>
      <c r="D345" s="2" t="s">
        <v>6</v>
      </c>
      <c r="E345" s="14" t="s">
        <v>9</v>
      </c>
      <c r="F345" s="22">
        <f t="shared" si="32"/>
        <v>2</v>
      </c>
      <c r="H345" s="5" t="str">
        <f ca="1">_xlfn.FORMULATEXT(표1[[#This Row],[Q''ty]])</f>
        <v>=F246</v>
      </c>
    </row>
    <row r="346" spans="1:8" ht="15" hidden="1" customHeight="1" x14ac:dyDescent="0.4">
      <c r="A346" s="6">
        <v>2026</v>
      </c>
      <c r="B346" s="6">
        <f t="shared" si="27"/>
        <v>4</v>
      </c>
      <c r="C346" s="13" t="s">
        <v>25</v>
      </c>
      <c r="D346" s="2" t="s">
        <v>6</v>
      </c>
      <c r="E346" s="14" t="s">
        <v>27</v>
      </c>
      <c r="F346" s="22">
        <f t="shared" si="32"/>
        <v>2</v>
      </c>
      <c r="H346" s="5" t="str">
        <f ca="1">_xlfn.FORMULATEXT(표1[[#This Row],[Q''ty]])</f>
        <v>=F247</v>
      </c>
    </row>
    <row r="347" spans="1:8" ht="15" hidden="1" customHeight="1" x14ac:dyDescent="0.4">
      <c r="A347" s="6">
        <v>2026</v>
      </c>
      <c r="B347" s="6">
        <f t="shared" si="27"/>
        <v>4</v>
      </c>
      <c r="C347" s="13" t="s">
        <v>25</v>
      </c>
      <c r="D347" s="2" t="s">
        <v>6</v>
      </c>
      <c r="E347" s="14" t="s">
        <v>10</v>
      </c>
      <c r="F347" s="22">
        <f t="shared" si="32"/>
        <v>3</v>
      </c>
      <c r="H347" s="5" t="str">
        <f ca="1">_xlfn.FORMULATEXT(표1[[#This Row],[Q''ty]])</f>
        <v>=F248</v>
      </c>
    </row>
    <row r="348" spans="1:8" ht="15" hidden="1" customHeight="1" x14ac:dyDescent="0.4">
      <c r="A348" s="6">
        <v>2026</v>
      </c>
      <c r="B348" s="6">
        <f t="shared" si="27"/>
        <v>4</v>
      </c>
      <c r="C348" s="13" t="s">
        <v>25</v>
      </c>
      <c r="D348" s="2" t="s">
        <v>6</v>
      </c>
      <c r="E348" s="14" t="s">
        <v>11</v>
      </c>
      <c r="F348" s="22">
        <f t="shared" si="32"/>
        <v>4</v>
      </c>
      <c r="H348" s="5" t="str">
        <f ca="1">_xlfn.FORMULATEXT(표1[[#This Row],[Q''ty]])</f>
        <v>=F249</v>
      </c>
    </row>
    <row r="349" spans="1:8" ht="15" hidden="1" customHeight="1" x14ac:dyDescent="0.4">
      <c r="A349" s="6">
        <v>2026</v>
      </c>
      <c r="B349" s="6">
        <f t="shared" si="27"/>
        <v>4</v>
      </c>
      <c r="C349" s="13" t="s">
        <v>25</v>
      </c>
      <c r="D349" s="2" t="s">
        <v>12</v>
      </c>
      <c r="E349" s="14" t="s">
        <v>13</v>
      </c>
      <c r="F349" s="22">
        <v>0</v>
      </c>
      <c r="H349" s="5" t="e">
        <f ca="1">_xlfn.FORMULATEXT(표1[[#This Row],[Q''ty]])</f>
        <v>#N/A</v>
      </c>
    </row>
    <row r="350" spans="1:8" ht="15" hidden="1" customHeight="1" x14ac:dyDescent="0.4">
      <c r="A350" s="6">
        <v>2026</v>
      </c>
      <c r="B350" s="6">
        <f t="shared" si="27"/>
        <v>4</v>
      </c>
      <c r="C350" s="13" t="s">
        <v>25</v>
      </c>
      <c r="D350" s="2" t="s">
        <v>12</v>
      </c>
      <c r="E350" s="14" t="s">
        <v>14</v>
      </c>
      <c r="F350" s="22">
        <v>0</v>
      </c>
      <c r="H350" s="5" t="e">
        <f ca="1">_xlfn.FORMULATEXT(표1[[#This Row],[Q''ty]])</f>
        <v>#N/A</v>
      </c>
    </row>
    <row r="351" spans="1:8" ht="15" hidden="1" customHeight="1" x14ac:dyDescent="0.4">
      <c r="A351" s="6">
        <v>2026</v>
      </c>
      <c r="B351" s="6">
        <f t="shared" si="27"/>
        <v>4</v>
      </c>
      <c r="C351" s="13" t="s">
        <v>25</v>
      </c>
      <c r="D351" s="2" t="s">
        <v>12</v>
      </c>
      <c r="E351" s="14" t="s">
        <v>15</v>
      </c>
      <c r="F351" s="22">
        <v>0</v>
      </c>
      <c r="H351" s="5" t="e">
        <f ca="1">_xlfn.FORMULATEXT(표1[[#This Row],[Q''ty]])</f>
        <v>#N/A</v>
      </c>
    </row>
    <row r="352" spans="1:8" ht="15" hidden="1" customHeight="1" x14ac:dyDescent="0.4">
      <c r="A352" s="6">
        <v>2026</v>
      </c>
      <c r="B352" s="6">
        <f t="shared" si="27"/>
        <v>4</v>
      </c>
      <c r="C352" s="13" t="s">
        <v>25</v>
      </c>
      <c r="D352" s="2" t="s">
        <v>12</v>
      </c>
      <c r="E352" s="14" t="s">
        <v>16</v>
      </c>
      <c r="F352" s="22">
        <v>0</v>
      </c>
      <c r="H352" s="5" t="e">
        <f ca="1">_xlfn.FORMULATEXT(표1[[#This Row],[Q''ty]])</f>
        <v>#N/A</v>
      </c>
    </row>
    <row r="353" spans="1:8" ht="15" hidden="1" customHeight="1" thickBot="1" x14ac:dyDescent="0.45">
      <c r="A353" s="15">
        <v>2026</v>
      </c>
      <c r="B353" s="15">
        <f t="shared" si="27"/>
        <v>4</v>
      </c>
      <c r="C353" s="16" t="s">
        <v>25</v>
      </c>
      <c r="D353" s="17" t="s">
        <v>12</v>
      </c>
      <c r="E353" s="18" t="s">
        <v>17</v>
      </c>
      <c r="F353" s="23">
        <v>0</v>
      </c>
      <c r="H353" s="5" t="e">
        <f ca="1">_xlfn.FORMULATEXT(표1[[#This Row],[Q''ty]])</f>
        <v>#N/A</v>
      </c>
    </row>
    <row r="354" spans="1:8" ht="15" hidden="1" customHeight="1" thickTop="1" x14ac:dyDescent="0.4">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4">
      <c r="A355" s="6">
        <v>2026</v>
      </c>
      <c r="B355" s="6">
        <f t="shared" si="27"/>
        <v>4</v>
      </c>
      <c r="C355" s="13" t="s">
        <v>26</v>
      </c>
      <c r="D355" s="2" t="s">
        <v>6</v>
      </c>
      <c r="E355" s="14" t="s">
        <v>8</v>
      </c>
      <c r="F355" s="22">
        <f t="shared" si="33"/>
        <v>4</v>
      </c>
      <c r="H355" s="5" t="str">
        <f ca="1">_xlfn.FORMULATEXT(표1[[#This Row],[Q''ty]])</f>
        <v>=F256</v>
      </c>
    </row>
    <row r="356" spans="1:8" ht="15" hidden="1" customHeight="1" x14ac:dyDescent="0.4">
      <c r="A356" s="6">
        <v>2026</v>
      </c>
      <c r="B356" s="6">
        <f t="shared" si="27"/>
        <v>4</v>
      </c>
      <c r="C356" s="13" t="s">
        <v>26</v>
      </c>
      <c r="D356" s="2" t="s">
        <v>6</v>
      </c>
      <c r="E356" s="14" t="s">
        <v>9</v>
      </c>
      <c r="F356" s="22">
        <f t="shared" si="33"/>
        <v>2</v>
      </c>
      <c r="H356" s="5" t="str">
        <f ca="1">_xlfn.FORMULATEXT(표1[[#This Row],[Q''ty]])</f>
        <v>=F257</v>
      </c>
    </row>
    <row r="357" spans="1:8" ht="15" hidden="1" customHeight="1" x14ac:dyDescent="0.4">
      <c r="A357" s="6">
        <v>2026</v>
      </c>
      <c r="B357" s="6">
        <f t="shared" si="27"/>
        <v>4</v>
      </c>
      <c r="C357" s="13" t="s">
        <v>26</v>
      </c>
      <c r="D357" s="2" t="s">
        <v>6</v>
      </c>
      <c r="E357" s="14" t="s">
        <v>27</v>
      </c>
      <c r="F357" s="22">
        <f t="shared" si="33"/>
        <v>3</v>
      </c>
      <c r="H357" s="5" t="str">
        <f ca="1">_xlfn.FORMULATEXT(표1[[#This Row],[Q''ty]])</f>
        <v>=F258</v>
      </c>
    </row>
    <row r="358" spans="1:8" ht="15" hidden="1" customHeight="1" x14ac:dyDescent="0.4">
      <c r="A358" s="6">
        <v>2026</v>
      </c>
      <c r="B358" s="6">
        <f t="shared" si="27"/>
        <v>4</v>
      </c>
      <c r="C358" s="13" t="s">
        <v>26</v>
      </c>
      <c r="D358" s="2" t="s">
        <v>6</v>
      </c>
      <c r="E358" s="14" t="s">
        <v>10</v>
      </c>
      <c r="F358" s="22">
        <f t="shared" si="33"/>
        <v>4</v>
      </c>
      <c r="H358" s="5" t="str">
        <f ca="1">_xlfn.FORMULATEXT(표1[[#This Row],[Q''ty]])</f>
        <v>=F259</v>
      </c>
    </row>
    <row r="359" spans="1:8" ht="15" hidden="1" customHeight="1" x14ac:dyDescent="0.4">
      <c r="A359" s="6">
        <v>2026</v>
      </c>
      <c r="B359" s="6">
        <f t="shared" si="27"/>
        <v>4</v>
      </c>
      <c r="C359" s="13" t="s">
        <v>26</v>
      </c>
      <c r="D359" s="2" t="s">
        <v>6</v>
      </c>
      <c r="E359" s="14" t="s">
        <v>11</v>
      </c>
      <c r="F359" s="22">
        <f t="shared" si="33"/>
        <v>6</v>
      </c>
      <c r="H359" s="5" t="str">
        <f ca="1">_xlfn.FORMULATEXT(표1[[#This Row],[Q''ty]])</f>
        <v>=F260</v>
      </c>
    </row>
    <row r="360" spans="1:8" ht="15" hidden="1" customHeight="1" x14ac:dyDescent="0.4">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4">
      <c r="A361" s="6">
        <v>2026</v>
      </c>
      <c r="B361" s="6">
        <f t="shared" si="27"/>
        <v>4</v>
      </c>
      <c r="C361" s="13" t="s">
        <v>26</v>
      </c>
      <c r="D361" s="2" t="s">
        <v>12</v>
      </c>
      <c r="E361" s="14" t="str">
        <f t="shared" si="34"/>
        <v>WT GT</v>
      </c>
      <c r="F361" s="22">
        <v>15</v>
      </c>
      <c r="H361" s="5" t="e">
        <f ca="1">_xlfn.FORMULATEXT(표1[[#This Row],[Q''ty]])</f>
        <v>#N/A</v>
      </c>
    </row>
    <row r="362" spans="1:8" ht="15" hidden="1" customHeight="1" x14ac:dyDescent="0.4">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4">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4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4">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4">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4">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4">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4">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4">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4">
      <c r="A371" s="6">
        <v>2026</v>
      </c>
      <c r="B371" s="6">
        <f t="shared" si="35"/>
        <v>4</v>
      </c>
      <c r="C371" s="13" t="s">
        <v>20</v>
      </c>
      <c r="D371" s="2" t="s">
        <v>12</v>
      </c>
      <c r="E371" s="14" t="str">
        <f t="shared" si="34"/>
        <v>BT GT</v>
      </c>
      <c r="F371" s="22">
        <v>68</v>
      </c>
      <c r="H371" s="5" t="e">
        <f ca="1">_xlfn.FORMULATEXT(표1[[#This Row],[Q''ty]])</f>
        <v>#N/A</v>
      </c>
    </row>
    <row r="372" spans="1:8" ht="15" hidden="1" customHeight="1" x14ac:dyDescent="0.4">
      <c r="A372" s="6">
        <v>2026</v>
      </c>
      <c r="B372" s="6">
        <f t="shared" si="35"/>
        <v>4</v>
      </c>
      <c r="C372" s="13" t="s">
        <v>20</v>
      </c>
      <c r="D372" s="2" t="s">
        <v>12</v>
      </c>
      <c r="E372" s="14" t="str">
        <f t="shared" si="34"/>
        <v>WT GT</v>
      </c>
      <c r="F372" s="22">
        <v>66</v>
      </c>
      <c r="H372" s="5" t="e">
        <f ca="1">_xlfn.FORMULATEXT(표1[[#This Row],[Q''ty]])</f>
        <v>#N/A</v>
      </c>
    </row>
    <row r="373" spans="1:8" ht="15" hidden="1" customHeight="1" x14ac:dyDescent="0.4">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4">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4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4">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4">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4">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4">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4">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4">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4">
      <c r="A382" s="6">
        <v>2026</v>
      </c>
      <c r="B382" s="6">
        <f t="shared" si="35"/>
        <v>4</v>
      </c>
      <c r="C382" s="13" t="s">
        <v>21</v>
      </c>
      <c r="D382" s="2" t="s">
        <v>12</v>
      </c>
      <c r="E382" s="14" t="str">
        <f t="shared" si="34"/>
        <v>BT GT</v>
      </c>
      <c r="F382" s="22">
        <v>15</v>
      </c>
      <c r="H382" s="5" t="e">
        <f ca="1">_xlfn.FORMULATEXT(표1[[#This Row],[Q''ty]])</f>
        <v>#N/A</v>
      </c>
    </row>
    <row r="383" spans="1:8" ht="15" hidden="1" customHeight="1" x14ac:dyDescent="0.4">
      <c r="A383" s="6">
        <v>2026</v>
      </c>
      <c r="B383" s="6">
        <f t="shared" si="35"/>
        <v>4</v>
      </c>
      <c r="C383" s="13" t="s">
        <v>21</v>
      </c>
      <c r="D383" s="2" t="s">
        <v>12</v>
      </c>
      <c r="E383" s="14" t="str">
        <f t="shared" si="34"/>
        <v>WT GT</v>
      </c>
      <c r="F383" s="22">
        <v>15</v>
      </c>
      <c r="H383" s="5" t="e">
        <f ca="1">_xlfn.FORMULATEXT(표1[[#This Row],[Q''ty]])</f>
        <v>#N/A</v>
      </c>
    </row>
    <row r="384" spans="1:8" ht="15" hidden="1" customHeight="1" x14ac:dyDescent="0.4">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4">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4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4">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4">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4">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4">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4">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4">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4">
      <c r="A393" s="6">
        <v>2026</v>
      </c>
      <c r="B393" s="6">
        <f t="shared" si="35"/>
        <v>4</v>
      </c>
      <c r="C393" s="13" t="s">
        <v>22</v>
      </c>
      <c r="D393" s="2" t="s">
        <v>12</v>
      </c>
      <c r="E393" s="14" t="str">
        <f t="shared" si="34"/>
        <v>BT GT</v>
      </c>
      <c r="F393" s="22">
        <v>7</v>
      </c>
      <c r="H393" s="5" t="e">
        <f ca="1">_xlfn.FORMULATEXT(표1[[#This Row],[Q''ty]])</f>
        <v>#N/A</v>
      </c>
    </row>
    <row r="394" spans="1:10" ht="15" hidden="1" customHeight="1" x14ac:dyDescent="0.4">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4">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4">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4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4">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4">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4">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4">
      <c r="A401" s="6">
        <v>2026</v>
      </c>
      <c r="B401" s="6">
        <f t="shared" si="40"/>
        <v>5</v>
      </c>
      <c r="C401" s="13" t="s">
        <v>23</v>
      </c>
      <c r="D401" s="2" t="s">
        <v>6</v>
      </c>
      <c r="E401" s="14" t="s">
        <v>27</v>
      </c>
      <c r="F401" s="22">
        <f t="shared" si="39"/>
        <v>6</v>
      </c>
      <c r="H401" s="5" t="str">
        <f ca="1">_xlfn.FORMULATEXT(표1[[#This Row],[Q''ty]])</f>
        <v>=F302</v>
      </c>
    </row>
    <row r="402" spans="1:10" ht="15" hidden="1" customHeight="1" x14ac:dyDescent="0.4">
      <c r="A402" s="6">
        <v>2026</v>
      </c>
      <c r="B402" s="6">
        <f t="shared" si="40"/>
        <v>5</v>
      </c>
      <c r="C402" s="13" t="s">
        <v>23</v>
      </c>
      <c r="D402" s="2" t="s">
        <v>6</v>
      </c>
      <c r="E402" s="14" t="s">
        <v>10</v>
      </c>
      <c r="F402" s="22">
        <f t="shared" si="39"/>
        <v>10</v>
      </c>
      <c r="H402" s="5" t="str">
        <f ca="1">_xlfn.FORMULATEXT(표1[[#This Row],[Q''ty]])</f>
        <v>=F303</v>
      </c>
    </row>
    <row r="403" spans="1:10" ht="15" hidden="1" customHeight="1" x14ac:dyDescent="0.4">
      <c r="A403" s="6">
        <v>2026</v>
      </c>
      <c r="B403" s="6">
        <f t="shared" si="40"/>
        <v>5</v>
      </c>
      <c r="C403" s="13" t="s">
        <v>23</v>
      </c>
      <c r="D403" s="2" t="s">
        <v>6</v>
      </c>
      <c r="E403" s="14" t="s">
        <v>11</v>
      </c>
      <c r="F403" s="22">
        <f t="shared" si="39"/>
        <v>10</v>
      </c>
      <c r="H403" s="5" t="str">
        <f ca="1">_xlfn.FORMULATEXT(표1[[#This Row],[Q''ty]])</f>
        <v>=F304</v>
      </c>
    </row>
    <row r="404" spans="1:10" ht="15" hidden="1" customHeight="1" x14ac:dyDescent="0.4">
      <c r="A404" s="6">
        <v>2026</v>
      </c>
      <c r="B404" s="6">
        <f t="shared" si="40"/>
        <v>5</v>
      </c>
      <c r="C404" s="13" t="s">
        <v>23</v>
      </c>
      <c r="D404" s="2" t="s">
        <v>12</v>
      </c>
      <c r="E404" s="14" t="s">
        <v>13</v>
      </c>
      <c r="F404" s="22">
        <v>20</v>
      </c>
      <c r="H404" s="5" t="e">
        <f ca="1">_xlfn.FORMULATEXT(표1[[#This Row],[Q''ty]])</f>
        <v>#N/A</v>
      </c>
    </row>
    <row r="405" spans="1:10" s="2" customFormat="1" ht="15" hidden="1" customHeight="1" x14ac:dyDescent="0.4">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4">
      <c r="A406" s="6">
        <v>2026</v>
      </c>
      <c r="B406" s="6">
        <f t="shared" si="40"/>
        <v>5</v>
      </c>
      <c r="C406" s="13" t="s">
        <v>23</v>
      </c>
      <c r="D406" s="2" t="s">
        <v>12</v>
      </c>
      <c r="E406" s="14" t="s">
        <v>15</v>
      </c>
      <c r="F406" s="22">
        <v>142</v>
      </c>
      <c r="H406" s="5" t="e">
        <f ca="1">_xlfn.FORMULATEXT(표1[[#This Row],[Q''ty]])</f>
        <v>#N/A</v>
      </c>
    </row>
    <row r="407" spans="1:10" ht="15" hidden="1" customHeight="1" x14ac:dyDescent="0.4">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45">
      <c r="A408" s="15">
        <v>2026</v>
      </c>
      <c r="B408" s="15">
        <f t="shared" si="40"/>
        <v>5</v>
      </c>
      <c r="C408" s="16" t="s">
        <v>23</v>
      </c>
      <c r="D408" s="17" t="s">
        <v>12</v>
      </c>
      <c r="E408" s="18" t="s">
        <v>17</v>
      </c>
      <c r="F408" s="23">
        <v>207</v>
      </c>
      <c r="H408" s="5" t="e">
        <f ca="1">_xlfn.FORMULATEXT(표1[[#This Row],[Q''ty]])</f>
        <v>#N/A</v>
      </c>
    </row>
    <row r="409" spans="1:10" ht="15" hidden="1" customHeight="1" thickTop="1" x14ac:dyDescent="0.4">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4">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4">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4">
      <c r="A412" s="6">
        <v>2026</v>
      </c>
      <c r="B412" s="6">
        <f t="shared" si="40"/>
        <v>5</v>
      </c>
      <c r="C412" s="13" t="s">
        <v>24</v>
      </c>
      <c r="D412" s="2" t="s">
        <v>6</v>
      </c>
      <c r="E412" s="14" t="s">
        <v>27</v>
      </c>
      <c r="F412" s="22">
        <f t="shared" si="41"/>
        <v>3</v>
      </c>
      <c r="H412" s="5" t="str">
        <f ca="1">_xlfn.FORMULATEXT(표1[[#This Row],[Q''ty]])</f>
        <v>=F313</v>
      </c>
    </row>
    <row r="413" spans="1:10" ht="15" hidden="1" customHeight="1" x14ac:dyDescent="0.4">
      <c r="A413" s="6">
        <v>2026</v>
      </c>
      <c r="B413" s="6">
        <f t="shared" si="40"/>
        <v>5</v>
      </c>
      <c r="C413" s="13" t="s">
        <v>24</v>
      </c>
      <c r="D413" s="2" t="s">
        <v>6</v>
      </c>
      <c r="E413" s="14" t="s">
        <v>10</v>
      </c>
      <c r="F413" s="22">
        <f t="shared" si="41"/>
        <v>6</v>
      </c>
      <c r="H413" s="5" t="str">
        <f ca="1">_xlfn.FORMULATEXT(표1[[#This Row],[Q''ty]])</f>
        <v>=F314</v>
      </c>
    </row>
    <row r="414" spans="1:10" ht="15" hidden="1" customHeight="1" x14ac:dyDescent="0.4">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4">
      <c r="A415" s="6">
        <v>2026</v>
      </c>
      <c r="B415" s="6">
        <f t="shared" si="40"/>
        <v>5</v>
      </c>
      <c r="C415" s="13" t="s">
        <v>24</v>
      </c>
      <c r="D415" s="2" t="s">
        <v>12</v>
      </c>
      <c r="E415" s="14" t="s">
        <v>13</v>
      </c>
      <c r="F415" s="22">
        <v>21</v>
      </c>
      <c r="H415" s="5" t="e">
        <f ca="1">_xlfn.FORMULATEXT(표1[[#This Row],[Q''ty]])</f>
        <v>#N/A</v>
      </c>
    </row>
    <row r="416" spans="1:10" s="2" customFormat="1" ht="15" hidden="1" customHeight="1" x14ac:dyDescent="0.4">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4">
      <c r="A417" s="6">
        <v>2026</v>
      </c>
      <c r="B417" s="6">
        <f t="shared" si="40"/>
        <v>5</v>
      </c>
      <c r="C417" s="13" t="s">
        <v>24</v>
      </c>
      <c r="D417" s="2" t="s">
        <v>12</v>
      </c>
      <c r="E417" s="14" t="s">
        <v>15</v>
      </c>
      <c r="F417" s="22">
        <v>111</v>
      </c>
      <c r="H417" s="5" t="e">
        <f ca="1">_xlfn.FORMULATEXT(표1[[#This Row],[Q''ty]])</f>
        <v>#N/A</v>
      </c>
    </row>
    <row r="418" spans="1:8" ht="15" hidden="1" customHeight="1" x14ac:dyDescent="0.4">
      <c r="A418" s="6">
        <v>2026</v>
      </c>
      <c r="B418" s="6">
        <f t="shared" si="40"/>
        <v>5</v>
      </c>
      <c r="C418" s="13" t="s">
        <v>24</v>
      </c>
      <c r="D418" s="2" t="s">
        <v>12</v>
      </c>
      <c r="E418" s="14" t="s">
        <v>16</v>
      </c>
      <c r="F418" s="22">
        <v>125</v>
      </c>
      <c r="H418" s="5" t="e">
        <f ca="1">_xlfn.FORMULATEXT(표1[[#This Row],[Q''ty]])</f>
        <v>#N/A</v>
      </c>
    </row>
    <row r="419" spans="1:8" ht="15" hidden="1" customHeight="1" thickBot="1" x14ac:dyDescent="0.45">
      <c r="A419" s="15">
        <v>2026</v>
      </c>
      <c r="B419" s="15">
        <f t="shared" si="40"/>
        <v>5</v>
      </c>
      <c r="C419" s="16" t="s">
        <v>24</v>
      </c>
      <c r="D419" s="17" t="s">
        <v>12</v>
      </c>
      <c r="E419" s="18" t="s">
        <v>17</v>
      </c>
      <c r="F419" s="23">
        <v>153.5</v>
      </c>
      <c r="H419" s="5" t="e">
        <f ca="1">_xlfn.FORMULATEXT(표1[[#This Row],[Q''ty]])</f>
        <v>#N/A</v>
      </c>
    </row>
    <row r="420" spans="1:8" ht="15" hidden="1" customHeight="1" thickTop="1" x14ac:dyDescent="0.4">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4">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4">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4">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4">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4">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4">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4">
      <c r="A427" s="6">
        <v>2026</v>
      </c>
      <c r="B427" s="6">
        <f t="shared" si="40"/>
        <v>5</v>
      </c>
      <c r="C427" s="13" t="s">
        <v>18</v>
      </c>
      <c r="D427" s="2" t="s">
        <v>12</v>
      </c>
      <c r="E427" s="14" t="str">
        <f t="shared" si="43"/>
        <v>WT GT</v>
      </c>
      <c r="F427" s="22">
        <v>0</v>
      </c>
      <c r="H427" s="5" t="e">
        <f ca="1">_xlfn.FORMULATEXT(표1[[#This Row],[Q''ty]])</f>
        <v>#N/A</v>
      </c>
    </row>
    <row r="428" spans="1:8" ht="15" hidden="1" customHeight="1" x14ac:dyDescent="0.4">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4">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4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4">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4">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4">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4">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4">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4">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4">
      <c r="A437" s="6">
        <v>2026</v>
      </c>
      <c r="B437" s="6">
        <f t="shared" si="40"/>
        <v>5</v>
      </c>
      <c r="C437" s="13" t="s">
        <v>19</v>
      </c>
      <c r="D437" s="2" t="s">
        <v>12</v>
      </c>
      <c r="E437" s="14" t="str">
        <f t="shared" si="43"/>
        <v>BT GT</v>
      </c>
      <c r="F437" s="22">
        <v>32</v>
      </c>
      <c r="H437" s="5" t="e">
        <f ca="1">_xlfn.FORMULATEXT(표1[[#This Row],[Q''ty]])</f>
        <v>#N/A</v>
      </c>
    </row>
    <row r="438" spans="1:8" ht="15" hidden="1" customHeight="1" x14ac:dyDescent="0.4">
      <c r="A438" s="6">
        <v>2026</v>
      </c>
      <c r="B438" s="6">
        <f t="shared" si="40"/>
        <v>5</v>
      </c>
      <c r="C438" s="13" t="s">
        <v>19</v>
      </c>
      <c r="D438" s="2" t="s">
        <v>12</v>
      </c>
      <c r="E438" s="14" t="str">
        <f t="shared" si="43"/>
        <v>WT GT</v>
      </c>
      <c r="F438" s="22">
        <v>30</v>
      </c>
      <c r="H438" s="5" t="e">
        <f ca="1">_xlfn.FORMULATEXT(표1[[#This Row],[Q''ty]])</f>
        <v>#N/A</v>
      </c>
    </row>
    <row r="439" spans="1:8" ht="15" hidden="1" customHeight="1" x14ac:dyDescent="0.4">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4">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4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4">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4">
      <c r="A443" s="6">
        <v>2026</v>
      </c>
      <c r="B443" s="6">
        <f t="shared" si="40"/>
        <v>5</v>
      </c>
      <c r="C443" s="13" t="s">
        <v>25</v>
      </c>
      <c r="D443" s="2" t="s">
        <v>6</v>
      </c>
      <c r="E443" s="14" t="s">
        <v>8</v>
      </c>
      <c r="F443" s="22">
        <f t="shared" si="45"/>
        <v>3</v>
      </c>
      <c r="H443" s="5" t="str">
        <f ca="1">_xlfn.FORMULATEXT(표1[[#This Row],[Q''ty]])</f>
        <v>=F344</v>
      </c>
    </row>
    <row r="444" spans="1:8" ht="15" hidden="1" customHeight="1" x14ac:dyDescent="0.4">
      <c r="A444" s="6">
        <v>2026</v>
      </c>
      <c r="B444" s="6">
        <f t="shared" si="40"/>
        <v>5</v>
      </c>
      <c r="C444" s="13" t="s">
        <v>25</v>
      </c>
      <c r="D444" s="2" t="s">
        <v>6</v>
      </c>
      <c r="E444" s="14" t="s">
        <v>9</v>
      </c>
      <c r="F444" s="22">
        <f t="shared" si="45"/>
        <v>2</v>
      </c>
      <c r="H444" s="5" t="str">
        <f ca="1">_xlfn.FORMULATEXT(표1[[#This Row],[Q''ty]])</f>
        <v>=F345</v>
      </c>
    </row>
    <row r="445" spans="1:8" ht="15" hidden="1" customHeight="1" x14ac:dyDescent="0.4">
      <c r="A445" s="6">
        <v>2026</v>
      </c>
      <c r="B445" s="6">
        <f t="shared" si="40"/>
        <v>5</v>
      </c>
      <c r="C445" s="13" t="s">
        <v>25</v>
      </c>
      <c r="D445" s="2" t="s">
        <v>6</v>
      </c>
      <c r="E445" s="14" t="s">
        <v>27</v>
      </c>
      <c r="F445" s="22">
        <f t="shared" si="45"/>
        <v>2</v>
      </c>
      <c r="H445" s="5" t="str">
        <f ca="1">_xlfn.FORMULATEXT(표1[[#This Row],[Q''ty]])</f>
        <v>=F346</v>
      </c>
    </row>
    <row r="446" spans="1:8" ht="15" hidden="1" customHeight="1" x14ac:dyDescent="0.4">
      <c r="A446" s="6">
        <v>2026</v>
      </c>
      <c r="B446" s="6">
        <f t="shared" si="40"/>
        <v>5</v>
      </c>
      <c r="C446" s="13" t="s">
        <v>25</v>
      </c>
      <c r="D446" s="2" t="s">
        <v>6</v>
      </c>
      <c r="E446" s="14" t="s">
        <v>10</v>
      </c>
      <c r="F446" s="22">
        <f t="shared" si="45"/>
        <v>3</v>
      </c>
      <c r="H446" s="5" t="str">
        <f ca="1">_xlfn.FORMULATEXT(표1[[#This Row],[Q''ty]])</f>
        <v>=F347</v>
      </c>
    </row>
    <row r="447" spans="1:8" ht="15" hidden="1" customHeight="1" x14ac:dyDescent="0.4">
      <c r="A447" s="6">
        <v>2026</v>
      </c>
      <c r="B447" s="6">
        <f t="shared" si="40"/>
        <v>5</v>
      </c>
      <c r="C447" s="13" t="s">
        <v>25</v>
      </c>
      <c r="D447" s="2" t="s">
        <v>6</v>
      </c>
      <c r="E447" s="14" t="s">
        <v>11</v>
      </c>
      <c r="F447" s="22">
        <f t="shared" si="45"/>
        <v>4</v>
      </c>
      <c r="H447" s="5" t="str">
        <f ca="1">_xlfn.FORMULATEXT(표1[[#This Row],[Q''ty]])</f>
        <v>=F348</v>
      </c>
    </row>
    <row r="448" spans="1:8" ht="15" hidden="1" customHeight="1" x14ac:dyDescent="0.4">
      <c r="A448" s="6">
        <v>2026</v>
      </c>
      <c r="B448" s="6">
        <f t="shared" si="40"/>
        <v>5</v>
      </c>
      <c r="C448" s="13" t="s">
        <v>25</v>
      </c>
      <c r="D448" s="2" t="s">
        <v>12</v>
      </c>
      <c r="E448" s="14" t="s">
        <v>13</v>
      </c>
      <c r="F448" s="22">
        <v>0</v>
      </c>
      <c r="H448" s="5" t="e">
        <f ca="1">_xlfn.FORMULATEXT(표1[[#This Row],[Q''ty]])</f>
        <v>#N/A</v>
      </c>
    </row>
    <row r="449" spans="1:8" ht="15" hidden="1" customHeight="1" x14ac:dyDescent="0.4">
      <c r="A449" s="6">
        <v>2026</v>
      </c>
      <c r="B449" s="6">
        <f t="shared" si="40"/>
        <v>5</v>
      </c>
      <c r="C449" s="13" t="s">
        <v>25</v>
      </c>
      <c r="D449" s="2" t="s">
        <v>12</v>
      </c>
      <c r="E449" s="14" t="s">
        <v>14</v>
      </c>
      <c r="F449" s="22">
        <v>0</v>
      </c>
      <c r="H449" s="5" t="e">
        <f ca="1">_xlfn.FORMULATEXT(표1[[#This Row],[Q''ty]])</f>
        <v>#N/A</v>
      </c>
    </row>
    <row r="450" spans="1:8" ht="15" hidden="1" customHeight="1" x14ac:dyDescent="0.4">
      <c r="A450" s="6">
        <v>2026</v>
      </c>
      <c r="B450" s="6">
        <f t="shared" si="40"/>
        <v>5</v>
      </c>
      <c r="C450" s="13" t="s">
        <v>25</v>
      </c>
      <c r="D450" s="2" t="s">
        <v>12</v>
      </c>
      <c r="E450" s="14" t="s">
        <v>15</v>
      </c>
      <c r="F450" s="22">
        <v>0</v>
      </c>
      <c r="H450" s="5" t="e">
        <f ca="1">_xlfn.FORMULATEXT(표1[[#This Row],[Q''ty]])</f>
        <v>#N/A</v>
      </c>
    </row>
    <row r="451" spans="1:8" ht="15" hidden="1" customHeight="1" x14ac:dyDescent="0.4">
      <c r="A451" s="6">
        <v>2026</v>
      </c>
      <c r="B451" s="6">
        <f t="shared" si="40"/>
        <v>5</v>
      </c>
      <c r="C451" s="13" t="s">
        <v>25</v>
      </c>
      <c r="D451" s="2" t="s">
        <v>12</v>
      </c>
      <c r="E451" s="14" t="s">
        <v>16</v>
      </c>
      <c r="F451" s="22">
        <v>0</v>
      </c>
      <c r="H451" s="5" t="e">
        <f ca="1">_xlfn.FORMULATEXT(표1[[#This Row],[Q''ty]])</f>
        <v>#N/A</v>
      </c>
    </row>
    <row r="452" spans="1:8" ht="15" hidden="1" customHeight="1" thickBot="1" x14ac:dyDescent="0.45">
      <c r="A452" s="15">
        <v>2026</v>
      </c>
      <c r="B452" s="15">
        <f t="shared" si="40"/>
        <v>5</v>
      </c>
      <c r="C452" s="16" t="s">
        <v>25</v>
      </c>
      <c r="D452" s="17" t="s">
        <v>12</v>
      </c>
      <c r="E452" s="18" t="s">
        <v>17</v>
      </c>
      <c r="F452" s="23">
        <v>0</v>
      </c>
      <c r="H452" s="5" t="e">
        <f ca="1">_xlfn.FORMULATEXT(표1[[#This Row],[Q''ty]])</f>
        <v>#N/A</v>
      </c>
    </row>
    <row r="453" spans="1:8" ht="15" hidden="1" customHeight="1" thickTop="1" x14ac:dyDescent="0.4">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4">
      <c r="A454" s="6">
        <v>2026</v>
      </c>
      <c r="B454" s="6">
        <f t="shared" si="40"/>
        <v>5</v>
      </c>
      <c r="C454" s="13" t="s">
        <v>26</v>
      </c>
      <c r="D454" s="2" t="s">
        <v>6</v>
      </c>
      <c r="E454" s="14" t="s">
        <v>8</v>
      </c>
      <c r="F454" s="22">
        <f t="shared" si="46"/>
        <v>4</v>
      </c>
      <c r="H454" s="5" t="str">
        <f ca="1">_xlfn.FORMULATEXT(표1[[#This Row],[Q''ty]])</f>
        <v>=F355</v>
      </c>
    </row>
    <row r="455" spans="1:8" ht="15" hidden="1" customHeight="1" x14ac:dyDescent="0.4">
      <c r="A455" s="6">
        <v>2026</v>
      </c>
      <c r="B455" s="6">
        <f t="shared" si="40"/>
        <v>5</v>
      </c>
      <c r="C455" s="13" t="s">
        <v>26</v>
      </c>
      <c r="D455" s="2" t="s">
        <v>6</v>
      </c>
      <c r="E455" s="14" t="s">
        <v>9</v>
      </c>
      <c r="F455" s="22">
        <f t="shared" si="46"/>
        <v>2</v>
      </c>
      <c r="H455" s="5" t="str">
        <f ca="1">_xlfn.FORMULATEXT(표1[[#This Row],[Q''ty]])</f>
        <v>=F356</v>
      </c>
    </row>
    <row r="456" spans="1:8" ht="15" hidden="1" customHeight="1" x14ac:dyDescent="0.4">
      <c r="A456" s="6">
        <v>2026</v>
      </c>
      <c r="B456" s="6">
        <f t="shared" si="40"/>
        <v>5</v>
      </c>
      <c r="C456" s="13" t="s">
        <v>26</v>
      </c>
      <c r="D456" s="2" t="s">
        <v>6</v>
      </c>
      <c r="E456" s="14" t="s">
        <v>27</v>
      </c>
      <c r="F456" s="22">
        <f t="shared" si="46"/>
        <v>3</v>
      </c>
      <c r="H456" s="5" t="str">
        <f ca="1">_xlfn.FORMULATEXT(표1[[#This Row],[Q''ty]])</f>
        <v>=F357</v>
      </c>
    </row>
    <row r="457" spans="1:8" ht="15" hidden="1" customHeight="1" x14ac:dyDescent="0.4">
      <c r="A457" s="6">
        <v>2026</v>
      </c>
      <c r="B457" s="6">
        <f t="shared" si="40"/>
        <v>5</v>
      </c>
      <c r="C457" s="13" t="s">
        <v>26</v>
      </c>
      <c r="D457" s="2" t="s">
        <v>6</v>
      </c>
      <c r="E457" s="14" t="s">
        <v>10</v>
      </c>
      <c r="F457" s="22">
        <f t="shared" si="46"/>
        <v>4</v>
      </c>
      <c r="H457" s="5" t="str">
        <f ca="1">_xlfn.FORMULATEXT(표1[[#This Row],[Q''ty]])</f>
        <v>=F358</v>
      </c>
    </row>
    <row r="458" spans="1:8" ht="15" hidden="1" customHeight="1" x14ac:dyDescent="0.4">
      <c r="A458" s="6">
        <v>2026</v>
      </c>
      <c r="B458" s="6">
        <f t="shared" si="40"/>
        <v>5</v>
      </c>
      <c r="C458" s="13" t="s">
        <v>26</v>
      </c>
      <c r="D458" s="2" t="s">
        <v>6</v>
      </c>
      <c r="E458" s="14" t="s">
        <v>11</v>
      </c>
      <c r="F458" s="22">
        <f t="shared" si="46"/>
        <v>6</v>
      </c>
      <c r="H458" s="5" t="str">
        <f ca="1">_xlfn.FORMULATEXT(표1[[#This Row],[Q''ty]])</f>
        <v>=F359</v>
      </c>
    </row>
    <row r="459" spans="1:8" ht="15" hidden="1" customHeight="1" x14ac:dyDescent="0.4">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4">
      <c r="A460" s="6">
        <v>2026</v>
      </c>
      <c r="B460" s="6">
        <f t="shared" si="40"/>
        <v>5</v>
      </c>
      <c r="C460" s="13" t="s">
        <v>26</v>
      </c>
      <c r="D460" s="2" t="s">
        <v>12</v>
      </c>
      <c r="E460" s="14" t="str">
        <f t="shared" si="47"/>
        <v>WT GT</v>
      </c>
      <c r="F460" s="22">
        <v>18</v>
      </c>
      <c r="H460" s="5" t="e">
        <f ca="1">_xlfn.FORMULATEXT(표1[[#This Row],[Q''ty]])</f>
        <v>#N/A</v>
      </c>
    </row>
    <row r="461" spans="1:8" ht="15" hidden="1" customHeight="1" x14ac:dyDescent="0.4">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4">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4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4">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4">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4">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4">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4">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4">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4">
      <c r="A470" s="6">
        <v>2026</v>
      </c>
      <c r="B470" s="6">
        <f t="shared" si="48"/>
        <v>5</v>
      </c>
      <c r="C470" s="13" t="s">
        <v>20</v>
      </c>
      <c r="D470" s="2" t="s">
        <v>12</v>
      </c>
      <c r="E470" s="14" t="str">
        <f t="shared" si="47"/>
        <v>BT GT</v>
      </c>
      <c r="F470" s="22">
        <v>68</v>
      </c>
      <c r="H470" s="5" t="e">
        <f ca="1">_xlfn.FORMULATEXT(표1[[#This Row],[Q''ty]])</f>
        <v>#N/A</v>
      </c>
    </row>
    <row r="471" spans="1:8" ht="15" hidden="1" customHeight="1" x14ac:dyDescent="0.4">
      <c r="A471" s="6">
        <v>2026</v>
      </c>
      <c r="B471" s="6">
        <f t="shared" si="48"/>
        <v>5</v>
      </c>
      <c r="C471" s="13" t="s">
        <v>20</v>
      </c>
      <c r="D471" s="2" t="s">
        <v>12</v>
      </c>
      <c r="E471" s="14" t="str">
        <f t="shared" si="47"/>
        <v>WT GT</v>
      </c>
      <c r="F471" s="22">
        <v>66</v>
      </c>
      <c r="H471" s="5" t="e">
        <f ca="1">_xlfn.FORMULATEXT(표1[[#This Row],[Q''ty]])</f>
        <v>#N/A</v>
      </c>
    </row>
    <row r="472" spans="1:8" ht="15" hidden="1" customHeight="1" x14ac:dyDescent="0.4">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4">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4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4">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4">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4">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4">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4">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4">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4">
      <c r="A481" s="6">
        <v>2026</v>
      </c>
      <c r="B481" s="6">
        <f t="shared" si="48"/>
        <v>5</v>
      </c>
      <c r="C481" s="13" t="s">
        <v>21</v>
      </c>
      <c r="D481" s="2" t="s">
        <v>12</v>
      </c>
      <c r="E481" s="14" t="str">
        <f t="shared" si="47"/>
        <v>BT GT</v>
      </c>
      <c r="F481" s="22">
        <v>15</v>
      </c>
      <c r="H481" s="5" t="e">
        <f ca="1">_xlfn.FORMULATEXT(표1[[#This Row],[Q''ty]])</f>
        <v>#N/A</v>
      </c>
    </row>
    <row r="482" spans="1:8" ht="15" hidden="1" customHeight="1" x14ac:dyDescent="0.4">
      <c r="A482" s="6">
        <v>2026</v>
      </c>
      <c r="B482" s="6">
        <f t="shared" si="48"/>
        <v>5</v>
      </c>
      <c r="C482" s="13" t="s">
        <v>21</v>
      </c>
      <c r="D482" s="2" t="s">
        <v>12</v>
      </c>
      <c r="E482" s="14" t="str">
        <f t="shared" si="47"/>
        <v>WT GT</v>
      </c>
      <c r="F482" s="22">
        <v>13</v>
      </c>
      <c r="H482" s="5" t="e">
        <f ca="1">_xlfn.FORMULATEXT(표1[[#This Row],[Q''ty]])</f>
        <v>#N/A</v>
      </c>
    </row>
    <row r="483" spans="1:8" ht="15" hidden="1" customHeight="1" x14ac:dyDescent="0.4">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4">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4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4">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4">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4">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4">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4">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4">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4">
      <c r="A492" s="6">
        <v>2026</v>
      </c>
      <c r="B492" s="6">
        <f t="shared" si="48"/>
        <v>5</v>
      </c>
      <c r="C492" s="13" t="s">
        <v>22</v>
      </c>
      <c r="D492" s="2" t="s">
        <v>12</v>
      </c>
      <c r="E492" s="14" t="str">
        <f t="shared" si="47"/>
        <v>BT GT</v>
      </c>
      <c r="F492" s="22">
        <v>12</v>
      </c>
      <c r="H492" s="5" t="e">
        <f ca="1">_xlfn.FORMULATEXT(표1[[#This Row],[Q''ty]])</f>
        <v>#N/A</v>
      </c>
    </row>
    <row r="493" spans="1:8" ht="15" hidden="1" customHeight="1" x14ac:dyDescent="0.4">
      <c r="A493" s="6">
        <v>2026</v>
      </c>
      <c r="B493" s="6">
        <f t="shared" si="48"/>
        <v>5</v>
      </c>
      <c r="C493" s="13" t="s">
        <v>22</v>
      </c>
      <c r="D493" s="2" t="s">
        <v>12</v>
      </c>
      <c r="E493" s="14" t="str">
        <f t="shared" si="47"/>
        <v>WT GT</v>
      </c>
      <c r="F493" s="22">
        <v>10</v>
      </c>
      <c r="H493" s="5" t="e">
        <f ca="1">_xlfn.FORMULATEXT(표1[[#This Row],[Q''ty]])</f>
        <v>#N/A</v>
      </c>
    </row>
    <row r="494" spans="1:8" ht="15" hidden="1" customHeight="1" x14ac:dyDescent="0.4">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4">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45">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4">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4">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4">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4">
      <c r="A500" s="6">
        <v>2026</v>
      </c>
      <c r="B500" s="6">
        <f t="shared" si="52"/>
        <v>6</v>
      </c>
      <c r="C500" s="13" t="s">
        <v>23</v>
      </c>
      <c r="D500" s="2" t="s">
        <v>6</v>
      </c>
      <c r="E500" s="14" t="s">
        <v>27</v>
      </c>
      <c r="F500" s="22">
        <f t="shared" si="53"/>
        <v>6</v>
      </c>
      <c r="H500" s="5" t="str">
        <f ca="1">_xlfn.FORMULATEXT(표1[[#This Row],[Q''ty]])</f>
        <v>=F401</v>
      </c>
    </row>
    <row r="501" spans="1:10" ht="15" hidden="1" customHeight="1" x14ac:dyDescent="0.4">
      <c r="A501" s="6">
        <v>2026</v>
      </c>
      <c r="B501" s="6">
        <f t="shared" si="52"/>
        <v>6</v>
      </c>
      <c r="C501" s="13" t="s">
        <v>23</v>
      </c>
      <c r="D501" s="2" t="s">
        <v>6</v>
      </c>
      <c r="E501" s="14" t="s">
        <v>10</v>
      </c>
      <c r="F501" s="22">
        <f t="shared" si="53"/>
        <v>10</v>
      </c>
      <c r="H501" s="5" t="str">
        <f ca="1">_xlfn.FORMULATEXT(표1[[#This Row],[Q''ty]])</f>
        <v>=F402</v>
      </c>
    </row>
    <row r="502" spans="1:10" ht="15" hidden="1" customHeight="1" x14ac:dyDescent="0.4">
      <c r="A502" s="6">
        <v>2026</v>
      </c>
      <c r="B502" s="6">
        <f t="shared" si="52"/>
        <v>6</v>
      </c>
      <c r="C502" s="13" t="s">
        <v>23</v>
      </c>
      <c r="D502" s="2" t="s">
        <v>6</v>
      </c>
      <c r="E502" s="14" t="s">
        <v>11</v>
      </c>
      <c r="F502" s="22">
        <f t="shared" si="53"/>
        <v>10</v>
      </c>
      <c r="H502" s="5" t="str">
        <f ca="1">_xlfn.FORMULATEXT(표1[[#This Row],[Q''ty]])</f>
        <v>=F403</v>
      </c>
    </row>
    <row r="503" spans="1:10" ht="15" hidden="1" customHeight="1" x14ac:dyDescent="0.4">
      <c r="A503" s="6">
        <v>2026</v>
      </c>
      <c r="B503" s="6">
        <f t="shared" si="52"/>
        <v>6</v>
      </c>
      <c r="C503" s="13" t="s">
        <v>23</v>
      </c>
      <c r="D503" s="2" t="s">
        <v>12</v>
      </c>
      <c r="E503" s="14" t="s">
        <v>13</v>
      </c>
      <c r="F503" s="22">
        <v>12</v>
      </c>
      <c r="H503" s="5" t="e">
        <f ca="1">_xlfn.FORMULATEXT(표1[[#This Row],[Q''ty]])</f>
        <v>#N/A</v>
      </c>
    </row>
    <row r="504" spans="1:10" s="2" customFormat="1" ht="15" hidden="1" customHeight="1" x14ac:dyDescent="0.4">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4">
      <c r="A505" s="6">
        <v>2026</v>
      </c>
      <c r="B505" s="6">
        <f t="shared" si="52"/>
        <v>6</v>
      </c>
      <c r="C505" s="13" t="s">
        <v>23</v>
      </c>
      <c r="D505" s="2" t="s">
        <v>12</v>
      </c>
      <c r="E505" s="14" t="s">
        <v>15</v>
      </c>
      <c r="F505" s="22">
        <v>0</v>
      </c>
      <c r="H505" s="5" t="e">
        <f ca="1">_xlfn.FORMULATEXT(표1[[#This Row],[Q''ty]])</f>
        <v>#N/A</v>
      </c>
    </row>
    <row r="506" spans="1:10" ht="15" hidden="1" customHeight="1" x14ac:dyDescent="0.4">
      <c r="A506" s="6">
        <v>2026</v>
      </c>
      <c r="B506" s="6">
        <f t="shared" si="52"/>
        <v>6</v>
      </c>
      <c r="C506" s="13" t="s">
        <v>23</v>
      </c>
      <c r="D506" s="2" t="s">
        <v>12</v>
      </c>
      <c r="E506" s="14" t="s">
        <v>16</v>
      </c>
      <c r="F506" s="22">
        <v>0</v>
      </c>
      <c r="H506" s="5" t="e">
        <f ca="1">_xlfn.FORMULATEXT(표1[[#This Row],[Q''ty]])</f>
        <v>#N/A</v>
      </c>
    </row>
    <row r="507" spans="1:10" ht="15" hidden="1" customHeight="1" thickBot="1" x14ac:dyDescent="0.45">
      <c r="A507" s="15">
        <v>2026</v>
      </c>
      <c r="B507" s="15">
        <f t="shared" si="52"/>
        <v>6</v>
      </c>
      <c r="C507" s="16" t="s">
        <v>23</v>
      </c>
      <c r="D507" s="17" t="s">
        <v>12</v>
      </c>
      <c r="E507" s="18" t="s">
        <v>17</v>
      </c>
      <c r="F507" s="23">
        <v>22</v>
      </c>
      <c r="H507" s="5" t="e">
        <f ca="1">_xlfn.FORMULATEXT(표1[[#This Row],[Q''ty]])</f>
        <v>#N/A</v>
      </c>
    </row>
    <row r="508" spans="1:10" ht="15" hidden="1" customHeight="1" thickTop="1" x14ac:dyDescent="0.4">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4">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4">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4">
      <c r="A511" s="6">
        <v>2026</v>
      </c>
      <c r="B511" s="6">
        <f t="shared" si="52"/>
        <v>6</v>
      </c>
      <c r="C511" s="13" t="s">
        <v>24</v>
      </c>
      <c r="D511" s="2" t="s">
        <v>6</v>
      </c>
      <c r="E511" s="14" t="s">
        <v>27</v>
      </c>
      <c r="F511" s="22">
        <f t="shared" si="54"/>
        <v>3</v>
      </c>
      <c r="H511" s="5" t="str">
        <f ca="1">_xlfn.FORMULATEXT(표1[[#This Row],[Q''ty]])</f>
        <v>=F412</v>
      </c>
    </row>
    <row r="512" spans="1:10" ht="15" hidden="1" customHeight="1" x14ac:dyDescent="0.4">
      <c r="A512" s="6">
        <v>2026</v>
      </c>
      <c r="B512" s="6">
        <f t="shared" si="52"/>
        <v>6</v>
      </c>
      <c r="C512" s="13" t="s">
        <v>24</v>
      </c>
      <c r="D512" s="2" t="s">
        <v>6</v>
      </c>
      <c r="E512" s="14" t="s">
        <v>10</v>
      </c>
      <c r="F512" s="22">
        <f t="shared" si="54"/>
        <v>6</v>
      </c>
      <c r="H512" s="5" t="str">
        <f ca="1">_xlfn.FORMULATEXT(표1[[#This Row],[Q''ty]])</f>
        <v>=F413</v>
      </c>
    </row>
    <row r="513" spans="1:10" ht="15" hidden="1" customHeight="1" x14ac:dyDescent="0.4">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4">
      <c r="A514" s="6">
        <v>2026</v>
      </c>
      <c r="B514" s="6">
        <f t="shared" si="52"/>
        <v>6</v>
      </c>
      <c r="C514" s="13" t="s">
        <v>24</v>
      </c>
      <c r="D514" s="2" t="s">
        <v>12</v>
      </c>
      <c r="E514" s="14" t="s">
        <v>13</v>
      </c>
      <c r="F514" s="22">
        <v>12</v>
      </c>
      <c r="H514" s="5" t="e">
        <f ca="1">_xlfn.FORMULATEXT(표1[[#This Row],[Q''ty]])</f>
        <v>#N/A</v>
      </c>
    </row>
    <row r="515" spans="1:10" s="2" customFormat="1" ht="15" hidden="1" customHeight="1" x14ac:dyDescent="0.4">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4">
      <c r="A516" s="6">
        <v>2026</v>
      </c>
      <c r="B516" s="6">
        <f t="shared" si="52"/>
        <v>6</v>
      </c>
      <c r="C516" s="13" t="s">
        <v>24</v>
      </c>
      <c r="D516" s="2" t="s">
        <v>12</v>
      </c>
      <c r="E516" s="14" t="s">
        <v>15</v>
      </c>
      <c r="F516" s="22">
        <v>47</v>
      </c>
      <c r="H516" s="5" t="e">
        <f ca="1">_xlfn.FORMULATEXT(표1[[#This Row],[Q''ty]])</f>
        <v>#N/A</v>
      </c>
    </row>
    <row r="517" spans="1:10" ht="15" hidden="1" customHeight="1" x14ac:dyDescent="0.4">
      <c r="A517" s="6">
        <v>2026</v>
      </c>
      <c r="B517" s="6">
        <f t="shared" si="52"/>
        <v>6</v>
      </c>
      <c r="C517" s="13" t="s">
        <v>24</v>
      </c>
      <c r="D517" s="2" t="s">
        <v>12</v>
      </c>
      <c r="E517" s="14" t="s">
        <v>16</v>
      </c>
      <c r="F517" s="22">
        <v>50</v>
      </c>
      <c r="H517" s="5" t="e">
        <f ca="1">_xlfn.FORMULATEXT(표1[[#This Row],[Q''ty]])</f>
        <v>#N/A</v>
      </c>
    </row>
    <row r="518" spans="1:10" ht="15" hidden="1" customHeight="1" thickBot="1" x14ac:dyDescent="0.45">
      <c r="A518" s="15">
        <v>2026</v>
      </c>
      <c r="B518" s="15">
        <f t="shared" si="52"/>
        <v>6</v>
      </c>
      <c r="C518" s="16" t="s">
        <v>24</v>
      </c>
      <c r="D518" s="17" t="s">
        <v>12</v>
      </c>
      <c r="E518" s="18" t="s">
        <v>17</v>
      </c>
      <c r="F518" s="23">
        <v>65</v>
      </c>
      <c r="H518" s="5" t="e">
        <f ca="1">_xlfn.FORMULATEXT(표1[[#This Row],[Q''ty]])</f>
        <v>#N/A</v>
      </c>
    </row>
    <row r="519" spans="1:10" ht="15" hidden="1" customHeight="1" thickTop="1" x14ac:dyDescent="0.4">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4">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4">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4">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4">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4">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4">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4">
      <c r="A526" s="6">
        <v>2026</v>
      </c>
      <c r="B526" s="6">
        <f t="shared" si="52"/>
        <v>6</v>
      </c>
      <c r="C526" s="13" t="s">
        <v>18</v>
      </c>
      <c r="D526" s="2" t="s">
        <v>12</v>
      </c>
      <c r="E526" s="14" t="str">
        <f t="shared" si="56"/>
        <v>WT GT</v>
      </c>
      <c r="F526" s="22">
        <v>0</v>
      </c>
      <c r="H526" s="5" t="e">
        <f ca="1">_xlfn.FORMULATEXT(표1[[#This Row],[Q''ty]])</f>
        <v>#N/A</v>
      </c>
    </row>
    <row r="527" spans="1:10" ht="15" hidden="1" customHeight="1" x14ac:dyDescent="0.4">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4">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4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4">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4">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4">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4">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4">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4">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4">
      <c r="A536" s="6">
        <v>2026</v>
      </c>
      <c r="B536" s="6">
        <f t="shared" si="57"/>
        <v>6</v>
      </c>
      <c r="C536" s="13" t="s">
        <v>19</v>
      </c>
      <c r="D536" s="2" t="s">
        <v>12</v>
      </c>
      <c r="E536" s="14" t="str">
        <f t="shared" si="56"/>
        <v>BT GT</v>
      </c>
      <c r="F536" s="22">
        <v>31</v>
      </c>
      <c r="H536" s="5" t="e">
        <f ca="1">_xlfn.FORMULATEXT(표1[[#This Row],[Q''ty]])</f>
        <v>#N/A</v>
      </c>
    </row>
    <row r="537" spans="1:8" ht="15" hidden="1" customHeight="1" x14ac:dyDescent="0.4">
      <c r="A537" s="6">
        <v>2026</v>
      </c>
      <c r="B537" s="6">
        <f t="shared" si="57"/>
        <v>6</v>
      </c>
      <c r="C537" s="13" t="s">
        <v>19</v>
      </c>
      <c r="D537" s="2" t="s">
        <v>12</v>
      </c>
      <c r="E537" s="14" t="str">
        <f t="shared" si="56"/>
        <v>WT GT</v>
      </c>
      <c r="F537" s="22">
        <v>30</v>
      </c>
      <c r="H537" s="5" t="e">
        <f ca="1">_xlfn.FORMULATEXT(표1[[#This Row],[Q''ty]])</f>
        <v>#N/A</v>
      </c>
    </row>
    <row r="538" spans="1:8" ht="15" hidden="1" customHeight="1" x14ac:dyDescent="0.4">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4">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4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4">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4">
      <c r="A542" s="6">
        <v>2026</v>
      </c>
      <c r="B542" s="6">
        <f t="shared" si="57"/>
        <v>6</v>
      </c>
      <c r="C542" s="13" t="s">
        <v>25</v>
      </c>
      <c r="D542" s="2" t="s">
        <v>6</v>
      </c>
      <c r="E542" s="14" t="s">
        <v>8</v>
      </c>
      <c r="F542" s="22">
        <f t="shared" si="59"/>
        <v>3</v>
      </c>
      <c r="H542" s="5" t="str">
        <f ca="1">_xlfn.FORMULATEXT(표1[[#This Row],[Q''ty]])</f>
        <v>=F443</v>
      </c>
    </row>
    <row r="543" spans="1:8" ht="15" hidden="1" customHeight="1" x14ac:dyDescent="0.4">
      <c r="A543" s="6">
        <v>2026</v>
      </c>
      <c r="B543" s="6">
        <f t="shared" si="57"/>
        <v>6</v>
      </c>
      <c r="C543" s="13" t="s">
        <v>25</v>
      </c>
      <c r="D543" s="2" t="s">
        <v>6</v>
      </c>
      <c r="E543" s="14" t="s">
        <v>9</v>
      </c>
      <c r="F543" s="22">
        <f t="shared" si="59"/>
        <v>2</v>
      </c>
      <c r="H543" s="5" t="str">
        <f ca="1">_xlfn.FORMULATEXT(표1[[#This Row],[Q''ty]])</f>
        <v>=F444</v>
      </c>
    </row>
    <row r="544" spans="1:8" ht="15" hidden="1" customHeight="1" x14ac:dyDescent="0.4">
      <c r="A544" s="6">
        <v>2026</v>
      </c>
      <c r="B544" s="6">
        <f t="shared" si="57"/>
        <v>6</v>
      </c>
      <c r="C544" s="13" t="s">
        <v>25</v>
      </c>
      <c r="D544" s="2" t="s">
        <v>6</v>
      </c>
      <c r="E544" s="14" t="s">
        <v>27</v>
      </c>
      <c r="F544" s="22">
        <f t="shared" si="59"/>
        <v>2</v>
      </c>
      <c r="H544" s="5" t="str">
        <f ca="1">_xlfn.FORMULATEXT(표1[[#This Row],[Q''ty]])</f>
        <v>=F445</v>
      </c>
    </row>
    <row r="545" spans="1:8" ht="15" hidden="1" customHeight="1" x14ac:dyDescent="0.4">
      <c r="A545" s="6">
        <v>2026</v>
      </c>
      <c r="B545" s="6">
        <f t="shared" si="57"/>
        <v>6</v>
      </c>
      <c r="C545" s="13" t="s">
        <v>25</v>
      </c>
      <c r="D545" s="2" t="s">
        <v>6</v>
      </c>
      <c r="E545" s="14" t="s">
        <v>10</v>
      </c>
      <c r="F545" s="22">
        <f t="shared" si="59"/>
        <v>3</v>
      </c>
      <c r="H545" s="5" t="str">
        <f ca="1">_xlfn.FORMULATEXT(표1[[#This Row],[Q''ty]])</f>
        <v>=F446</v>
      </c>
    </row>
    <row r="546" spans="1:8" ht="15" hidden="1" customHeight="1" x14ac:dyDescent="0.4">
      <c r="A546" s="6">
        <v>2026</v>
      </c>
      <c r="B546" s="6">
        <f t="shared" si="57"/>
        <v>6</v>
      </c>
      <c r="C546" s="13" t="s">
        <v>25</v>
      </c>
      <c r="D546" s="2" t="s">
        <v>6</v>
      </c>
      <c r="E546" s="14" t="s">
        <v>11</v>
      </c>
      <c r="F546" s="22">
        <f t="shared" si="59"/>
        <v>4</v>
      </c>
      <c r="H546" s="5" t="str">
        <f ca="1">_xlfn.FORMULATEXT(표1[[#This Row],[Q''ty]])</f>
        <v>=F447</v>
      </c>
    </row>
    <row r="547" spans="1:8" ht="15" hidden="1" customHeight="1" x14ac:dyDescent="0.4">
      <c r="A547" s="6">
        <v>2026</v>
      </c>
      <c r="B547" s="6">
        <f t="shared" si="57"/>
        <v>6</v>
      </c>
      <c r="C547" s="13" t="s">
        <v>25</v>
      </c>
      <c r="D547" s="2" t="s">
        <v>12</v>
      </c>
      <c r="E547" s="14" t="s">
        <v>13</v>
      </c>
      <c r="F547" s="22">
        <v>0</v>
      </c>
      <c r="H547" s="5" t="e">
        <f ca="1">_xlfn.FORMULATEXT(표1[[#This Row],[Q''ty]])</f>
        <v>#N/A</v>
      </c>
    </row>
    <row r="548" spans="1:8" ht="15" hidden="1" customHeight="1" x14ac:dyDescent="0.4">
      <c r="A548" s="6">
        <v>2026</v>
      </c>
      <c r="B548" s="6">
        <f t="shared" si="57"/>
        <v>6</v>
      </c>
      <c r="C548" s="13" t="s">
        <v>25</v>
      </c>
      <c r="D548" s="2" t="s">
        <v>12</v>
      </c>
      <c r="E548" s="14" t="s">
        <v>14</v>
      </c>
      <c r="F548" s="22">
        <v>0</v>
      </c>
      <c r="H548" s="5" t="e">
        <f ca="1">_xlfn.FORMULATEXT(표1[[#This Row],[Q''ty]])</f>
        <v>#N/A</v>
      </c>
    </row>
    <row r="549" spans="1:8" ht="15" hidden="1" customHeight="1" x14ac:dyDescent="0.4">
      <c r="A549" s="6">
        <v>2026</v>
      </c>
      <c r="B549" s="6">
        <f t="shared" si="57"/>
        <v>6</v>
      </c>
      <c r="C549" s="13" t="s">
        <v>25</v>
      </c>
      <c r="D549" s="2" t="s">
        <v>12</v>
      </c>
      <c r="E549" s="14" t="s">
        <v>15</v>
      </c>
      <c r="F549" s="22">
        <v>0</v>
      </c>
      <c r="H549" s="5" t="e">
        <f ca="1">_xlfn.FORMULATEXT(표1[[#This Row],[Q''ty]])</f>
        <v>#N/A</v>
      </c>
    </row>
    <row r="550" spans="1:8" ht="15" hidden="1" customHeight="1" x14ac:dyDescent="0.4">
      <c r="A550" s="6">
        <v>2026</v>
      </c>
      <c r="B550" s="6">
        <f t="shared" si="57"/>
        <v>6</v>
      </c>
      <c r="C550" s="13" t="s">
        <v>25</v>
      </c>
      <c r="D550" s="2" t="s">
        <v>12</v>
      </c>
      <c r="E550" s="14" t="s">
        <v>16</v>
      </c>
      <c r="F550" s="22">
        <v>0</v>
      </c>
      <c r="H550" s="5" t="e">
        <f ca="1">_xlfn.FORMULATEXT(표1[[#This Row],[Q''ty]])</f>
        <v>#N/A</v>
      </c>
    </row>
    <row r="551" spans="1:8" ht="15" hidden="1" customHeight="1" thickBot="1" x14ac:dyDescent="0.45">
      <c r="A551" s="15">
        <v>2026</v>
      </c>
      <c r="B551" s="15">
        <f t="shared" si="57"/>
        <v>6</v>
      </c>
      <c r="C551" s="16" t="s">
        <v>25</v>
      </c>
      <c r="D551" s="17" t="s">
        <v>12</v>
      </c>
      <c r="E551" s="18" t="s">
        <v>17</v>
      </c>
      <c r="F551" s="23">
        <v>0</v>
      </c>
      <c r="H551" s="5" t="e">
        <f ca="1">_xlfn.FORMULATEXT(표1[[#This Row],[Q''ty]])</f>
        <v>#N/A</v>
      </c>
    </row>
    <row r="552" spans="1:8" ht="15" hidden="1" customHeight="1" thickTop="1" x14ac:dyDescent="0.4">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4">
      <c r="A553" s="6">
        <v>2026</v>
      </c>
      <c r="B553" s="6">
        <f t="shared" si="57"/>
        <v>6</v>
      </c>
      <c r="C553" s="13" t="s">
        <v>26</v>
      </c>
      <c r="D553" s="2" t="s">
        <v>6</v>
      </c>
      <c r="E553" s="14" t="s">
        <v>8</v>
      </c>
      <c r="F553" s="22">
        <f t="shared" si="60"/>
        <v>4</v>
      </c>
      <c r="H553" s="5" t="str">
        <f ca="1">_xlfn.FORMULATEXT(표1[[#This Row],[Q''ty]])</f>
        <v>=F454</v>
      </c>
    </row>
    <row r="554" spans="1:8" ht="15" hidden="1" customHeight="1" x14ac:dyDescent="0.4">
      <c r="A554" s="6">
        <v>2026</v>
      </c>
      <c r="B554" s="6">
        <f t="shared" si="57"/>
        <v>6</v>
      </c>
      <c r="C554" s="13" t="s">
        <v>26</v>
      </c>
      <c r="D554" s="2" t="s">
        <v>6</v>
      </c>
      <c r="E554" s="14" t="s">
        <v>9</v>
      </c>
      <c r="F554" s="22">
        <f t="shared" si="60"/>
        <v>2</v>
      </c>
      <c r="H554" s="5" t="str">
        <f ca="1">_xlfn.FORMULATEXT(표1[[#This Row],[Q''ty]])</f>
        <v>=F455</v>
      </c>
    </row>
    <row r="555" spans="1:8" ht="15" hidden="1" customHeight="1" x14ac:dyDescent="0.4">
      <c r="A555" s="6">
        <v>2026</v>
      </c>
      <c r="B555" s="6">
        <f t="shared" si="57"/>
        <v>6</v>
      </c>
      <c r="C555" s="13" t="s">
        <v>26</v>
      </c>
      <c r="D555" s="2" t="s">
        <v>6</v>
      </c>
      <c r="E555" s="14" t="s">
        <v>27</v>
      </c>
      <c r="F555" s="22">
        <f t="shared" si="60"/>
        <v>3</v>
      </c>
      <c r="H555" s="5" t="str">
        <f ca="1">_xlfn.FORMULATEXT(표1[[#This Row],[Q''ty]])</f>
        <v>=F456</v>
      </c>
    </row>
    <row r="556" spans="1:8" ht="15" hidden="1" customHeight="1" x14ac:dyDescent="0.4">
      <c r="A556" s="6">
        <v>2026</v>
      </c>
      <c r="B556" s="6">
        <f t="shared" si="57"/>
        <v>6</v>
      </c>
      <c r="C556" s="13" t="s">
        <v>26</v>
      </c>
      <c r="D556" s="2" t="s">
        <v>6</v>
      </c>
      <c r="E556" s="14" t="s">
        <v>10</v>
      </c>
      <c r="F556" s="22">
        <f t="shared" si="60"/>
        <v>4</v>
      </c>
      <c r="H556" s="5" t="str">
        <f ca="1">_xlfn.FORMULATEXT(표1[[#This Row],[Q''ty]])</f>
        <v>=F457</v>
      </c>
    </row>
    <row r="557" spans="1:8" ht="15" hidden="1" customHeight="1" x14ac:dyDescent="0.4">
      <c r="A557" s="6">
        <v>2026</v>
      </c>
      <c r="B557" s="6">
        <f t="shared" si="57"/>
        <v>6</v>
      </c>
      <c r="C557" s="13" t="s">
        <v>26</v>
      </c>
      <c r="D557" s="2" t="s">
        <v>6</v>
      </c>
      <c r="E557" s="14" t="s">
        <v>11</v>
      </c>
      <c r="F557" s="22">
        <f t="shared" si="60"/>
        <v>6</v>
      </c>
      <c r="H557" s="5" t="str">
        <f ca="1">_xlfn.FORMULATEXT(표1[[#This Row],[Q''ty]])</f>
        <v>=F458</v>
      </c>
    </row>
    <row r="558" spans="1:8" ht="15" hidden="1" customHeight="1" x14ac:dyDescent="0.4">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4">
      <c r="A559" s="6">
        <v>2026</v>
      </c>
      <c r="B559" s="6">
        <f t="shared" si="57"/>
        <v>6</v>
      </c>
      <c r="C559" s="13" t="s">
        <v>26</v>
      </c>
      <c r="D559" s="2" t="s">
        <v>12</v>
      </c>
      <c r="E559" s="14" t="str">
        <f t="shared" si="61"/>
        <v>WT GT</v>
      </c>
      <c r="F559" s="22">
        <v>16</v>
      </c>
      <c r="H559" s="5" t="e">
        <f ca="1">_xlfn.FORMULATEXT(표1[[#This Row],[Q''ty]])</f>
        <v>#N/A</v>
      </c>
    </row>
    <row r="560" spans="1:8" ht="15" hidden="1" customHeight="1" x14ac:dyDescent="0.4">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4">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4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4">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4">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4">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4">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4">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4">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4">
      <c r="A569" s="6">
        <v>2026</v>
      </c>
      <c r="B569" s="6">
        <f t="shared" si="63"/>
        <v>6</v>
      </c>
      <c r="C569" s="13" t="s">
        <v>20</v>
      </c>
      <c r="D569" s="2" t="s">
        <v>12</v>
      </c>
      <c r="E569" s="14" t="str">
        <f t="shared" si="61"/>
        <v>BT GT</v>
      </c>
      <c r="F569" s="22">
        <v>72</v>
      </c>
      <c r="H569" s="5" t="e">
        <f ca="1">_xlfn.FORMULATEXT(표1[[#This Row],[Q''ty]])</f>
        <v>#N/A</v>
      </c>
    </row>
    <row r="570" spans="1:8" ht="15" hidden="1" customHeight="1" x14ac:dyDescent="0.4">
      <c r="A570" s="6">
        <v>2026</v>
      </c>
      <c r="B570" s="6">
        <f t="shared" si="63"/>
        <v>6</v>
      </c>
      <c r="C570" s="13" t="s">
        <v>20</v>
      </c>
      <c r="D570" s="2" t="s">
        <v>12</v>
      </c>
      <c r="E570" s="14" t="str">
        <f t="shared" si="61"/>
        <v>WT GT</v>
      </c>
      <c r="F570" s="22">
        <v>68</v>
      </c>
      <c r="H570" s="5" t="e">
        <f ca="1">_xlfn.FORMULATEXT(표1[[#This Row],[Q''ty]])</f>
        <v>#N/A</v>
      </c>
    </row>
    <row r="571" spans="1:8" ht="15" hidden="1" customHeight="1" x14ac:dyDescent="0.4">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4">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4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4">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4">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4">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4">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4">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4">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4">
      <c r="A580" s="6">
        <v>2026</v>
      </c>
      <c r="B580" s="6">
        <f t="shared" si="63"/>
        <v>6</v>
      </c>
      <c r="C580" s="13" t="s">
        <v>21</v>
      </c>
      <c r="D580" s="2" t="s">
        <v>12</v>
      </c>
      <c r="E580" s="14" t="str">
        <f t="shared" si="61"/>
        <v>BT GT</v>
      </c>
      <c r="F580" s="22">
        <v>16</v>
      </c>
      <c r="H580" s="5" t="e">
        <f ca="1">_xlfn.FORMULATEXT(표1[[#This Row],[Q''ty]])</f>
        <v>#N/A</v>
      </c>
    </row>
    <row r="581" spans="1:8" ht="15" hidden="1" customHeight="1" x14ac:dyDescent="0.4">
      <c r="A581" s="6">
        <v>2026</v>
      </c>
      <c r="B581" s="6">
        <f t="shared" si="63"/>
        <v>6</v>
      </c>
      <c r="C581" s="13" t="s">
        <v>21</v>
      </c>
      <c r="D581" s="2" t="s">
        <v>12</v>
      </c>
      <c r="E581" s="14" t="str">
        <f t="shared" si="61"/>
        <v>WT GT</v>
      </c>
      <c r="F581" s="22">
        <v>14</v>
      </c>
      <c r="H581" s="5" t="e">
        <f ca="1">_xlfn.FORMULATEXT(표1[[#This Row],[Q''ty]])</f>
        <v>#N/A</v>
      </c>
    </row>
    <row r="582" spans="1:8" ht="15" hidden="1" customHeight="1" x14ac:dyDescent="0.4">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4">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4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4">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4">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4">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4">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4">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4">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4">
      <c r="A591" s="6">
        <v>2026</v>
      </c>
      <c r="B591" s="6">
        <f t="shared" si="63"/>
        <v>6</v>
      </c>
      <c r="C591" s="13" t="s">
        <v>22</v>
      </c>
      <c r="D591" s="2" t="s">
        <v>12</v>
      </c>
      <c r="E591" s="14" t="str">
        <f t="shared" si="61"/>
        <v>BT GT</v>
      </c>
      <c r="F591" s="22">
        <v>13</v>
      </c>
      <c r="H591" s="5" t="e">
        <f ca="1">_xlfn.FORMULATEXT(표1[[#This Row],[Q''ty]])</f>
        <v>#N/A</v>
      </c>
    </row>
    <row r="592" spans="1:8" ht="15" hidden="1" customHeight="1" x14ac:dyDescent="0.4">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4">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4">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45">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4">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4">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4">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4">
      <c r="A599" s="6">
        <v>2026</v>
      </c>
      <c r="B599" s="6">
        <f t="shared" si="68"/>
        <v>7</v>
      </c>
      <c r="C599" s="13" t="s">
        <v>23</v>
      </c>
      <c r="D599" s="2" t="s">
        <v>6</v>
      </c>
      <c r="E599" s="14" t="s">
        <v>27</v>
      </c>
      <c r="F599" s="22">
        <f t="shared" si="67"/>
        <v>6</v>
      </c>
      <c r="H599" s="5" t="str">
        <f ca="1">_xlfn.FORMULATEXT(표1[[#This Row],[Q''ty]])</f>
        <v>=F500</v>
      </c>
    </row>
    <row r="600" spans="1:10" ht="15" hidden="1" customHeight="1" x14ac:dyDescent="0.4">
      <c r="A600" s="6">
        <v>2026</v>
      </c>
      <c r="B600" s="6">
        <f t="shared" si="68"/>
        <v>7</v>
      </c>
      <c r="C600" s="13" t="s">
        <v>23</v>
      </c>
      <c r="D600" s="2" t="s">
        <v>6</v>
      </c>
      <c r="E600" s="14" t="s">
        <v>10</v>
      </c>
      <c r="F600" s="22">
        <f t="shared" si="67"/>
        <v>10</v>
      </c>
      <c r="H600" s="5" t="str">
        <f ca="1">_xlfn.FORMULATEXT(표1[[#This Row],[Q''ty]])</f>
        <v>=F501</v>
      </c>
    </row>
    <row r="601" spans="1:10" ht="15" hidden="1" customHeight="1" x14ac:dyDescent="0.4">
      <c r="A601" s="6">
        <v>2026</v>
      </c>
      <c r="B601" s="6">
        <f t="shared" si="68"/>
        <v>7</v>
      </c>
      <c r="C601" s="13" t="s">
        <v>23</v>
      </c>
      <c r="D601" s="2" t="s">
        <v>6</v>
      </c>
      <c r="E601" s="14" t="s">
        <v>11</v>
      </c>
      <c r="F601" s="22">
        <f t="shared" si="67"/>
        <v>10</v>
      </c>
      <c r="H601" s="5" t="str">
        <f ca="1">_xlfn.FORMULATEXT(표1[[#This Row],[Q''ty]])</f>
        <v>=F502</v>
      </c>
    </row>
    <row r="602" spans="1:10" ht="15" hidden="1" customHeight="1" x14ac:dyDescent="0.4">
      <c r="A602" s="6">
        <v>2026</v>
      </c>
      <c r="B602" s="6">
        <f t="shared" si="68"/>
        <v>7</v>
      </c>
      <c r="C602" s="13" t="s">
        <v>23</v>
      </c>
      <c r="D602" s="2" t="s">
        <v>12</v>
      </c>
      <c r="E602" s="14" t="s">
        <v>13</v>
      </c>
      <c r="F602" s="22">
        <v>7</v>
      </c>
      <c r="H602" s="5" t="e">
        <f ca="1">_xlfn.FORMULATEXT(표1[[#This Row],[Q''ty]])</f>
        <v>#N/A</v>
      </c>
    </row>
    <row r="603" spans="1:10" s="2" customFormat="1" ht="15" hidden="1" customHeight="1" x14ac:dyDescent="0.4">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4">
      <c r="A604" s="6">
        <v>2026</v>
      </c>
      <c r="B604" s="6">
        <f t="shared" si="68"/>
        <v>7</v>
      </c>
      <c r="C604" s="13" t="s">
        <v>23</v>
      </c>
      <c r="D604" s="2" t="s">
        <v>12</v>
      </c>
      <c r="E604" s="14" t="s">
        <v>15</v>
      </c>
      <c r="F604" s="22">
        <v>77</v>
      </c>
      <c r="H604" s="5" t="e">
        <f ca="1">_xlfn.FORMULATEXT(표1[[#This Row],[Q''ty]])</f>
        <v>#N/A</v>
      </c>
    </row>
    <row r="605" spans="1:10" ht="15" hidden="1" customHeight="1" x14ac:dyDescent="0.4">
      <c r="A605" s="6">
        <v>2026</v>
      </c>
      <c r="B605" s="6">
        <f t="shared" si="68"/>
        <v>7</v>
      </c>
      <c r="C605" s="13" t="s">
        <v>23</v>
      </c>
      <c r="D605" s="2" t="s">
        <v>12</v>
      </c>
      <c r="E605" s="14" t="s">
        <v>16</v>
      </c>
      <c r="F605" s="22">
        <v>75</v>
      </c>
      <c r="H605" s="5" t="e">
        <f ca="1">_xlfn.FORMULATEXT(표1[[#This Row],[Q''ty]])</f>
        <v>#N/A</v>
      </c>
    </row>
    <row r="606" spans="1:10" ht="15" hidden="1" customHeight="1" thickBot="1" x14ac:dyDescent="0.45">
      <c r="A606" s="15">
        <v>2026</v>
      </c>
      <c r="B606" s="15">
        <f t="shared" si="68"/>
        <v>7</v>
      </c>
      <c r="C606" s="16" t="s">
        <v>23</v>
      </c>
      <c r="D606" s="17" t="s">
        <v>12</v>
      </c>
      <c r="E606" s="18" t="s">
        <v>17</v>
      </c>
      <c r="F606" s="22">
        <v>31</v>
      </c>
      <c r="H606" s="5" t="e">
        <f ca="1">_xlfn.FORMULATEXT(표1[[#This Row],[Q''ty]])</f>
        <v>#N/A</v>
      </c>
    </row>
    <row r="607" spans="1:10" ht="15" hidden="1" customHeight="1" thickTop="1" x14ac:dyDescent="0.4">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4">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4">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4">
      <c r="A610" s="6">
        <v>2026</v>
      </c>
      <c r="B610" s="6">
        <f t="shared" si="68"/>
        <v>7</v>
      </c>
      <c r="C610" s="13" t="s">
        <v>24</v>
      </c>
      <c r="D610" s="2" t="s">
        <v>6</v>
      </c>
      <c r="E610" s="14" t="s">
        <v>27</v>
      </c>
      <c r="F610" s="22">
        <f t="shared" si="69"/>
        <v>3</v>
      </c>
      <c r="H610" s="5" t="str">
        <f ca="1">_xlfn.FORMULATEXT(표1[[#This Row],[Q''ty]])</f>
        <v>=F511</v>
      </c>
    </row>
    <row r="611" spans="1:10" ht="15" hidden="1" customHeight="1" x14ac:dyDescent="0.4">
      <c r="A611" s="6">
        <v>2026</v>
      </c>
      <c r="B611" s="6">
        <f t="shared" si="68"/>
        <v>7</v>
      </c>
      <c r="C611" s="13" t="s">
        <v>24</v>
      </c>
      <c r="D611" s="2" t="s">
        <v>6</v>
      </c>
      <c r="E611" s="14" t="s">
        <v>10</v>
      </c>
      <c r="F611" s="22">
        <f t="shared" si="69"/>
        <v>6</v>
      </c>
      <c r="H611" s="5" t="str">
        <f ca="1">_xlfn.FORMULATEXT(표1[[#This Row],[Q''ty]])</f>
        <v>=F512</v>
      </c>
    </row>
    <row r="612" spans="1:10" ht="15" hidden="1" customHeight="1" x14ac:dyDescent="0.4">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4">
      <c r="A613" s="6">
        <v>2026</v>
      </c>
      <c r="B613" s="6">
        <f t="shared" si="68"/>
        <v>7</v>
      </c>
      <c r="C613" s="13" t="s">
        <v>24</v>
      </c>
      <c r="D613" s="2" t="s">
        <v>12</v>
      </c>
      <c r="E613" s="14" t="s">
        <v>13</v>
      </c>
      <c r="F613" s="22">
        <v>7</v>
      </c>
      <c r="H613" s="5" t="e">
        <f ca="1">_xlfn.FORMULATEXT(표1[[#This Row],[Q''ty]])</f>
        <v>#N/A</v>
      </c>
    </row>
    <row r="614" spans="1:10" s="2" customFormat="1" ht="15" hidden="1" customHeight="1" x14ac:dyDescent="0.4">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4">
      <c r="A615" s="6">
        <v>2026</v>
      </c>
      <c r="B615" s="6">
        <f t="shared" si="68"/>
        <v>7</v>
      </c>
      <c r="C615" s="13" t="s">
        <v>24</v>
      </c>
      <c r="D615" s="2" t="s">
        <v>12</v>
      </c>
      <c r="E615" s="14" t="s">
        <v>15</v>
      </c>
      <c r="F615" s="22">
        <v>20</v>
      </c>
      <c r="H615" s="5" t="e">
        <f ca="1">_xlfn.FORMULATEXT(표1[[#This Row],[Q''ty]])</f>
        <v>#N/A</v>
      </c>
    </row>
    <row r="616" spans="1:10" ht="15" hidden="1" customHeight="1" x14ac:dyDescent="0.4">
      <c r="A616" s="6">
        <v>2026</v>
      </c>
      <c r="B616" s="6">
        <f t="shared" si="68"/>
        <v>7</v>
      </c>
      <c r="C616" s="13" t="s">
        <v>24</v>
      </c>
      <c r="D616" s="2" t="s">
        <v>12</v>
      </c>
      <c r="E616" s="14" t="s">
        <v>16</v>
      </c>
      <c r="F616" s="22">
        <v>21</v>
      </c>
      <c r="H616" s="5" t="e">
        <f ca="1">_xlfn.FORMULATEXT(표1[[#This Row],[Q''ty]])</f>
        <v>#N/A</v>
      </c>
    </row>
    <row r="617" spans="1:10" ht="15" hidden="1" customHeight="1" thickBot="1" x14ac:dyDescent="0.45">
      <c r="A617" s="15">
        <v>2026</v>
      </c>
      <c r="B617" s="15">
        <f t="shared" si="68"/>
        <v>7</v>
      </c>
      <c r="C617" s="16" t="s">
        <v>24</v>
      </c>
      <c r="D617" s="17" t="s">
        <v>12</v>
      </c>
      <c r="E617" s="18" t="s">
        <v>17</v>
      </c>
      <c r="F617" s="23">
        <v>40</v>
      </c>
      <c r="H617" s="5" t="e">
        <f ca="1">_xlfn.FORMULATEXT(표1[[#This Row],[Q''ty]])</f>
        <v>#N/A</v>
      </c>
    </row>
    <row r="618" spans="1:10" ht="15" hidden="1" customHeight="1" thickTop="1" x14ac:dyDescent="0.4">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4">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4">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4">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4">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4">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4">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4">
      <c r="A625" s="6">
        <v>2026</v>
      </c>
      <c r="B625" s="6">
        <f t="shared" si="68"/>
        <v>7</v>
      </c>
      <c r="C625" s="13" t="s">
        <v>18</v>
      </c>
      <c r="D625" s="2" t="s">
        <v>12</v>
      </c>
      <c r="E625" s="14" t="str">
        <f t="shared" si="71"/>
        <v>WT GT</v>
      </c>
      <c r="F625" s="22">
        <v>0</v>
      </c>
      <c r="H625" s="5" t="e">
        <f ca="1">_xlfn.FORMULATEXT(표1[[#This Row],[Q''ty]])</f>
        <v>#N/A</v>
      </c>
    </row>
    <row r="626" spans="1:8" ht="15" hidden="1" customHeight="1" x14ac:dyDescent="0.4">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4">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4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4">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4">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4">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4">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4">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4">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4">
      <c r="A635" s="6">
        <v>2026</v>
      </c>
      <c r="B635" s="6">
        <f t="shared" si="68"/>
        <v>7</v>
      </c>
      <c r="C635" s="13" t="s">
        <v>19</v>
      </c>
      <c r="D635" s="2" t="s">
        <v>12</v>
      </c>
      <c r="E635" s="14" t="str">
        <f t="shared" si="71"/>
        <v>BT GT</v>
      </c>
      <c r="F635" s="22">
        <v>30</v>
      </c>
      <c r="H635" s="5" t="e">
        <f ca="1">_xlfn.FORMULATEXT(표1[[#This Row],[Q''ty]])</f>
        <v>#N/A</v>
      </c>
    </row>
    <row r="636" spans="1:8" ht="15" hidden="1" customHeight="1" x14ac:dyDescent="0.4">
      <c r="A636" s="6">
        <v>2026</v>
      </c>
      <c r="B636" s="6">
        <f t="shared" si="68"/>
        <v>7</v>
      </c>
      <c r="C636" s="13" t="s">
        <v>19</v>
      </c>
      <c r="D636" s="2" t="s">
        <v>12</v>
      </c>
      <c r="E636" s="14" t="str">
        <f t="shared" si="71"/>
        <v>WT GT</v>
      </c>
      <c r="F636" s="22">
        <v>28</v>
      </c>
      <c r="H636" s="5" t="e">
        <f ca="1">_xlfn.FORMULATEXT(표1[[#This Row],[Q''ty]])</f>
        <v>#N/A</v>
      </c>
    </row>
    <row r="637" spans="1:8" ht="15" hidden="1" customHeight="1" x14ac:dyDescent="0.4">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4">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4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4">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4">
      <c r="A641" s="6">
        <v>2026</v>
      </c>
      <c r="B641" s="6">
        <f t="shared" si="68"/>
        <v>7</v>
      </c>
      <c r="C641" s="13" t="s">
        <v>25</v>
      </c>
      <c r="D641" s="2" t="s">
        <v>6</v>
      </c>
      <c r="E641" s="14" t="s">
        <v>8</v>
      </c>
      <c r="F641" s="22">
        <f t="shared" si="73"/>
        <v>3</v>
      </c>
      <c r="H641" s="5" t="str">
        <f ca="1">_xlfn.FORMULATEXT(표1[[#This Row],[Q''ty]])</f>
        <v>=F542</v>
      </c>
    </row>
    <row r="642" spans="1:8" ht="15" hidden="1" customHeight="1" x14ac:dyDescent="0.4">
      <c r="A642" s="6">
        <v>2026</v>
      </c>
      <c r="B642" s="6">
        <f t="shared" si="68"/>
        <v>7</v>
      </c>
      <c r="C642" s="13" t="s">
        <v>25</v>
      </c>
      <c r="D642" s="2" t="s">
        <v>6</v>
      </c>
      <c r="E642" s="14" t="s">
        <v>9</v>
      </c>
      <c r="F642" s="22">
        <f t="shared" si="73"/>
        <v>2</v>
      </c>
      <c r="H642" s="5" t="str">
        <f ca="1">_xlfn.FORMULATEXT(표1[[#This Row],[Q''ty]])</f>
        <v>=F543</v>
      </c>
    </row>
    <row r="643" spans="1:8" ht="15" hidden="1" customHeight="1" x14ac:dyDescent="0.4">
      <c r="A643" s="6">
        <v>2026</v>
      </c>
      <c r="B643" s="6">
        <f t="shared" si="68"/>
        <v>7</v>
      </c>
      <c r="C643" s="13" t="s">
        <v>25</v>
      </c>
      <c r="D643" s="2" t="s">
        <v>6</v>
      </c>
      <c r="E643" s="14" t="s">
        <v>27</v>
      </c>
      <c r="F643" s="22">
        <f t="shared" si="73"/>
        <v>2</v>
      </c>
      <c r="H643" s="5" t="str">
        <f ca="1">_xlfn.FORMULATEXT(표1[[#This Row],[Q''ty]])</f>
        <v>=F544</v>
      </c>
    </row>
    <row r="644" spans="1:8" ht="15" hidden="1" customHeight="1" x14ac:dyDescent="0.4">
      <c r="A644" s="6">
        <v>2026</v>
      </c>
      <c r="B644" s="6">
        <f t="shared" si="68"/>
        <v>7</v>
      </c>
      <c r="C644" s="13" t="s">
        <v>25</v>
      </c>
      <c r="D644" s="2" t="s">
        <v>6</v>
      </c>
      <c r="E644" s="14" t="s">
        <v>10</v>
      </c>
      <c r="F644" s="22">
        <f t="shared" si="73"/>
        <v>3</v>
      </c>
      <c r="H644" s="5" t="str">
        <f ca="1">_xlfn.FORMULATEXT(표1[[#This Row],[Q''ty]])</f>
        <v>=F545</v>
      </c>
    </row>
    <row r="645" spans="1:8" ht="15" hidden="1" customHeight="1" x14ac:dyDescent="0.4">
      <c r="A645" s="6">
        <v>2026</v>
      </c>
      <c r="B645" s="6">
        <f t="shared" si="68"/>
        <v>7</v>
      </c>
      <c r="C645" s="13" t="s">
        <v>25</v>
      </c>
      <c r="D645" s="2" t="s">
        <v>6</v>
      </c>
      <c r="E645" s="14" t="s">
        <v>11</v>
      </c>
      <c r="F645" s="22">
        <f t="shared" si="73"/>
        <v>4</v>
      </c>
      <c r="H645" s="5" t="str">
        <f ca="1">_xlfn.FORMULATEXT(표1[[#This Row],[Q''ty]])</f>
        <v>=F546</v>
      </c>
    </row>
    <row r="646" spans="1:8" ht="15" hidden="1" customHeight="1" x14ac:dyDescent="0.4">
      <c r="A646" s="6">
        <v>2026</v>
      </c>
      <c r="B646" s="6">
        <f t="shared" si="68"/>
        <v>7</v>
      </c>
      <c r="C646" s="13" t="s">
        <v>25</v>
      </c>
      <c r="D646" s="2" t="s">
        <v>12</v>
      </c>
      <c r="E646" s="14" t="s">
        <v>13</v>
      </c>
      <c r="F646" s="22">
        <v>0</v>
      </c>
      <c r="H646" s="5" t="e">
        <f ca="1">_xlfn.FORMULATEXT(표1[[#This Row],[Q''ty]])</f>
        <v>#N/A</v>
      </c>
    </row>
    <row r="647" spans="1:8" ht="15" hidden="1" customHeight="1" x14ac:dyDescent="0.4">
      <c r="A647" s="6">
        <v>2026</v>
      </c>
      <c r="B647" s="6">
        <f t="shared" si="68"/>
        <v>7</v>
      </c>
      <c r="C647" s="13" t="s">
        <v>25</v>
      </c>
      <c r="D647" s="2" t="s">
        <v>12</v>
      </c>
      <c r="E647" s="14" t="s">
        <v>14</v>
      </c>
      <c r="F647" s="22">
        <v>0</v>
      </c>
      <c r="H647" s="5" t="e">
        <f ca="1">_xlfn.FORMULATEXT(표1[[#This Row],[Q''ty]])</f>
        <v>#N/A</v>
      </c>
    </row>
    <row r="648" spans="1:8" ht="15" hidden="1" customHeight="1" x14ac:dyDescent="0.4">
      <c r="A648" s="6">
        <v>2026</v>
      </c>
      <c r="B648" s="6">
        <f t="shared" si="68"/>
        <v>7</v>
      </c>
      <c r="C648" s="13" t="s">
        <v>25</v>
      </c>
      <c r="D648" s="2" t="s">
        <v>12</v>
      </c>
      <c r="E648" s="14" t="s">
        <v>15</v>
      </c>
      <c r="F648" s="22">
        <v>0</v>
      </c>
      <c r="H648" s="5" t="e">
        <f ca="1">_xlfn.FORMULATEXT(표1[[#This Row],[Q''ty]])</f>
        <v>#N/A</v>
      </c>
    </row>
    <row r="649" spans="1:8" ht="15" hidden="1" customHeight="1" x14ac:dyDescent="0.4">
      <c r="A649" s="6">
        <v>2026</v>
      </c>
      <c r="B649" s="6">
        <f t="shared" si="68"/>
        <v>7</v>
      </c>
      <c r="C649" s="13" t="s">
        <v>25</v>
      </c>
      <c r="D649" s="2" t="s">
        <v>12</v>
      </c>
      <c r="E649" s="14" t="s">
        <v>16</v>
      </c>
      <c r="F649" s="22">
        <v>0</v>
      </c>
      <c r="H649" s="5" t="e">
        <f ca="1">_xlfn.FORMULATEXT(표1[[#This Row],[Q''ty]])</f>
        <v>#N/A</v>
      </c>
    </row>
    <row r="650" spans="1:8" ht="15" hidden="1" customHeight="1" thickBot="1" x14ac:dyDescent="0.45">
      <c r="A650" s="15">
        <v>2026</v>
      </c>
      <c r="B650" s="15">
        <f t="shared" si="68"/>
        <v>7</v>
      </c>
      <c r="C650" s="16" t="s">
        <v>25</v>
      </c>
      <c r="D650" s="17" t="s">
        <v>12</v>
      </c>
      <c r="E650" s="18" t="s">
        <v>17</v>
      </c>
      <c r="F650" s="23">
        <v>0</v>
      </c>
      <c r="H650" s="5" t="e">
        <f ca="1">_xlfn.FORMULATEXT(표1[[#This Row],[Q''ty]])</f>
        <v>#N/A</v>
      </c>
    </row>
    <row r="651" spans="1:8" ht="15" hidden="1" customHeight="1" thickTop="1" x14ac:dyDescent="0.4">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4">
      <c r="A652" s="6">
        <v>2026</v>
      </c>
      <c r="B652" s="6">
        <f t="shared" si="68"/>
        <v>7</v>
      </c>
      <c r="C652" s="13" t="s">
        <v>26</v>
      </c>
      <c r="D652" s="2" t="s">
        <v>6</v>
      </c>
      <c r="E652" s="14" t="s">
        <v>8</v>
      </c>
      <c r="F652" s="22">
        <f t="shared" si="74"/>
        <v>4</v>
      </c>
      <c r="H652" s="5" t="str">
        <f ca="1">_xlfn.FORMULATEXT(표1[[#This Row],[Q''ty]])</f>
        <v>=F553</v>
      </c>
    </row>
    <row r="653" spans="1:8" ht="15" hidden="1" customHeight="1" x14ac:dyDescent="0.4">
      <c r="A653" s="6">
        <v>2026</v>
      </c>
      <c r="B653" s="6">
        <f t="shared" si="68"/>
        <v>7</v>
      </c>
      <c r="C653" s="13" t="s">
        <v>26</v>
      </c>
      <c r="D653" s="2" t="s">
        <v>6</v>
      </c>
      <c r="E653" s="14" t="s">
        <v>9</v>
      </c>
      <c r="F653" s="22">
        <f t="shared" si="74"/>
        <v>2</v>
      </c>
      <c r="H653" s="5" t="str">
        <f ca="1">_xlfn.FORMULATEXT(표1[[#This Row],[Q''ty]])</f>
        <v>=F554</v>
      </c>
    </row>
    <row r="654" spans="1:8" ht="15" hidden="1" customHeight="1" x14ac:dyDescent="0.4">
      <c r="A654" s="6">
        <v>2026</v>
      </c>
      <c r="B654" s="6">
        <f t="shared" si="68"/>
        <v>7</v>
      </c>
      <c r="C654" s="13" t="s">
        <v>26</v>
      </c>
      <c r="D654" s="2" t="s">
        <v>6</v>
      </c>
      <c r="E654" s="14" t="s">
        <v>27</v>
      </c>
      <c r="F654" s="22">
        <f t="shared" si="74"/>
        <v>3</v>
      </c>
      <c r="H654" s="5" t="str">
        <f ca="1">_xlfn.FORMULATEXT(표1[[#This Row],[Q''ty]])</f>
        <v>=F555</v>
      </c>
    </row>
    <row r="655" spans="1:8" ht="15" hidden="1" customHeight="1" x14ac:dyDescent="0.4">
      <c r="A655" s="6">
        <v>2026</v>
      </c>
      <c r="B655" s="6">
        <f t="shared" si="68"/>
        <v>7</v>
      </c>
      <c r="C655" s="13" t="s">
        <v>26</v>
      </c>
      <c r="D655" s="2" t="s">
        <v>6</v>
      </c>
      <c r="E655" s="14" t="s">
        <v>10</v>
      </c>
      <c r="F655" s="22">
        <f t="shared" si="74"/>
        <v>4</v>
      </c>
      <c r="H655" s="5" t="str">
        <f ca="1">_xlfn.FORMULATEXT(표1[[#This Row],[Q''ty]])</f>
        <v>=F556</v>
      </c>
    </row>
    <row r="656" spans="1:8" ht="15" hidden="1" customHeight="1" x14ac:dyDescent="0.4">
      <c r="A656" s="6">
        <v>2026</v>
      </c>
      <c r="B656" s="6">
        <f t="shared" si="68"/>
        <v>7</v>
      </c>
      <c r="C656" s="13" t="s">
        <v>26</v>
      </c>
      <c r="D656" s="2" t="s">
        <v>6</v>
      </c>
      <c r="E656" s="14" t="s">
        <v>11</v>
      </c>
      <c r="F656" s="22">
        <f t="shared" si="74"/>
        <v>6</v>
      </c>
      <c r="H656" s="5" t="str">
        <f ca="1">_xlfn.FORMULATEXT(표1[[#This Row],[Q''ty]])</f>
        <v>=F557</v>
      </c>
    </row>
    <row r="657" spans="1:8" ht="15" hidden="1" customHeight="1" x14ac:dyDescent="0.4">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4">
      <c r="A658" s="6">
        <v>2026</v>
      </c>
      <c r="B658" s="6">
        <f t="shared" si="68"/>
        <v>7</v>
      </c>
      <c r="C658" s="13" t="s">
        <v>26</v>
      </c>
      <c r="D658" s="2" t="s">
        <v>12</v>
      </c>
      <c r="E658" s="14" t="str">
        <f t="shared" si="75"/>
        <v>WT GT</v>
      </c>
      <c r="F658" s="22">
        <v>17</v>
      </c>
      <c r="H658" s="5" t="e">
        <f ca="1">_xlfn.FORMULATEXT(표1[[#This Row],[Q''ty]])</f>
        <v>#N/A</v>
      </c>
    </row>
    <row r="659" spans="1:8" ht="15" hidden="1" customHeight="1" x14ac:dyDescent="0.4">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4">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4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4">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4">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4">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4">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4">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4">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4">
      <c r="A668" s="6">
        <v>2026</v>
      </c>
      <c r="B668" s="6">
        <f t="shared" si="76"/>
        <v>7</v>
      </c>
      <c r="C668" s="13" t="s">
        <v>20</v>
      </c>
      <c r="D668" s="2" t="s">
        <v>12</v>
      </c>
      <c r="E668" s="14" t="str">
        <f t="shared" si="75"/>
        <v>BT GT</v>
      </c>
      <c r="F668" s="22">
        <v>77</v>
      </c>
      <c r="H668" s="5" t="e">
        <f ca="1">_xlfn.FORMULATEXT(표1[[#This Row],[Q''ty]])</f>
        <v>#N/A</v>
      </c>
    </row>
    <row r="669" spans="1:8" ht="15" hidden="1" customHeight="1" x14ac:dyDescent="0.4">
      <c r="A669" s="6">
        <v>2026</v>
      </c>
      <c r="B669" s="6">
        <f t="shared" si="76"/>
        <v>7</v>
      </c>
      <c r="C669" s="13" t="s">
        <v>20</v>
      </c>
      <c r="D669" s="2" t="s">
        <v>12</v>
      </c>
      <c r="E669" s="14" t="str">
        <f t="shared" si="75"/>
        <v>WT GT</v>
      </c>
      <c r="F669" s="22">
        <v>70</v>
      </c>
      <c r="H669" s="5" t="e">
        <f ca="1">_xlfn.FORMULATEXT(표1[[#This Row],[Q''ty]])</f>
        <v>#N/A</v>
      </c>
    </row>
    <row r="670" spans="1:8" ht="15" hidden="1" customHeight="1" x14ac:dyDescent="0.4">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4">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4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4">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4">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4">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4">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4">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4">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4">
      <c r="A679" s="6">
        <v>2026</v>
      </c>
      <c r="B679" s="6">
        <f t="shared" si="76"/>
        <v>7</v>
      </c>
      <c r="C679" s="13" t="s">
        <v>21</v>
      </c>
      <c r="D679" s="2" t="s">
        <v>12</v>
      </c>
      <c r="E679" s="14" t="str">
        <f t="shared" si="75"/>
        <v>BT GT</v>
      </c>
      <c r="F679" s="22">
        <v>16</v>
      </c>
      <c r="H679" s="5" t="e">
        <f ca="1">_xlfn.FORMULATEXT(표1[[#This Row],[Q''ty]])</f>
        <v>#N/A</v>
      </c>
    </row>
    <row r="680" spans="1:8" ht="15" hidden="1" customHeight="1" x14ac:dyDescent="0.4">
      <c r="A680" s="6">
        <v>2026</v>
      </c>
      <c r="B680" s="6">
        <f t="shared" si="76"/>
        <v>7</v>
      </c>
      <c r="C680" s="13" t="s">
        <v>21</v>
      </c>
      <c r="D680" s="2" t="s">
        <v>12</v>
      </c>
      <c r="E680" s="14" t="str">
        <f t="shared" si="75"/>
        <v>WT GT</v>
      </c>
      <c r="F680" s="22">
        <v>18</v>
      </c>
      <c r="H680" s="5" t="e">
        <f ca="1">_xlfn.FORMULATEXT(표1[[#This Row],[Q''ty]])</f>
        <v>#N/A</v>
      </c>
    </row>
    <row r="681" spans="1:8" ht="15" hidden="1" customHeight="1" x14ac:dyDescent="0.4">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4">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4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4">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4">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4">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4">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4">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4">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4">
      <c r="A690" s="6">
        <v>2026</v>
      </c>
      <c r="B690" s="6">
        <f t="shared" si="76"/>
        <v>7</v>
      </c>
      <c r="C690" s="13" t="s">
        <v>22</v>
      </c>
      <c r="D690" s="2" t="s">
        <v>12</v>
      </c>
      <c r="E690" s="14" t="str">
        <f t="shared" si="75"/>
        <v>BT GT</v>
      </c>
      <c r="F690" s="22">
        <v>7</v>
      </c>
      <c r="H690" s="5" t="e">
        <f ca="1">_xlfn.FORMULATEXT(표1[[#This Row],[Q''ty]])</f>
        <v>#N/A</v>
      </c>
    </row>
    <row r="691" spans="1:10" ht="15" hidden="1" customHeight="1" x14ac:dyDescent="0.4">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4">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4">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45">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4">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4">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4">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4">
      <c r="A698" s="6">
        <v>2026</v>
      </c>
      <c r="B698" s="6">
        <f t="shared" si="81"/>
        <v>8</v>
      </c>
      <c r="C698" s="13" t="s">
        <v>23</v>
      </c>
      <c r="D698" s="2" t="s">
        <v>6</v>
      </c>
      <c r="E698" s="14" t="s">
        <v>27</v>
      </c>
      <c r="F698" s="22">
        <f t="shared" si="80"/>
        <v>6</v>
      </c>
      <c r="H698" s="5" t="str">
        <f ca="1">_xlfn.FORMULATEXT(표1[[#This Row],[Q''ty]])</f>
        <v>=F599</v>
      </c>
    </row>
    <row r="699" spans="1:10" ht="15" hidden="1" customHeight="1" x14ac:dyDescent="0.4">
      <c r="A699" s="6">
        <v>2026</v>
      </c>
      <c r="B699" s="6">
        <f t="shared" si="81"/>
        <v>8</v>
      </c>
      <c r="C699" s="13" t="s">
        <v>23</v>
      </c>
      <c r="D699" s="2" t="s">
        <v>6</v>
      </c>
      <c r="E699" s="14" t="s">
        <v>10</v>
      </c>
      <c r="F699" s="22">
        <f t="shared" si="80"/>
        <v>10</v>
      </c>
      <c r="H699" s="5" t="str">
        <f ca="1">_xlfn.FORMULATEXT(표1[[#This Row],[Q''ty]])</f>
        <v>=F600</v>
      </c>
    </row>
    <row r="700" spans="1:10" ht="15" hidden="1" customHeight="1" x14ac:dyDescent="0.4">
      <c r="A700" s="6">
        <v>2026</v>
      </c>
      <c r="B700" s="6">
        <f t="shared" si="81"/>
        <v>8</v>
      </c>
      <c r="C700" s="13" t="s">
        <v>23</v>
      </c>
      <c r="D700" s="2" t="s">
        <v>6</v>
      </c>
      <c r="E700" s="14" t="s">
        <v>11</v>
      </c>
      <c r="F700" s="22">
        <f t="shared" si="80"/>
        <v>10</v>
      </c>
      <c r="H700" s="5" t="str">
        <f ca="1">_xlfn.FORMULATEXT(표1[[#This Row],[Q''ty]])</f>
        <v>=F601</v>
      </c>
    </row>
    <row r="701" spans="1:10" ht="15" hidden="1" customHeight="1" x14ac:dyDescent="0.4">
      <c r="A701" s="6">
        <v>2026</v>
      </c>
      <c r="B701" s="6">
        <f t="shared" si="81"/>
        <v>8</v>
      </c>
      <c r="C701" s="13" t="s">
        <v>23</v>
      </c>
      <c r="D701" s="2" t="s">
        <v>12</v>
      </c>
      <c r="E701" s="14" t="s">
        <v>13</v>
      </c>
      <c r="F701" s="22">
        <v>0</v>
      </c>
      <c r="H701" s="5" t="e">
        <f ca="1">_xlfn.FORMULATEXT(표1[[#This Row],[Q''ty]])</f>
        <v>#N/A</v>
      </c>
    </row>
    <row r="702" spans="1:10" s="2" customFormat="1" ht="15" hidden="1" customHeight="1" x14ac:dyDescent="0.4">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4">
      <c r="A703" s="6">
        <v>2026</v>
      </c>
      <c r="B703" s="6">
        <f t="shared" si="81"/>
        <v>8</v>
      </c>
      <c r="C703" s="13" t="s">
        <v>23</v>
      </c>
      <c r="D703" s="2" t="s">
        <v>12</v>
      </c>
      <c r="E703" s="14" t="s">
        <v>15</v>
      </c>
      <c r="F703" s="22">
        <v>0</v>
      </c>
      <c r="H703" s="5" t="e">
        <f ca="1">_xlfn.FORMULATEXT(표1[[#This Row],[Q''ty]])</f>
        <v>#N/A</v>
      </c>
    </row>
    <row r="704" spans="1:10" ht="15" hidden="1" customHeight="1" x14ac:dyDescent="0.4">
      <c r="A704" s="6">
        <v>2026</v>
      </c>
      <c r="B704" s="6">
        <f t="shared" si="81"/>
        <v>8</v>
      </c>
      <c r="C704" s="13" t="s">
        <v>23</v>
      </c>
      <c r="D704" s="2" t="s">
        <v>12</v>
      </c>
      <c r="E704" s="14" t="s">
        <v>16</v>
      </c>
      <c r="F704" s="22">
        <v>0</v>
      </c>
      <c r="H704" s="5" t="e">
        <f ca="1">_xlfn.FORMULATEXT(표1[[#This Row],[Q''ty]])</f>
        <v>#N/A</v>
      </c>
    </row>
    <row r="705" spans="1:10" ht="15" hidden="1" customHeight="1" thickBot="1" x14ac:dyDescent="0.45">
      <c r="A705" s="15">
        <v>2026</v>
      </c>
      <c r="B705" s="15">
        <f t="shared" si="81"/>
        <v>8</v>
      </c>
      <c r="C705" s="16" t="s">
        <v>23</v>
      </c>
      <c r="D705" s="17" t="s">
        <v>12</v>
      </c>
      <c r="E705" s="18" t="s">
        <v>17</v>
      </c>
      <c r="F705" s="23">
        <v>0</v>
      </c>
      <c r="H705" s="5" t="e">
        <f ca="1">_xlfn.FORMULATEXT(표1[[#This Row],[Q''ty]])</f>
        <v>#N/A</v>
      </c>
    </row>
    <row r="706" spans="1:10" ht="15" hidden="1" customHeight="1" thickTop="1" x14ac:dyDescent="0.4">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4">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4">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4">
      <c r="A709" s="6">
        <v>2026</v>
      </c>
      <c r="B709" s="6">
        <f t="shared" si="81"/>
        <v>8</v>
      </c>
      <c r="C709" s="13" t="s">
        <v>24</v>
      </c>
      <c r="D709" s="2" t="s">
        <v>6</v>
      </c>
      <c r="E709" s="14" t="s">
        <v>27</v>
      </c>
      <c r="F709" s="22">
        <f t="shared" si="82"/>
        <v>3</v>
      </c>
      <c r="H709" s="5" t="str">
        <f ca="1">_xlfn.FORMULATEXT(표1[[#This Row],[Q''ty]])</f>
        <v>=F610</v>
      </c>
    </row>
    <row r="710" spans="1:10" ht="15" hidden="1" customHeight="1" x14ac:dyDescent="0.4">
      <c r="A710" s="6">
        <v>2026</v>
      </c>
      <c r="B710" s="6">
        <f t="shared" si="81"/>
        <v>8</v>
      </c>
      <c r="C710" s="13" t="s">
        <v>24</v>
      </c>
      <c r="D710" s="2" t="s">
        <v>6</v>
      </c>
      <c r="E710" s="14" t="s">
        <v>10</v>
      </c>
      <c r="F710" s="22">
        <f t="shared" si="82"/>
        <v>6</v>
      </c>
      <c r="H710" s="5" t="str">
        <f ca="1">_xlfn.FORMULATEXT(표1[[#This Row],[Q''ty]])</f>
        <v>=F611</v>
      </c>
    </row>
    <row r="711" spans="1:10" ht="15" hidden="1" customHeight="1" x14ac:dyDescent="0.4">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4">
      <c r="A712" s="6">
        <v>2026</v>
      </c>
      <c r="B712" s="6">
        <f t="shared" si="81"/>
        <v>8</v>
      </c>
      <c r="C712" s="13" t="s">
        <v>24</v>
      </c>
      <c r="D712" s="2" t="s">
        <v>12</v>
      </c>
      <c r="E712" s="14" t="s">
        <v>13</v>
      </c>
      <c r="F712" s="22">
        <v>0</v>
      </c>
      <c r="H712" s="5" t="e">
        <f ca="1">_xlfn.FORMULATEXT(표1[[#This Row],[Q''ty]])</f>
        <v>#N/A</v>
      </c>
    </row>
    <row r="713" spans="1:10" s="2" customFormat="1" ht="15" hidden="1" customHeight="1" x14ac:dyDescent="0.4">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4">
      <c r="A714" s="6">
        <v>2026</v>
      </c>
      <c r="B714" s="6">
        <f t="shared" si="81"/>
        <v>8</v>
      </c>
      <c r="C714" s="13" t="s">
        <v>24</v>
      </c>
      <c r="D714" s="2" t="s">
        <v>12</v>
      </c>
      <c r="E714" s="14" t="s">
        <v>15</v>
      </c>
      <c r="F714" s="22">
        <v>0</v>
      </c>
      <c r="H714" s="5" t="e">
        <f ca="1">_xlfn.FORMULATEXT(표1[[#This Row],[Q''ty]])</f>
        <v>#N/A</v>
      </c>
    </row>
    <row r="715" spans="1:10" ht="15" hidden="1" customHeight="1" x14ac:dyDescent="0.4">
      <c r="A715" s="6">
        <v>2026</v>
      </c>
      <c r="B715" s="6">
        <f t="shared" si="81"/>
        <v>8</v>
      </c>
      <c r="C715" s="13" t="s">
        <v>24</v>
      </c>
      <c r="D715" s="2" t="s">
        <v>12</v>
      </c>
      <c r="E715" s="14" t="s">
        <v>16</v>
      </c>
      <c r="F715" s="22">
        <v>0</v>
      </c>
      <c r="H715" s="5" t="e">
        <f ca="1">_xlfn.FORMULATEXT(표1[[#This Row],[Q''ty]])</f>
        <v>#N/A</v>
      </c>
    </row>
    <row r="716" spans="1:10" ht="15" hidden="1" customHeight="1" thickBot="1" x14ac:dyDescent="0.45">
      <c r="A716" s="15">
        <v>2026</v>
      </c>
      <c r="B716" s="15">
        <f t="shared" si="81"/>
        <v>8</v>
      </c>
      <c r="C716" s="16" t="s">
        <v>24</v>
      </c>
      <c r="D716" s="17" t="s">
        <v>12</v>
      </c>
      <c r="E716" s="18" t="s">
        <v>17</v>
      </c>
      <c r="F716" s="23">
        <v>0</v>
      </c>
      <c r="H716" s="5" t="e">
        <f ca="1">_xlfn.FORMULATEXT(표1[[#This Row],[Q''ty]])</f>
        <v>#N/A</v>
      </c>
    </row>
    <row r="717" spans="1:10" ht="15" hidden="1" customHeight="1" thickTop="1" x14ac:dyDescent="0.4">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4">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4">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4">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4">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4">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4">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4">
      <c r="A724" s="6">
        <v>2026</v>
      </c>
      <c r="B724" s="6">
        <f t="shared" si="81"/>
        <v>8</v>
      </c>
      <c r="C724" s="13" t="s">
        <v>18</v>
      </c>
      <c r="D724" s="2" t="s">
        <v>12</v>
      </c>
      <c r="E724" s="14" t="str">
        <f t="shared" si="84"/>
        <v>WT GT</v>
      </c>
      <c r="F724" s="22">
        <v>0</v>
      </c>
      <c r="H724" s="5" t="e">
        <f ca="1">_xlfn.FORMULATEXT(표1[[#This Row],[Q''ty]])</f>
        <v>#N/A</v>
      </c>
    </row>
    <row r="725" spans="1:8" ht="15" hidden="1" customHeight="1" x14ac:dyDescent="0.4">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4">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4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4">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4">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4">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4">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4">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4">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4">
      <c r="A734" s="6">
        <v>2026</v>
      </c>
      <c r="B734" s="6">
        <f t="shared" si="81"/>
        <v>8</v>
      </c>
      <c r="C734" s="13" t="s">
        <v>19</v>
      </c>
      <c r="D734" s="2" t="s">
        <v>12</v>
      </c>
      <c r="E734" s="14" t="str">
        <f t="shared" si="84"/>
        <v>BT GT</v>
      </c>
      <c r="F734" s="22">
        <v>0</v>
      </c>
      <c r="H734" s="5" t="e">
        <f ca="1">_xlfn.FORMULATEXT(표1[[#This Row],[Q''ty]])</f>
        <v>#N/A</v>
      </c>
    </row>
    <row r="735" spans="1:8" ht="15" hidden="1" customHeight="1" x14ac:dyDescent="0.4">
      <c r="A735" s="6">
        <v>2026</v>
      </c>
      <c r="B735" s="6">
        <f t="shared" si="81"/>
        <v>8</v>
      </c>
      <c r="C735" s="13" t="s">
        <v>19</v>
      </c>
      <c r="D735" s="2" t="s">
        <v>12</v>
      </c>
      <c r="E735" s="14" t="str">
        <f t="shared" si="84"/>
        <v>WT GT</v>
      </c>
      <c r="F735" s="22">
        <v>0</v>
      </c>
      <c r="H735" s="5" t="e">
        <f ca="1">_xlfn.FORMULATEXT(표1[[#This Row],[Q''ty]])</f>
        <v>#N/A</v>
      </c>
    </row>
    <row r="736" spans="1:8" ht="15" hidden="1" customHeight="1" x14ac:dyDescent="0.4">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4">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4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4">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4">
      <c r="A740" s="6">
        <v>2026</v>
      </c>
      <c r="B740" s="6">
        <f t="shared" si="81"/>
        <v>8</v>
      </c>
      <c r="C740" s="13" t="s">
        <v>25</v>
      </c>
      <c r="D740" s="2" t="s">
        <v>6</v>
      </c>
      <c r="E740" s="14" t="s">
        <v>8</v>
      </c>
      <c r="F740" s="22">
        <f t="shared" si="86"/>
        <v>3</v>
      </c>
      <c r="H740" s="5" t="str">
        <f ca="1">_xlfn.FORMULATEXT(표1[[#This Row],[Q''ty]])</f>
        <v>=F641</v>
      </c>
    </row>
    <row r="741" spans="1:8" ht="15" hidden="1" customHeight="1" x14ac:dyDescent="0.4">
      <c r="A741" s="6">
        <v>2026</v>
      </c>
      <c r="B741" s="6">
        <f t="shared" si="81"/>
        <v>8</v>
      </c>
      <c r="C741" s="13" t="s">
        <v>25</v>
      </c>
      <c r="D741" s="2" t="s">
        <v>6</v>
      </c>
      <c r="E741" s="14" t="s">
        <v>9</v>
      </c>
      <c r="F741" s="22">
        <f t="shared" si="86"/>
        <v>2</v>
      </c>
      <c r="H741" s="5" t="str">
        <f ca="1">_xlfn.FORMULATEXT(표1[[#This Row],[Q''ty]])</f>
        <v>=F642</v>
      </c>
    </row>
    <row r="742" spans="1:8" ht="15" hidden="1" customHeight="1" x14ac:dyDescent="0.4">
      <c r="A742" s="6">
        <v>2026</v>
      </c>
      <c r="B742" s="6">
        <f t="shared" si="81"/>
        <v>8</v>
      </c>
      <c r="C742" s="13" t="s">
        <v>25</v>
      </c>
      <c r="D742" s="2" t="s">
        <v>6</v>
      </c>
      <c r="E742" s="14" t="s">
        <v>27</v>
      </c>
      <c r="F742" s="22">
        <f t="shared" si="86"/>
        <v>2</v>
      </c>
      <c r="H742" s="5" t="str">
        <f ca="1">_xlfn.FORMULATEXT(표1[[#This Row],[Q''ty]])</f>
        <v>=F643</v>
      </c>
    </row>
    <row r="743" spans="1:8" ht="15" hidden="1" customHeight="1" x14ac:dyDescent="0.4">
      <c r="A743" s="6">
        <v>2026</v>
      </c>
      <c r="B743" s="6">
        <f t="shared" si="81"/>
        <v>8</v>
      </c>
      <c r="C743" s="13" t="s">
        <v>25</v>
      </c>
      <c r="D743" s="2" t="s">
        <v>6</v>
      </c>
      <c r="E743" s="14" t="s">
        <v>10</v>
      </c>
      <c r="F743" s="22">
        <f t="shared" si="86"/>
        <v>3</v>
      </c>
      <c r="H743" s="5" t="str">
        <f ca="1">_xlfn.FORMULATEXT(표1[[#This Row],[Q''ty]])</f>
        <v>=F644</v>
      </c>
    </row>
    <row r="744" spans="1:8" ht="15" hidden="1" customHeight="1" x14ac:dyDescent="0.4">
      <c r="A744" s="6">
        <v>2026</v>
      </c>
      <c r="B744" s="6">
        <f t="shared" si="81"/>
        <v>8</v>
      </c>
      <c r="C744" s="13" t="s">
        <v>25</v>
      </c>
      <c r="D744" s="2" t="s">
        <v>6</v>
      </c>
      <c r="E744" s="14" t="s">
        <v>11</v>
      </c>
      <c r="F744" s="22">
        <f t="shared" si="86"/>
        <v>4</v>
      </c>
      <c r="H744" s="5" t="str">
        <f ca="1">_xlfn.FORMULATEXT(표1[[#This Row],[Q''ty]])</f>
        <v>=F645</v>
      </c>
    </row>
    <row r="745" spans="1:8" ht="15" hidden="1" customHeight="1" x14ac:dyDescent="0.4">
      <c r="A745" s="6">
        <v>2026</v>
      </c>
      <c r="B745" s="6">
        <f t="shared" si="81"/>
        <v>8</v>
      </c>
      <c r="C745" s="13" t="s">
        <v>25</v>
      </c>
      <c r="D745" s="2" t="s">
        <v>12</v>
      </c>
      <c r="E745" s="14" t="s">
        <v>13</v>
      </c>
      <c r="F745" s="22">
        <v>0</v>
      </c>
      <c r="H745" s="5" t="e">
        <f ca="1">_xlfn.FORMULATEXT(표1[[#This Row],[Q''ty]])</f>
        <v>#N/A</v>
      </c>
    </row>
    <row r="746" spans="1:8" ht="15" hidden="1" customHeight="1" x14ac:dyDescent="0.4">
      <c r="A746" s="6">
        <v>2026</v>
      </c>
      <c r="B746" s="6">
        <f t="shared" si="81"/>
        <v>8</v>
      </c>
      <c r="C746" s="13" t="s">
        <v>25</v>
      </c>
      <c r="D746" s="2" t="s">
        <v>12</v>
      </c>
      <c r="E746" s="14" t="s">
        <v>14</v>
      </c>
      <c r="F746" s="22">
        <v>0</v>
      </c>
      <c r="H746" s="5" t="e">
        <f ca="1">_xlfn.FORMULATEXT(표1[[#This Row],[Q''ty]])</f>
        <v>#N/A</v>
      </c>
    </row>
    <row r="747" spans="1:8" ht="15" hidden="1" customHeight="1" x14ac:dyDescent="0.4">
      <c r="A747" s="6">
        <v>2026</v>
      </c>
      <c r="B747" s="6">
        <f t="shared" si="81"/>
        <v>8</v>
      </c>
      <c r="C747" s="13" t="s">
        <v>25</v>
      </c>
      <c r="D747" s="2" t="s">
        <v>12</v>
      </c>
      <c r="E747" s="14" t="s">
        <v>15</v>
      </c>
      <c r="F747" s="22">
        <v>0</v>
      </c>
      <c r="H747" s="5" t="e">
        <f ca="1">_xlfn.FORMULATEXT(표1[[#This Row],[Q''ty]])</f>
        <v>#N/A</v>
      </c>
    </row>
    <row r="748" spans="1:8" ht="15" hidden="1" customHeight="1" x14ac:dyDescent="0.4">
      <c r="A748" s="6">
        <v>2026</v>
      </c>
      <c r="B748" s="6">
        <f t="shared" si="81"/>
        <v>8</v>
      </c>
      <c r="C748" s="13" t="s">
        <v>25</v>
      </c>
      <c r="D748" s="2" t="s">
        <v>12</v>
      </c>
      <c r="E748" s="14" t="s">
        <v>16</v>
      </c>
      <c r="F748" s="22">
        <v>0</v>
      </c>
      <c r="H748" s="5" t="e">
        <f ca="1">_xlfn.FORMULATEXT(표1[[#This Row],[Q''ty]])</f>
        <v>#N/A</v>
      </c>
    </row>
    <row r="749" spans="1:8" ht="15" hidden="1" customHeight="1" thickBot="1" x14ac:dyDescent="0.45">
      <c r="A749" s="15">
        <v>2026</v>
      </c>
      <c r="B749" s="15">
        <f t="shared" si="81"/>
        <v>8</v>
      </c>
      <c r="C749" s="16" t="s">
        <v>25</v>
      </c>
      <c r="D749" s="17" t="s">
        <v>12</v>
      </c>
      <c r="E749" s="18" t="s">
        <v>17</v>
      </c>
      <c r="F749" s="23">
        <v>0</v>
      </c>
      <c r="H749" s="5" t="e">
        <f ca="1">_xlfn.FORMULATEXT(표1[[#This Row],[Q''ty]])</f>
        <v>#N/A</v>
      </c>
    </row>
    <row r="750" spans="1:8" ht="15" hidden="1" customHeight="1" thickTop="1" x14ac:dyDescent="0.4">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4">
      <c r="A751" s="6">
        <v>2026</v>
      </c>
      <c r="B751" s="6">
        <f t="shared" si="81"/>
        <v>8</v>
      </c>
      <c r="C751" s="13" t="s">
        <v>26</v>
      </c>
      <c r="D751" s="2" t="s">
        <v>6</v>
      </c>
      <c r="E751" s="14" t="s">
        <v>8</v>
      </c>
      <c r="F751" s="22">
        <f t="shared" si="87"/>
        <v>4</v>
      </c>
      <c r="H751" s="5" t="str">
        <f ca="1">_xlfn.FORMULATEXT(표1[[#This Row],[Q''ty]])</f>
        <v>=F652</v>
      </c>
    </row>
    <row r="752" spans="1:8" ht="15" hidden="1" customHeight="1" x14ac:dyDescent="0.4">
      <c r="A752" s="6">
        <v>2026</v>
      </c>
      <c r="B752" s="6">
        <f t="shared" si="81"/>
        <v>8</v>
      </c>
      <c r="C752" s="13" t="s">
        <v>26</v>
      </c>
      <c r="D752" s="2" t="s">
        <v>6</v>
      </c>
      <c r="E752" s="14" t="s">
        <v>9</v>
      </c>
      <c r="F752" s="22">
        <f t="shared" si="87"/>
        <v>2</v>
      </c>
      <c r="H752" s="5" t="str">
        <f ca="1">_xlfn.FORMULATEXT(표1[[#This Row],[Q''ty]])</f>
        <v>=F653</v>
      </c>
    </row>
    <row r="753" spans="1:8" ht="15" hidden="1" customHeight="1" x14ac:dyDescent="0.4">
      <c r="A753" s="6">
        <v>2026</v>
      </c>
      <c r="B753" s="6">
        <f t="shared" si="81"/>
        <v>8</v>
      </c>
      <c r="C753" s="13" t="s">
        <v>26</v>
      </c>
      <c r="D753" s="2" t="s">
        <v>6</v>
      </c>
      <c r="E753" s="14" t="s">
        <v>27</v>
      </c>
      <c r="F753" s="22">
        <f t="shared" si="87"/>
        <v>3</v>
      </c>
      <c r="H753" s="5" t="str">
        <f ca="1">_xlfn.FORMULATEXT(표1[[#This Row],[Q''ty]])</f>
        <v>=F654</v>
      </c>
    </row>
    <row r="754" spans="1:8" ht="15" hidden="1" customHeight="1" x14ac:dyDescent="0.4">
      <c r="A754" s="6">
        <v>2026</v>
      </c>
      <c r="B754" s="6">
        <f t="shared" si="81"/>
        <v>8</v>
      </c>
      <c r="C754" s="13" t="s">
        <v>26</v>
      </c>
      <c r="D754" s="2" t="s">
        <v>6</v>
      </c>
      <c r="E754" s="14" t="s">
        <v>10</v>
      </c>
      <c r="F754" s="22">
        <f t="shared" si="87"/>
        <v>4</v>
      </c>
      <c r="H754" s="5" t="str">
        <f ca="1">_xlfn.FORMULATEXT(표1[[#This Row],[Q''ty]])</f>
        <v>=F655</v>
      </c>
    </row>
    <row r="755" spans="1:8" ht="15" hidden="1" customHeight="1" x14ac:dyDescent="0.4">
      <c r="A755" s="6">
        <v>2026</v>
      </c>
      <c r="B755" s="6">
        <f t="shared" si="81"/>
        <v>8</v>
      </c>
      <c r="C755" s="13" t="s">
        <v>26</v>
      </c>
      <c r="D755" s="2" t="s">
        <v>6</v>
      </c>
      <c r="E755" s="14" t="s">
        <v>11</v>
      </c>
      <c r="F755" s="22">
        <f t="shared" si="87"/>
        <v>6</v>
      </c>
      <c r="H755" s="5" t="str">
        <f ca="1">_xlfn.FORMULATEXT(표1[[#This Row],[Q''ty]])</f>
        <v>=F656</v>
      </c>
    </row>
    <row r="756" spans="1:8" ht="15" hidden="1" customHeight="1" x14ac:dyDescent="0.4">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4">
      <c r="A757" s="6">
        <v>2026</v>
      </c>
      <c r="B757" s="6">
        <f t="shared" si="81"/>
        <v>8</v>
      </c>
      <c r="C757" s="13" t="s">
        <v>26</v>
      </c>
      <c r="D757" s="2" t="s">
        <v>12</v>
      </c>
      <c r="E757" s="14" t="str">
        <f t="shared" si="88"/>
        <v>WT GT</v>
      </c>
      <c r="F757" s="22">
        <v>16</v>
      </c>
      <c r="H757" s="5" t="e">
        <f ca="1">_xlfn.FORMULATEXT(표1[[#This Row],[Q''ty]])</f>
        <v>#N/A</v>
      </c>
    </row>
    <row r="758" spans="1:8" ht="15" hidden="1" customHeight="1" x14ac:dyDescent="0.4">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4">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4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4">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4">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4">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4">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4">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4">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4">
      <c r="A767" s="6">
        <v>2026</v>
      </c>
      <c r="B767" s="6">
        <f t="shared" si="89"/>
        <v>8</v>
      </c>
      <c r="C767" s="13" t="s">
        <v>20</v>
      </c>
      <c r="D767" s="2" t="s">
        <v>12</v>
      </c>
      <c r="E767" s="14" t="str">
        <f t="shared" si="88"/>
        <v>BT GT</v>
      </c>
      <c r="F767" s="22">
        <v>71</v>
      </c>
      <c r="H767" s="5" t="e">
        <f ca="1">_xlfn.FORMULATEXT(표1[[#This Row],[Q''ty]])</f>
        <v>#N/A</v>
      </c>
    </row>
    <row r="768" spans="1:8" ht="15" hidden="1" customHeight="1" x14ac:dyDescent="0.4">
      <c r="A768" s="6">
        <v>2026</v>
      </c>
      <c r="B768" s="6">
        <f t="shared" si="89"/>
        <v>8</v>
      </c>
      <c r="C768" s="13" t="s">
        <v>20</v>
      </c>
      <c r="D768" s="2" t="s">
        <v>12</v>
      </c>
      <c r="E768" s="14" t="str">
        <f t="shared" si="88"/>
        <v>WT GT</v>
      </c>
      <c r="F768" s="22">
        <v>77</v>
      </c>
      <c r="H768" s="5" t="e">
        <f ca="1">_xlfn.FORMULATEXT(표1[[#This Row],[Q''ty]])</f>
        <v>#N/A</v>
      </c>
    </row>
    <row r="769" spans="1:8" ht="15" hidden="1" customHeight="1" x14ac:dyDescent="0.4">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4">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4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4">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4">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4">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4">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4">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4">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4">
      <c r="A778" s="6">
        <v>2026</v>
      </c>
      <c r="B778" s="6">
        <f t="shared" si="89"/>
        <v>8</v>
      </c>
      <c r="C778" s="13" t="s">
        <v>21</v>
      </c>
      <c r="D778" s="2" t="s">
        <v>12</v>
      </c>
      <c r="E778" s="14" t="str">
        <f t="shared" si="88"/>
        <v>BT GT</v>
      </c>
      <c r="F778" s="22">
        <v>10</v>
      </c>
      <c r="H778" s="5" t="e">
        <f ca="1">_xlfn.FORMULATEXT(표1[[#This Row],[Q''ty]])</f>
        <v>#N/A</v>
      </c>
    </row>
    <row r="779" spans="1:8" ht="15" hidden="1" customHeight="1" x14ac:dyDescent="0.4">
      <c r="A779" s="6">
        <v>2026</v>
      </c>
      <c r="B779" s="6">
        <f t="shared" si="89"/>
        <v>8</v>
      </c>
      <c r="C779" s="13" t="s">
        <v>21</v>
      </c>
      <c r="D779" s="2" t="s">
        <v>12</v>
      </c>
      <c r="E779" s="14" t="str">
        <f t="shared" si="88"/>
        <v>WT GT</v>
      </c>
      <c r="F779" s="22">
        <v>12</v>
      </c>
      <c r="H779" s="5" t="e">
        <f ca="1">_xlfn.FORMULATEXT(표1[[#This Row],[Q''ty]])</f>
        <v>#N/A</v>
      </c>
    </row>
    <row r="780" spans="1:8" ht="15" hidden="1" customHeight="1" x14ac:dyDescent="0.4">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4">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4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4">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4">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4">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4">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4">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4">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4">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4">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4">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4">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45">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4">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4">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4">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4">
      <c r="A797" s="6">
        <v>2026</v>
      </c>
      <c r="B797" s="6">
        <f t="shared" si="94"/>
        <v>9</v>
      </c>
      <c r="C797" s="13" t="s">
        <v>23</v>
      </c>
      <c r="D797" s="2" t="s">
        <v>6</v>
      </c>
      <c r="E797" s="14" t="s">
        <v>27</v>
      </c>
      <c r="F797" s="22">
        <f t="shared" si="93"/>
        <v>6</v>
      </c>
      <c r="H797" s="5" t="str">
        <f ca="1">_xlfn.FORMULATEXT(표1[[#This Row],[Q''ty]])</f>
        <v>=F698</v>
      </c>
    </row>
    <row r="798" spans="1:10" ht="15" hidden="1" customHeight="1" x14ac:dyDescent="0.4">
      <c r="A798" s="6">
        <v>2026</v>
      </c>
      <c r="B798" s="6">
        <f t="shared" si="94"/>
        <v>9</v>
      </c>
      <c r="C798" s="13" t="s">
        <v>23</v>
      </c>
      <c r="D798" s="2" t="s">
        <v>6</v>
      </c>
      <c r="E798" s="14" t="s">
        <v>10</v>
      </c>
      <c r="F798" s="22">
        <f t="shared" si="93"/>
        <v>10</v>
      </c>
      <c r="H798" s="5" t="str">
        <f ca="1">_xlfn.FORMULATEXT(표1[[#This Row],[Q''ty]])</f>
        <v>=F699</v>
      </c>
    </row>
    <row r="799" spans="1:10" ht="15" hidden="1" customHeight="1" x14ac:dyDescent="0.4">
      <c r="A799" s="6">
        <v>2026</v>
      </c>
      <c r="B799" s="6">
        <f t="shared" si="94"/>
        <v>9</v>
      </c>
      <c r="C799" s="13" t="s">
        <v>23</v>
      </c>
      <c r="D799" s="2" t="s">
        <v>6</v>
      </c>
      <c r="E799" s="14" t="s">
        <v>11</v>
      </c>
      <c r="F799" s="22">
        <f t="shared" si="93"/>
        <v>10</v>
      </c>
      <c r="H799" s="5" t="str">
        <f ca="1">_xlfn.FORMULATEXT(표1[[#This Row],[Q''ty]])</f>
        <v>=F700</v>
      </c>
    </row>
    <row r="800" spans="1:10" ht="15" hidden="1" customHeight="1" x14ac:dyDescent="0.4">
      <c r="A800" s="6">
        <v>2026</v>
      </c>
      <c r="B800" s="6">
        <f t="shared" si="94"/>
        <v>9</v>
      </c>
      <c r="C800" s="13" t="s">
        <v>23</v>
      </c>
      <c r="D800" s="2" t="s">
        <v>12</v>
      </c>
      <c r="E800" s="14" t="s">
        <v>13</v>
      </c>
      <c r="F800" s="22">
        <v>4</v>
      </c>
      <c r="H800" s="5" t="e">
        <f ca="1">_xlfn.FORMULATEXT(표1[[#This Row],[Q''ty]])</f>
        <v>#N/A</v>
      </c>
    </row>
    <row r="801" spans="1:10" s="2" customFormat="1" ht="15" hidden="1" customHeight="1" x14ac:dyDescent="0.4">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4">
      <c r="A802" s="6">
        <v>2026</v>
      </c>
      <c r="B802" s="6">
        <f t="shared" si="94"/>
        <v>9</v>
      </c>
      <c r="C802" s="13" t="s">
        <v>23</v>
      </c>
      <c r="D802" s="2" t="s">
        <v>12</v>
      </c>
      <c r="E802" s="14" t="s">
        <v>15</v>
      </c>
      <c r="F802" s="22">
        <v>100</v>
      </c>
      <c r="H802" s="5" t="e">
        <f ca="1">_xlfn.FORMULATEXT(표1[[#This Row],[Q''ty]])</f>
        <v>#N/A</v>
      </c>
    </row>
    <row r="803" spans="1:10" ht="15" hidden="1" customHeight="1" x14ac:dyDescent="0.4">
      <c r="A803" s="6">
        <v>2026</v>
      </c>
      <c r="B803" s="6">
        <f t="shared" si="94"/>
        <v>9</v>
      </c>
      <c r="C803" s="13" t="s">
        <v>23</v>
      </c>
      <c r="D803" s="2" t="s">
        <v>12</v>
      </c>
      <c r="E803" s="14" t="s">
        <v>16</v>
      </c>
      <c r="F803" s="22">
        <v>97</v>
      </c>
      <c r="H803" s="5" t="e">
        <f ca="1">_xlfn.FORMULATEXT(표1[[#This Row],[Q''ty]])</f>
        <v>#N/A</v>
      </c>
    </row>
    <row r="804" spans="1:10" ht="15" hidden="1" customHeight="1" thickBot="1" x14ac:dyDescent="0.45">
      <c r="A804" s="15">
        <v>2026</v>
      </c>
      <c r="B804" s="15">
        <f t="shared" si="94"/>
        <v>9</v>
      </c>
      <c r="C804" s="16" t="s">
        <v>23</v>
      </c>
      <c r="D804" s="17" t="s">
        <v>12</v>
      </c>
      <c r="E804" s="18" t="s">
        <v>17</v>
      </c>
      <c r="F804" s="23">
        <v>79</v>
      </c>
      <c r="H804" s="5" t="e">
        <f ca="1">_xlfn.FORMULATEXT(표1[[#This Row],[Q''ty]])</f>
        <v>#N/A</v>
      </c>
    </row>
    <row r="805" spans="1:10" ht="15" hidden="1" customHeight="1" thickTop="1" x14ac:dyDescent="0.4">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4">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4">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4">
      <c r="A808" s="6">
        <v>2026</v>
      </c>
      <c r="B808" s="6">
        <f t="shared" si="94"/>
        <v>9</v>
      </c>
      <c r="C808" s="13" t="s">
        <v>24</v>
      </c>
      <c r="D808" s="2" t="s">
        <v>6</v>
      </c>
      <c r="E808" s="14" t="s">
        <v>27</v>
      </c>
      <c r="F808" s="22">
        <f t="shared" si="95"/>
        <v>3</v>
      </c>
      <c r="H808" s="5" t="str">
        <f ca="1">_xlfn.FORMULATEXT(표1[[#This Row],[Q''ty]])</f>
        <v>=F709</v>
      </c>
    </row>
    <row r="809" spans="1:10" ht="15" hidden="1" customHeight="1" x14ac:dyDescent="0.4">
      <c r="A809" s="6">
        <v>2026</v>
      </c>
      <c r="B809" s="6">
        <f t="shared" si="94"/>
        <v>9</v>
      </c>
      <c r="C809" s="13" t="s">
        <v>24</v>
      </c>
      <c r="D809" s="2" t="s">
        <v>6</v>
      </c>
      <c r="E809" s="14" t="s">
        <v>10</v>
      </c>
      <c r="F809" s="22">
        <f t="shared" si="95"/>
        <v>6</v>
      </c>
      <c r="H809" s="5" t="str">
        <f ca="1">_xlfn.FORMULATEXT(표1[[#This Row],[Q''ty]])</f>
        <v>=F710</v>
      </c>
    </row>
    <row r="810" spans="1:10" ht="15" hidden="1" customHeight="1" x14ac:dyDescent="0.4">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4">
      <c r="A811" s="6">
        <v>2026</v>
      </c>
      <c r="B811" s="6">
        <f t="shared" si="94"/>
        <v>9</v>
      </c>
      <c r="C811" s="13" t="s">
        <v>24</v>
      </c>
      <c r="D811" s="2" t="s">
        <v>12</v>
      </c>
      <c r="E811" s="14" t="s">
        <v>13</v>
      </c>
      <c r="F811" s="22">
        <v>5</v>
      </c>
      <c r="H811" s="5" t="e">
        <f ca="1">_xlfn.FORMULATEXT(표1[[#This Row],[Q''ty]])</f>
        <v>#N/A</v>
      </c>
    </row>
    <row r="812" spans="1:10" s="2" customFormat="1" ht="15" hidden="1" customHeight="1" x14ac:dyDescent="0.4">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4">
      <c r="A813" s="6">
        <v>2026</v>
      </c>
      <c r="B813" s="6">
        <f t="shared" si="94"/>
        <v>9</v>
      </c>
      <c r="C813" s="13" t="s">
        <v>24</v>
      </c>
      <c r="D813" s="2" t="s">
        <v>12</v>
      </c>
      <c r="E813" s="14" t="s">
        <v>15</v>
      </c>
      <c r="F813" s="22">
        <v>41</v>
      </c>
      <c r="H813" s="5" t="e">
        <f ca="1">_xlfn.FORMULATEXT(표1[[#This Row],[Q''ty]])</f>
        <v>#N/A</v>
      </c>
    </row>
    <row r="814" spans="1:10" ht="15" hidden="1" customHeight="1" x14ac:dyDescent="0.4">
      <c r="A814" s="6">
        <v>2026</v>
      </c>
      <c r="B814" s="6">
        <f t="shared" si="94"/>
        <v>9</v>
      </c>
      <c r="C814" s="13" t="s">
        <v>24</v>
      </c>
      <c r="D814" s="2" t="s">
        <v>12</v>
      </c>
      <c r="E814" s="14" t="s">
        <v>16</v>
      </c>
      <c r="F814" s="22">
        <v>42</v>
      </c>
      <c r="H814" s="5" t="e">
        <f ca="1">_xlfn.FORMULATEXT(표1[[#This Row],[Q''ty]])</f>
        <v>#N/A</v>
      </c>
    </row>
    <row r="815" spans="1:10" ht="15" hidden="1" customHeight="1" thickBot="1" x14ac:dyDescent="0.45">
      <c r="A815" s="15">
        <v>2026</v>
      </c>
      <c r="B815" s="15">
        <f t="shared" si="94"/>
        <v>9</v>
      </c>
      <c r="C815" s="16" t="s">
        <v>24</v>
      </c>
      <c r="D815" s="17" t="s">
        <v>12</v>
      </c>
      <c r="E815" s="18" t="s">
        <v>17</v>
      </c>
      <c r="F815" s="23">
        <v>52</v>
      </c>
      <c r="H815" s="5" t="e">
        <f ca="1">_xlfn.FORMULATEXT(표1[[#This Row],[Q''ty]])</f>
        <v>#N/A</v>
      </c>
    </row>
    <row r="816" spans="1:10" ht="15" hidden="1" customHeight="1" thickTop="1" x14ac:dyDescent="0.4">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4">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4">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4">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4">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4">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4">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4">
      <c r="A823" s="6">
        <v>2026</v>
      </c>
      <c r="B823" s="6">
        <f t="shared" si="94"/>
        <v>9</v>
      </c>
      <c r="C823" s="13" t="s">
        <v>18</v>
      </c>
      <c r="D823" s="2" t="s">
        <v>12</v>
      </c>
      <c r="E823" s="14" t="str">
        <f t="shared" si="97"/>
        <v>WT GT</v>
      </c>
      <c r="F823" s="22">
        <v>0</v>
      </c>
      <c r="H823" s="5" t="e">
        <f ca="1">_xlfn.FORMULATEXT(표1[[#This Row],[Q''ty]])</f>
        <v>#N/A</v>
      </c>
    </row>
    <row r="824" spans="1:8" ht="15" hidden="1" customHeight="1" x14ac:dyDescent="0.4">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4">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4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4">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4">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4">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4">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4">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4">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4">
      <c r="A833" s="6">
        <v>2026</v>
      </c>
      <c r="B833" s="6">
        <f t="shared" si="94"/>
        <v>9</v>
      </c>
      <c r="C833" s="13" t="s">
        <v>19</v>
      </c>
      <c r="D833" s="2" t="s">
        <v>12</v>
      </c>
      <c r="E833" s="14" t="str">
        <f t="shared" si="97"/>
        <v>BT GT</v>
      </c>
      <c r="F833" s="22">
        <v>27</v>
      </c>
      <c r="H833" s="5" t="e">
        <f ca="1">_xlfn.FORMULATEXT(표1[[#This Row],[Q''ty]])</f>
        <v>#N/A</v>
      </c>
    </row>
    <row r="834" spans="1:8" ht="15" hidden="1" customHeight="1" x14ac:dyDescent="0.4">
      <c r="A834" s="6">
        <v>2026</v>
      </c>
      <c r="B834" s="6">
        <f t="shared" si="94"/>
        <v>9</v>
      </c>
      <c r="C834" s="13" t="s">
        <v>19</v>
      </c>
      <c r="D834" s="2" t="s">
        <v>12</v>
      </c>
      <c r="E834" s="14" t="str">
        <f t="shared" si="97"/>
        <v>WT GT</v>
      </c>
      <c r="F834" s="22">
        <v>24</v>
      </c>
      <c r="H834" s="5" t="e">
        <f ca="1">_xlfn.FORMULATEXT(표1[[#This Row],[Q''ty]])</f>
        <v>#N/A</v>
      </c>
    </row>
    <row r="835" spans="1:8" ht="15" hidden="1" customHeight="1" x14ac:dyDescent="0.4">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4">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4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4">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4">
      <c r="A839" s="6">
        <v>2026</v>
      </c>
      <c r="B839" s="6">
        <f t="shared" si="94"/>
        <v>9</v>
      </c>
      <c r="C839" s="13" t="s">
        <v>25</v>
      </c>
      <c r="D839" s="2" t="s">
        <v>6</v>
      </c>
      <c r="E839" s="14" t="s">
        <v>8</v>
      </c>
      <c r="F839" s="22">
        <f t="shared" si="99"/>
        <v>3</v>
      </c>
      <c r="H839" s="5" t="str">
        <f ca="1">_xlfn.FORMULATEXT(표1[[#This Row],[Q''ty]])</f>
        <v>=F740</v>
      </c>
    </row>
    <row r="840" spans="1:8" ht="15" hidden="1" customHeight="1" x14ac:dyDescent="0.4">
      <c r="A840" s="6">
        <v>2026</v>
      </c>
      <c r="B840" s="6">
        <f t="shared" si="94"/>
        <v>9</v>
      </c>
      <c r="C840" s="13" t="s">
        <v>25</v>
      </c>
      <c r="D840" s="2" t="s">
        <v>6</v>
      </c>
      <c r="E840" s="14" t="s">
        <v>9</v>
      </c>
      <c r="F840" s="22">
        <f t="shared" si="99"/>
        <v>2</v>
      </c>
      <c r="H840" s="5" t="str">
        <f ca="1">_xlfn.FORMULATEXT(표1[[#This Row],[Q''ty]])</f>
        <v>=F741</v>
      </c>
    </row>
    <row r="841" spans="1:8" ht="15" hidden="1" customHeight="1" x14ac:dyDescent="0.4">
      <c r="A841" s="6">
        <v>2026</v>
      </c>
      <c r="B841" s="6">
        <f t="shared" si="94"/>
        <v>9</v>
      </c>
      <c r="C841" s="13" t="s">
        <v>25</v>
      </c>
      <c r="D841" s="2" t="s">
        <v>6</v>
      </c>
      <c r="E841" s="14" t="s">
        <v>27</v>
      </c>
      <c r="F841" s="22">
        <f t="shared" si="99"/>
        <v>2</v>
      </c>
      <c r="H841" s="5" t="str">
        <f ca="1">_xlfn.FORMULATEXT(표1[[#This Row],[Q''ty]])</f>
        <v>=F742</v>
      </c>
    </row>
    <row r="842" spans="1:8" ht="15" hidden="1" customHeight="1" x14ac:dyDescent="0.4">
      <c r="A842" s="6">
        <v>2026</v>
      </c>
      <c r="B842" s="6">
        <f t="shared" si="94"/>
        <v>9</v>
      </c>
      <c r="C842" s="13" t="s">
        <v>25</v>
      </c>
      <c r="D842" s="2" t="s">
        <v>6</v>
      </c>
      <c r="E842" s="14" t="s">
        <v>10</v>
      </c>
      <c r="F842" s="22">
        <f t="shared" si="99"/>
        <v>3</v>
      </c>
      <c r="H842" s="5" t="str">
        <f ca="1">_xlfn.FORMULATEXT(표1[[#This Row],[Q''ty]])</f>
        <v>=F743</v>
      </c>
    </row>
    <row r="843" spans="1:8" ht="15" hidden="1" customHeight="1" x14ac:dyDescent="0.4">
      <c r="A843" s="6">
        <v>2026</v>
      </c>
      <c r="B843" s="6">
        <f t="shared" si="94"/>
        <v>9</v>
      </c>
      <c r="C843" s="13" t="s">
        <v>25</v>
      </c>
      <c r="D843" s="2" t="s">
        <v>6</v>
      </c>
      <c r="E843" s="14" t="s">
        <v>11</v>
      </c>
      <c r="F843" s="22">
        <f t="shared" si="99"/>
        <v>4</v>
      </c>
      <c r="H843" s="5" t="str">
        <f ca="1">_xlfn.FORMULATEXT(표1[[#This Row],[Q''ty]])</f>
        <v>=F744</v>
      </c>
    </row>
    <row r="844" spans="1:8" ht="15" hidden="1" customHeight="1" x14ac:dyDescent="0.4">
      <c r="A844" s="6">
        <v>2026</v>
      </c>
      <c r="B844" s="6">
        <f t="shared" si="94"/>
        <v>9</v>
      </c>
      <c r="C844" s="13" t="s">
        <v>25</v>
      </c>
      <c r="D844" s="2" t="s">
        <v>12</v>
      </c>
      <c r="E844" s="14" t="s">
        <v>13</v>
      </c>
      <c r="F844" s="22">
        <v>0</v>
      </c>
      <c r="H844" s="5" t="e">
        <f ca="1">_xlfn.FORMULATEXT(표1[[#This Row],[Q''ty]])</f>
        <v>#N/A</v>
      </c>
    </row>
    <row r="845" spans="1:8" ht="15" hidden="1" customHeight="1" x14ac:dyDescent="0.4">
      <c r="A845" s="6">
        <v>2026</v>
      </c>
      <c r="B845" s="6">
        <f t="shared" si="94"/>
        <v>9</v>
      </c>
      <c r="C845" s="13" t="s">
        <v>25</v>
      </c>
      <c r="D845" s="2" t="s">
        <v>12</v>
      </c>
      <c r="E845" s="14" t="s">
        <v>14</v>
      </c>
      <c r="F845" s="22">
        <v>0</v>
      </c>
      <c r="H845" s="5" t="e">
        <f ca="1">_xlfn.FORMULATEXT(표1[[#This Row],[Q''ty]])</f>
        <v>#N/A</v>
      </c>
    </row>
    <row r="846" spans="1:8" ht="15" hidden="1" customHeight="1" x14ac:dyDescent="0.4">
      <c r="A846" s="6">
        <v>2026</v>
      </c>
      <c r="B846" s="6">
        <f t="shared" si="94"/>
        <v>9</v>
      </c>
      <c r="C846" s="13" t="s">
        <v>25</v>
      </c>
      <c r="D846" s="2" t="s">
        <v>12</v>
      </c>
      <c r="E846" s="14" t="s">
        <v>15</v>
      </c>
      <c r="F846" s="22">
        <v>0</v>
      </c>
      <c r="H846" s="5" t="e">
        <f ca="1">_xlfn.FORMULATEXT(표1[[#This Row],[Q''ty]])</f>
        <v>#N/A</v>
      </c>
    </row>
    <row r="847" spans="1:8" ht="15" hidden="1" customHeight="1" x14ac:dyDescent="0.4">
      <c r="A847" s="6">
        <v>2026</v>
      </c>
      <c r="B847" s="6">
        <f t="shared" si="94"/>
        <v>9</v>
      </c>
      <c r="C847" s="13" t="s">
        <v>25</v>
      </c>
      <c r="D847" s="2" t="s">
        <v>12</v>
      </c>
      <c r="E847" s="14" t="s">
        <v>16</v>
      </c>
      <c r="F847" s="22">
        <v>0</v>
      </c>
      <c r="H847" s="5" t="e">
        <f ca="1">_xlfn.FORMULATEXT(표1[[#This Row],[Q''ty]])</f>
        <v>#N/A</v>
      </c>
    </row>
    <row r="848" spans="1:8" ht="15" hidden="1" customHeight="1" thickBot="1" x14ac:dyDescent="0.45">
      <c r="A848" s="15">
        <v>2026</v>
      </c>
      <c r="B848" s="15">
        <f t="shared" si="94"/>
        <v>9</v>
      </c>
      <c r="C848" s="16" t="s">
        <v>25</v>
      </c>
      <c r="D848" s="17" t="s">
        <v>12</v>
      </c>
      <c r="E848" s="18" t="s">
        <v>17</v>
      </c>
      <c r="F848" s="23">
        <v>0</v>
      </c>
      <c r="H848" s="5" t="e">
        <f ca="1">_xlfn.FORMULATEXT(표1[[#This Row],[Q''ty]])</f>
        <v>#N/A</v>
      </c>
    </row>
    <row r="849" spans="1:8" ht="15" hidden="1" customHeight="1" thickTop="1" x14ac:dyDescent="0.4">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4">
      <c r="A850" s="6">
        <v>2026</v>
      </c>
      <c r="B850" s="6">
        <f t="shared" si="94"/>
        <v>9</v>
      </c>
      <c r="C850" s="13" t="s">
        <v>26</v>
      </c>
      <c r="D850" s="2" t="s">
        <v>6</v>
      </c>
      <c r="E850" s="14" t="s">
        <v>8</v>
      </c>
      <c r="F850" s="22">
        <f t="shared" si="100"/>
        <v>4</v>
      </c>
      <c r="H850" s="5" t="str">
        <f ca="1">_xlfn.FORMULATEXT(표1[[#This Row],[Q''ty]])</f>
        <v>=F751</v>
      </c>
    </row>
    <row r="851" spans="1:8" ht="15" hidden="1" customHeight="1" x14ac:dyDescent="0.4">
      <c r="A851" s="6">
        <v>2026</v>
      </c>
      <c r="B851" s="6">
        <f t="shared" si="94"/>
        <v>9</v>
      </c>
      <c r="C851" s="13" t="s">
        <v>26</v>
      </c>
      <c r="D851" s="2" t="s">
        <v>6</v>
      </c>
      <c r="E851" s="14" t="s">
        <v>9</v>
      </c>
      <c r="F851" s="22">
        <f t="shared" si="100"/>
        <v>2</v>
      </c>
      <c r="H851" s="5" t="str">
        <f ca="1">_xlfn.FORMULATEXT(표1[[#This Row],[Q''ty]])</f>
        <v>=F752</v>
      </c>
    </row>
    <row r="852" spans="1:8" ht="15" hidden="1" customHeight="1" x14ac:dyDescent="0.4">
      <c r="A852" s="6">
        <v>2026</v>
      </c>
      <c r="B852" s="6">
        <f t="shared" si="94"/>
        <v>9</v>
      </c>
      <c r="C852" s="13" t="s">
        <v>26</v>
      </c>
      <c r="D852" s="2" t="s">
        <v>6</v>
      </c>
      <c r="E852" s="14" t="s">
        <v>27</v>
      </c>
      <c r="F852" s="22">
        <f t="shared" si="100"/>
        <v>3</v>
      </c>
      <c r="H852" s="5" t="str">
        <f ca="1">_xlfn.FORMULATEXT(표1[[#This Row],[Q''ty]])</f>
        <v>=F753</v>
      </c>
    </row>
    <row r="853" spans="1:8" ht="15" hidden="1" customHeight="1" x14ac:dyDescent="0.4">
      <c r="A853" s="6">
        <v>2026</v>
      </c>
      <c r="B853" s="6">
        <f t="shared" si="94"/>
        <v>9</v>
      </c>
      <c r="C853" s="13" t="s">
        <v>26</v>
      </c>
      <c r="D853" s="2" t="s">
        <v>6</v>
      </c>
      <c r="E853" s="14" t="s">
        <v>10</v>
      </c>
      <c r="F853" s="22">
        <f t="shared" si="100"/>
        <v>4</v>
      </c>
      <c r="H853" s="5" t="str">
        <f ca="1">_xlfn.FORMULATEXT(표1[[#This Row],[Q''ty]])</f>
        <v>=F754</v>
      </c>
    </row>
    <row r="854" spans="1:8" ht="15" hidden="1" customHeight="1" x14ac:dyDescent="0.4">
      <c r="A854" s="6">
        <v>2026</v>
      </c>
      <c r="B854" s="6">
        <f t="shared" si="94"/>
        <v>9</v>
      </c>
      <c r="C854" s="13" t="s">
        <v>26</v>
      </c>
      <c r="D854" s="2" t="s">
        <v>6</v>
      </c>
      <c r="E854" s="14" t="s">
        <v>11</v>
      </c>
      <c r="F854" s="22">
        <f t="shared" si="100"/>
        <v>6</v>
      </c>
      <c r="H854" s="5" t="str">
        <f ca="1">_xlfn.FORMULATEXT(표1[[#This Row],[Q''ty]])</f>
        <v>=F755</v>
      </c>
    </row>
    <row r="855" spans="1:8" ht="15" hidden="1" customHeight="1" x14ac:dyDescent="0.4">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4">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4">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4">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4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4">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4">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4">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4">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4">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4">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4">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4">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4">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4">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4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4">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4">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4">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4">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4">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4">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4">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4">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4">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4">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4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4">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4">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4">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4">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4">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4">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4">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4">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4">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4">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45">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4">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4">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4">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4">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4">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4">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4">
      <c r="A899" s="6">
        <v>2026</v>
      </c>
      <c r="B899" s="6">
        <f t="shared" si="107"/>
        <v>10</v>
      </c>
      <c r="C899" s="13" t="s">
        <v>23</v>
      </c>
      <c r="D899" s="2" t="s">
        <v>12</v>
      </c>
      <c r="E899" s="14" t="s">
        <v>13</v>
      </c>
      <c r="F899" s="22">
        <v>5</v>
      </c>
      <c r="H899" s="5" t="e">
        <f ca="1">_xlfn.FORMULATEXT(표1[[#This Row],[Q''ty]])</f>
        <v>#N/A</v>
      </c>
    </row>
    <row r="900" spans="1:10" s="2" customFormat="1" ht="15" hidden="1" customHeight="1" x14ac:dyDescent="0.4">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4">
      <c r="A901" s="6">
        <v>2026</v>
      </c>
      <c r="B901" s="6">
        <f t="shared" si="107"/>
        <v>10</v>
      </c>
      <c r="C901" s="13" t="s">
        <v>23</v>
      </c>
      <c r="D901" s="2" t="s">
        <v>12</v>
      </c>
      <c r="E901" s="14" t="s">
        <v>15</v>
      </c>
      <c r="F901" s="22">
        <v>165</v>
      </c>
      <c r="H901" s="5" t="e">
        <f ca="1">_xlfn.FORMULATEXT(표1[[#This Row],[Q''ty]])</f>
        <v>#N/A</v>
      </c>
    </row>
    <row r="902" spans="1:10" ht="15" hidden="1" customHeight="1" x14ac:dyDescent="0.4">
      <c r="A902" s="6">
        <v>2026</v>
      </c>
      <c r="B902" s="6">
        <f t="shared" si="107"/>
        <v>10</v>
      </c>
      <c r="C902" s="13" t="s">
        <v>23</v>
      </c>
      <c r="D902" s="2" t="s">
        <v>12</v>
      </c>
      <c r="E902" s="14" t="s">
        <v>16</v>
      </c>
      <c r="F902" s="22">
        <v>164</v>
      </c>
      <c r="H902" s="5" t="e">
        <f ca="1">_xlfn.FORMULATEXT(표1[[#This Row],[Q''ty]])</f>
        <v>#N/A</v>
      </c>
    </row>
    <row r="903" spans="1:10" ht="15" hidden="1" customHeight="1" thickBot="1" x14ac:dyDescent="0.45">
      <c r="A903" s="15">
        <v>2026</v>
      </c>
      <c r="B903" s="15">
        <f t="shared" si="107"/>
        <v>10</v>
      </c>
      <c r="C903" s="16" t="s">
        <v>23</v>
      </c>
      <c r="D903" s="17" t="s">
        <v>12</v>
      </c>
      <c r="E903" s="18" t="s">
        <v>17</v>
      </c>
      <c r="F903" s="23">
        <v>128</v>
      </c>
      <c r="H903" s="5" t="e">
        <f ca="1">_xlfn.FORMULATEXT(표1[[#This Row],[Q''ty]])</f>
        <v>#N/A</v>
      </c>
    </row>
    <row r="904" spans="1:10" ht="15" hidden="1" customHeight="1" thickTop="1" x14ac:dyDescent="0.4">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4">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4">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4">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4">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4">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4">
      <c r="A910" s="6">
        <v>2026</v>
      </c>
      <c r="B910" s="6">
        <f t="shared" si="107"/>
        <v>10</v>
      </c>
      <c r="C910" s="13" t="s">
        <v>24</v>
      </c>
      <c r="D910" s="2" t="s">
        <v>12</v>
      </c>
      <c r="E910" s="14" t="s">
        <v>13</v>
      </c>
      <c r="F910" s="22">
        <v>7</v>
      </c>
      <c r="H910" s="5" t="e">
        <f ca="1">_xlfn.FORMULATEXT(표1[[#This Row],[Q''ty]])</f>
        <v>#N/A</v>
      </c>
    </row>
    <row r="911" spans="1:10" s="2" customFormat="1" ht="15" hidden="1" customHeight="1" x14ac:dyDescent="0.4">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4">
      <c r="A912" s="6">
        <v>2026</v>
      </c>
      <c r="B912" s="6">
        <f t="shared" si="107"/>
        <v>10</v>
      </c>
      <c r="C912" s="13" t="s">
        <v>24</v>
      </c>
      <c r="D912" s="2" t="s">
        <v>12</v>
      </c>
      <c r="E912" s="14" t="s">
        <v>15</v>
      </c>
      <c r="F912" s="22">
        <v>94</v>
      </c>
      <c r="H912" s="5" t="e">
        <f ca="1">_xlfn.FORMULATEXT(표1[[#This Row],[Q''ty]])</f>
        <v>#N/A</v>
      </c>
    </row>
    <row r="913" spans="1:8" ht="15" hidden="1" customHeight="1" x14ac:dyDescent="0.4">
      <c r="A913" s="6">
        <v>2026</v>
      </c>
      <c r="B913" s="6">
        <f t="shared" si="107"/>
        <v>10</v>
      </c>
      <c r="C913" s="13" t="s">
        <v>24</v>
      </c>
      <c r="D913" s="2" t="s">
        <v>12</v>
      </c>
      <c r="E913" s="14" t="s">
        <v>16</v>
      </c>
      <c r="F913" s="22">
        <v>92</v>
      </c>
      <c r="H913" s="5" t="e">
        <f ca="1">_xlfn.FORMULATEXT(표1[[#This Row],[Q''ty]])</f>
        <v>#N/A</v>
      </c>
    </row>
    <row r="914" spans="1:8" ht="15" hidden="1" customHeight="1" thickBot="1" x14ac:dyDescent="0.45">
      <c r="A914" s="15">
        <v>2026</v>
      </c>
      <c r="B914" s="15">
        <f t="shared" si="107"/>
        <v>10</v>
      </c>
      <c r="C914" s="16" t="s">
        <v>24</v>
      </c>
      <c r="D914" s="17" t="s">
        <v>12</v>
      </c>
      <c r="E914" s="18" t="s">
        <v>17</v>
      </c>
      <c r="F914" s="23">
        <v>106</v>
      </c>
      <c r="H914" s="5" t="e">
        <f ca="1">_xlfn.FORMULATEXT(표1[[#This Row],[Q''ty]])</f>
        <v>#N/A</v>
      </c>
    </row>
    <row r="915" spans="1:8" ht="15" hidden="1" customHeight="1" thickTop="1" x14ac:dyDescent="0.4">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4">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4">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4">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4">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4">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4">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4">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4">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4">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4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4">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4">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4">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4">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4">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4">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4">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4">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4">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4">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4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4">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4">
      <c r="A938" s="6">
        <v>2026</v>
      </c>
      <c r="B938" s="6">
        <f t="shared" si="107"/>
        <v>10</v>
      </c>
      <c r="C938" s="13" t="s">
        <v>25</v>
      </c>
      <c r="D938" s="2" t="s">
        <v>6</v>
      </c>
      <c r="E938" s="14" t="s">
        <v>8</v>
      </c>
      <c r="F938" s="22">
        <f t="shared" si="112"/>
        <v>3</v>
      </c>
      <c r="H938" s="5" t="str">
        <f ca="1">_xlfn.FORMULATEXT(표1[[#This Row],[Q''ty]])</f>
        <v>=F839</v>
      </c>
    </row>
    <row r="939" spans="1:10" ht="15" hidden="1" customHeight="1" x14ac:dyDescent="0.4">
      <c r="A939" s="6">
        <v>2026</v>
      </c>
      <c r="B939" s="6">
        <f t="shared" si="107"/>
        <v>10</v>
      </c>
      <c r="C939" s="13" t="s">
        <v>25</v>
      </c>
      <c r="D939" s="2" t="s">
        <v>6</v>
      </c>
      <c r="E939" s="14" t="s">
        <v>9</v>
      </c>
      <c r="F939" s="22">
        <f t="shared" si="112"/>
        <v>2</v>
      </c>
      <c r="H939" s="5" t="str">
        <f ca="1">_xlfn.FORMULATEXT(표1[[#This Row],[Q''ty]])</f>
        <v>=F840</v>
      </c>
    </row>
    <row r="940" spans="1:10" ht="15" hidden="1" customHeight="1" x14ac:dyDescent="0.4">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4">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4">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4">
      <c r="A943" s="6">
        <v>2026</v>
      </c>
      <c r="B943" s="6">
        <f t="shared" si="107"/>
        <v>10</v>
      </c>
      <c r="C943" s="13" t="s">
        <v>25</v>
      </c>
      <c r="D943" s="2" t="s">
        <v>12</v>
      </c>
      <c r="E943" s="14" t="s">
        <v>13</v>
      </c>
      <c r="F943" s="22">
        <v>0</v>
      </c>
      <c r="H943" s="5" t="e">
        <f ca="1">_xlfn.FORMULATEXT(표1[[#This Row],[Q''ty]])</f>
        <v>#N/A</v>
      </c>
    </row>
    <row r="944" spans="1:10" ht="15" hidden="1" customHeight="1" x14ac:dyDescent="0.4">
      <c r="A944" s="6">
        <v>2026</v>
      </c>
      <c r="B944" s="6">
        <f t="shared" si="107"/>
        <v>10</v>
      </c>
      <c r="C944" s="13" t="s">
        <v>25</v>
      </c>
      <c r="D944" s="2" t="s">
        <v>12</v>
      </c>
      <c r="E944" s="14" t="s">
        <v>14</v>
      </c>
      <c r="F944" s="22">
        <v>0</v>
      </c>
      <c r="H944" s="5" t="e">
        <f ca="1">_xlfn.FORMULATEXT(표1[[#This Row],[Q''ty]])</f>
        <v>#N/A</v>
      </c>
    </row>
    <row r="945" spans="1:8" ht="15" hidden="1" customHeight="1" x14ac:dyDescent="0.4">
      <c r="A945" s="6">
        <v>2026</v>
      </c>
      <c r="B945" s="6">
        <f t="shared" si="107"/>
        <v>10</v>
      </c>
      <c r="C945" s="13" t="s">
        <v>25</v>
      </c>
      <c r="D945" s="2" t="s">
        <v>12</v>
      </c>
      <c r="E945" s="14" t="s">
        <v>15</v>
      </c>
      <c r="F945" s="22">
        <v>0</v>
      </c>
      <c r="H945" s="5" t="e">
        <f ca="1">_xlfn.FORMULATEXT(표1[[#This Row],[Q''ty]])</f>
        <v>#N/A</v>
      </c>
    </row>
    <row r="946" spans="1:8" ht="15" hidden="1" customHeight="1" x14ac:dyDescent="0.4">
      <c r="A946" s="6">
        <v>2026</v>
      </c>
      <c r="B946" s="6">
        <f t="shared" si="107"/>
        <v>10</v>
      </c>
      <c r="C946" s="13" t="s">
        <v>25</v>
      </c>
      <c r="D946" s="2" t="s">
        <v>12</v>
      </c>
      <c r="E946" s="14" t="s">
        <v>16</v>
      </c>
      <c r="F946" s="22">
        <v>0</v>
      </c>
      <c r="H946" s="5" t="e">
        <f ca="1">_xlfn.FORMULATEXT(표1[[#This Row],[Q''ty]])</f>
        <v>#N/A</v>
      </c>
    </row>
    <row r="947" spans="1:8" ht="15" hidden="1" customHeight="1" thickBot="1" x14ac:dyDescent="0.45">
      <c r="A947" s="15">
        <v>2026</v>
      </c>
      <c r="B947" s="15">
        <f t="shared" si="107"/>
        <v>10</v>
      </c>
      <c r="C947" s="16" t="s">
        <v>25</v>
      </c>
      <c r="D947" s="17" t="s">
        <v>12</v>
      </c>
      <c r="E947" s="18" t="s">
        <v>17</v>
      </c>
      <c r="F947" s="23">
        <v>0</v>
      </c>
      <c r="H947" s="5" t="e">
        <f ca="1">_xlfn.FORMULATEXT(표1[[#This Row],[Q''ty]])</f>
        <v>#N/A</v>
      </c>
    </row>
    <row r="948" spans="1:8" ht="15" hidden="1" customHeight="1" thickTop="1" x14ac:dyDescent="0.4">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4">
      <c r="A949" s="6">
        <v>2026</v>
      </c>
      <c r="B949" s="6">
        <f t="shared" si="107"/>
        <v>10</v>
      </c>
      <c r="C949" s="13" t="s">
        <v>26</v>
      </c>
      <c r="D949" s="2" t="s">
        <v>6</v>
      </c>
      <c r="E949" s="14" t="s">
        <v>8</v>
      </c>
      <c r="F949" s="22">
        <f t="shared" si="113"/>
        <v>4</v>
      </c>
      <c r="H949" s="5" t="str">
        <f ca="1">_xlfn.FORMULATEXT(표1[[#This Row],[Q''ty]])</f>
        <v>=F850</v>
      </c>
    </row>
    <row r="950" spans="1:8" ht="15" hidden="1" customHeight="1" x14ac:dyDescent="0.4">
      <c r="A950" s="6">
        <v>2026</v>
      </c>
      <c r="B950" s="6">
        <f t="shared" si="107"/>
        <v>10</v>
      </c>
      <c r="C950" s="13" t="s">
        <v>26</v>
      </c>
      <c r="D950" s="2" t="s">
        <v>6</v>
      </c>
      <c r="E950" s="14" t="s">
        <v>9</v>
      </c>
      <c r="F950" s="22">
        <f t="shared" si="113"/>
        <v>2</v>
      </c>
      <c r="H950" s="5" t="str">
        <f ca="1">_xlfn.FORMULATEXT(표1[[#This Row],[Q''ty]])</f>
        <v>=F851</v>
      </c>
    </row>
    <row r="951" spans="1:8" ht="15" hidden="1" customHeight="1" x14ac:dyDescent="0.4">
      <c r="A951" s="6">
        <v>2026</v>
      </c>
      <c r="B951" s="6">
        <f t="shared" si="107"/>
        <v>10</v>
      </c>
      <c r="C951" s="13" t="s">
        <v>26</v>
      </c>
      <c r="D951" s="2" t="s">
        <v>6</v>
      </c>
      <c r="E951" s="14" t="s">
        <v>27</v>
      </c>
      <c r="F951" s="22">
        <f t="shared" si="113"/>
        <v>3</v>
      </c>
      <c r="H951" s="5" t="str">
        <f ca="1">_xlfn.FORMULATEXT(표1[[#This Row],[Q''ty]])</f>
        <v>=F852</v>
      </c>
    </row>
    <row r="952" spans="1:8" ht="15" hidden="1" customHeight="1" x14ac:dyDescent="0.4">
      <c r="A952" s="6">
        <v>2026</v>
      </c>
      <c r="B952" s="6">
        <f t="shared" si="107"/>
        <v>10</v>
      </c>
      <c r="C952" s="13" t="s">
        <v>26</v>
      </c>
      <c r="D952" s="2" t="s">
        <v>6</v>
      </c>
      <c r="E952" s="14" t="s">
        <v>10</v>
      </c>
      <c r="F952" s="22">
        <f t="shared" si="113"/>
        <v>4</v>
      </c>
      <c r="H952" s="5" t="str">
        <f ca="1">_xlfn.FORMULATEXT(표1[[#This Row],[Q''ty]])</f>
        <v>=F853</v>
      </c>
    </row>
    <row r="953" spans="1:8" ht="15" hidden="1" customHeight="1" x14ac:dyDescent="0.4">
      <c r="A953" s="6">
        <v>2026</v>
      </c>
      <c r="B953" s="6">
        <f t="shared" si="107"/>
        <v>10</v>
      </c>
      <c r="C953" s="13" t="s">
        <v>26</v>
      </c>
      <c r="D953" s="2" t="s">
        <v>6</v>
      </c>
      <c r="E953" s="14" t="s">
        <v>11</v>
      </c>
      <c r="F953" s="22">
        <f t="shared" si="113"/>
        <v>6</v>
      </c>
      <c r="H953" s="5" t="str">
        <f ca="1">_xlfn.FORMULATEXT(표1[[#This Row],[Q''ty]])</f>
        <v>=F854</v>
      </c>
    </row>
    <row r="954" spans="1:8" ht="15" hidden="1" customHeight="1" x14ac:dyDescent="0.4">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4">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4">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4">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4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4">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4">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4">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4">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4">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4">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4">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4">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4">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4">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4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4">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4">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4">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4">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4">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4">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4">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4">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4">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4">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4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4">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4">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4">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4">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4">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4">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4">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4">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4">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4">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45">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4">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4">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4">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4">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4">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4">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4">
      <c r="A998" s="6">
        <v>2026</v>
      </c>
      <c r="B998" s="6">
        <f t="shared" si="120"/>
        <v>11</v>
      </c>
      <c r="C998" s="13" t="s">
        <v>23</v>
      </c>
      <c r="D998" s="2" t="s">
        <v>12</v>
      </c>
      <c r="E998" s="14" t="s">
        <v>13</v>
      </c>
      <c r="F998" s="22">
        <v>9</v>
      </c>
      <c r="H998" s="5" t="e">
        <f ca="1">_xlfn.FORMULATEXT(표1[[#This Row],[Q''ty]])</f>
        <v>#N/A</v>
      </c>
    </row>
    <row r="999" spans="1:10" s="2" customFormat="1" ht="15" hidden="1" customHeight="1" x14ac:dyDescent="0.4">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4">
      <c r="A1000" s="6">
        <v>2026</v>
      </c>
      <c r="B1000" s="6">
        <f t="shared" si="120"/>
        <v>11</v>
      </c>
      <c r="C1000" s="13" t="s">
        <v>23</v>
      </c>
      <c r="D1000" s="2" t="s">
        <v>12</v>
      </c>
      <c r="E1000" s="14" t="s">
        <v>15</v>
      </c>
      <c r="F1000" s="22">
        <v>204</v>
      </c>
      <c r="H1000" s="5" t="e">
        <f ca="1">_xlfn.FORMULATEXT(표1[[#This Row],[Q''ty]])</f>
        <v>#N/A</v>
      </c>
    </row>
    <row r="1001" spans="1:10" ht="15" hidden="1" customHeight="1" x14ac:dyDescent="0.4">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4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4">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4">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4">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4">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4">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4">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4">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4">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4">
      <c r="A1011" s="6">
        <v>2026</v>
      </c>
      <c r="B1011" s="6">
        <f t="shared" si="120"/>
        <v>11</v>
      </c>
      <c r="C1011" s="13" t="s">
        <v>24</v>
      </c>
      <c r="D1011" s="2" t="s">
        <v>12</v>
      </c>
      <c r="E1011" s="14" t="s">
        <v>15</v>
      </c>
      <c r="F1011" s="22">
        <v>123</v>
      </c>
      <c r="H1011" s="5" t="e">
        <f ca="1">_xlfn.FORMULATEXT(표1[[#This Row],[Q''ty]])</f>
        <v>#N/A</v>
      </c>
    </row>
    <row r="1012" spans="1:10" ht="15" hidden="1" customHeight="1" x14ac:dyDescent="0.4">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4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4">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4">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4">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4">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4">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4">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4">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4">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4">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4">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4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4">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4">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4">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4">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4">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4">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4">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4">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4">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4">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4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4">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4">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4">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4">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4">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4">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4">
      <c r="A1042" s="6">
        <v>2026</v>
      </c>
      <c r="B1042" s="6">
        <f t="shared" si="120"/>
        <v>11</v>
      </c>
      <c r="C1042" s="13" t="s">
        <v>25</v>
      </c>
      <c r="D1042" s="2" t="s">
        <v>12</v>
      </c>
      <c r="E1042" s="14" t="s">
        <v>13</v>
      </c>
      <c r="F1042" s="22">
        <v>0</v>
      </c>
      <c r="H1042" s="5" t="e">
        <f ca="1">_xlfn.FORMULATEXT(표1[[#This Row],[Q''ty]])</f>
        <v>#N/A</v>
      </c>
    </row>
    <row r="1043" spans="1:8" ht="15" hidden="1" customHeight="1" x14ac:dyDescent="0.4">
      <c r="A1043" s="6">
        <v>2026</v>
      </c>
      <c r="B1043" s="6">
        <f t="shared" si="120"/>
        <v>11</v>
      </c>
      <c r="C1043" s="13" t="s">
        <v>25</v>
      </c>
      <c r="D1043" s="2" t="s">
        <v>12</v>
      </c>
      <c r="E1043" s="14" t="s">
        <v>14</v>
      </c>
      <c r="F1043" s="22">
        <v>0</v>
      </c>
      <c r="H1043" s="5" t="e">
        <f ca="1">_xlfn.FORMULATEXT(표1[[#This Row],[Q''ty]])</f>
        <v>#N/A</v>
      </c>
    </row>
    <row r="1044" spans="1:8" ht="15" hidden="1" customHeight="1" x14ac:dyDescent="0.4">
      <c r="A1044" s="6">
        <v>2026</v>
      </c>
      <c r="B1044" s="6">
        <f t="shared" si="120"/>
        <v>11</v>
      </c>
      <c r="C1044" s="13" t="s">
        <v>25</v>
      </c>
      <c r="D1044" s="2" t="s">
        <v>12</v>
      </c>
      <c r="E1044" s="14" t="s">
        <v>15</v>
      </c>
      <c r="F1044" s="22">
        <v>0</v>
      </c>
      <c r="H1044" s="5" t="e">
        <f ca="1">_xlfn.FORMULATEXT(표1[[#This Row],[Q''ty]])</f>
        <v>#N/A</v>
      </c>
    </row>
    <row r="1045" spans="1:8" ht="15" hidden="1" customHeight="1" x14ac:dyDescent="0.4">
      <c r="A1045" s="6">
        <v>2026</v>
      </c>
      <c r="B1045" s="6">
        <f t="shared" si="120"/>
        <v>11</v>
      </c>
      <c r="C1045" s="13" t="s">
        <v>25</v>
      </c>
      <c r="D1045" s="2" t="s">
        <v>12</v>
      </c>
      <c r="E1045" s="14" t="s">
        <v>16</v>
      </c>
      <c r="F1045" s="22">
        <v>0</v>
      </c>
      <c r="H1045" s="5" t="e">
        <f ca="1">_xlfn.FORMULATEXT(표1[[#This Row],[Q''ty]])</f>
        <v>#N/A</v>
      </c>
    </row>
    <row r="1046" spans="1:8" ht="15" hidden="1" customHeight="1" thickBot="1" x14ac:dyDescent="0.4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4">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4">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4">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4">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4">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4">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4">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4">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4">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4">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4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4">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4">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4">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4">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4">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4">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4">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4">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4">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4">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4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4">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4">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4">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4">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4">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4">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4">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4">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4">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4">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4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4">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4">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4">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4">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4">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4">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4">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4">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4">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4">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45">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4">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4">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4">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4">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4">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4">
      <c r="A1096" s="6">
        <v>2026</v>
      </c>
      <c r="B1096" s="6">
        <f t="shared" si="133"/>
        <v>12</v>
      </c>
      <c r="C1096" s="13" t="s">
        <v>23</v>
      </c>
      <c r="D1096" s="2" t="s">
        <v>6</v>
      </c>
      <c r="E1096" s="14" t="s">
        <v>11</v>
      </c>
      <c r="F1096" s="22">
        <f t="shared" si="132"/>
        <v>10</v>
      </c>
      <c r="H1096" s="5" t="str">
        <f ca="1">_xlfn.FORMULATEXT(표1[[#This Row],[Q''ty]])</f>
        <v>=F997</v>
      </c>
    </row>
    <row r="1097" spans="1:10" ht="15" hidden="1" customHeight="1" x14ac:dyDescent="0.4">
      <c r="A1097" s="6">
        <v>2026</v>
      </c>
      <c r="B1097" s="6">
        <f t="shared" si="133"/>
        <v>12</v>
      </c>
      <c r="C1097" s="13" t="s">
        <v>23</v>
      </c>
      <c r="D1097" s="2" t="s">
        <v>12</v>
      </c>
      <c r="E1097" s="14" t="s">
        <v>13</v>
      </c>
      <c r="F1097" s="22">
        <v>16</v>
      </c>
      <c r="H1097" s="5" t="e">
        <f ca="1">_xlfn.FORMULATEXT(표1[[#This Row],[Q''ty]])</f>
        <v>#N/A</v>
      </c>
    </row>
    <row r="1098" spans="1:10" s="2" customFormat="1" ht="15" hidden="1" customHeight="1" x14ac:dyDescent="0.4">
      <c r="A1098" s="6">
        <v>2026</v>
      </c>
      <c r="B1098" s="6">
        <f t="shared" si="133"/>
        <v>12</v>
      </c>
      <c r="C1098" s="13" t="s">
        <v>23</v>
      </c>
      <c r="D1098" s="2" t="s">
        <v>12</v>
      </c>
      <c r="E1098" s="14" t="s">
        <v>14</v>
      </c>
      <c r="F1098" s="22">
        <v>10</v>
      </c>
      <c r="H1098" s="5" t="e">
        <f ca="1">_xlfn.FORMULATEXT(표1[[#This Row],[Q''ty]])</f>
        <v>#N/A</v>
      </c>
      <c r="I1098" s="26"/>
      <c r="J1098" s="26"/>
    </row>
    <row r="1099" spans="1:10" ht="15" hidden="1" customHeight="1" x14ac:dyDescent="0.4">
      <c r="A1099" s="6">
        <v>2026</v>
      </c>
      <c r="B1099" s="6">
        <f t="shared" si="133"/>
        <v>12</v>
      </c>
      <c r="C1099" s="13" t="s">
        <v>23</v>
      </c>
      <c r="D1099" s="2" t="s">
        <v>12</v>
      </c>
      <c r="E1099" s="14" t="s">
        <v>15</v>
      </c>
      <c r="F1099" s="22">
        <v>204</v>
      </c>
      <c r="H1099" s="5" t="e">
        <f ca="1">_xlfn.FORMULATEXT(표1[[#This Row],[Q''ty]])</f>
        <v>#N/A</v>
      </c>
    </row>
    <row r="1100" spans="1:10" ht="15" hidden="1" customHeight="1" x14ac:dyDescent="0.4">
      <c r="A1100" s="6">
        <v>2026</v>
      </c>
      <c r="B1100" s="6">
        <f t="shared" si="133"/>
        <v>12</v>
      </c>
      <c r="C1100" s="13" t="s">
        <v>23</v>
      </c>
      <c r="D1100" s="2" t="s">
        <v>12</v>
      </c>
      <c r="E1100" s="14" t="s">
        <v>16</v>
      </c>
      <c r="F1100" s="22">
        <v>200</v>
      </c>
      <c r="H1100" s="5" t="e">
        <f ca="1">_xlfn.FORMULATEXT(표1[[#This Row],[Q''ty]])</f>
        <v>#N/A</v>
      </c>
    </row>
    <row r="1101" spans="1:10" ht="15" hidden="1" customHeight="1" thickBot="1" x14ac:dyDescent="0.4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4">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4">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4">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4">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4">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4">
      <c r="A1107" s="6">
        <v>2026</v>
      </c>
      <c r="B1107" s="6">
        <f t="shared" si="133"/>
        <v>12</v>
      </c>
      <c r="C1107" s="13" t="s">
        <v>24</v>
      </c>
      <c r="D1107" s="2" t="s">
        <v>6</v>
      </c>
      <c r="E1107" s="14" t="s">
        <v>11</v>
      </c>
      <c r="F1107" s="22">
        <f t="shared" si="134"/>
        <v>8.8000000000000007</v>
      </c>
      <c r="H1107" s="5" t="str">
        <f ca="1">_xlfn.FORMULATEXT(표1[[#This Row],[Q''ty]])</f>
        <v>=F1008</v>
      </c>
    </row>
    <row r="1108" spans="1:10" ht="15" hidden="1" customHeight="1" x14ac:dyDescent="0.4">
      <c r="A1108" s="6">
        <v>2026</v>
      </c>
      <c r="B1108" s="6">
        <f t="shared" si="133"/>
        <v>12</v>
      </c>
      <c r="C1108" s="13" t="s">
        <v>24</v>
      </c>
      <c r="D1108" s="2" t="s">
        <v>12</v>
      </c>
      <c r="E1108" s="14" t="s">
        <v>13</v>
      </c>
      <c r="F1108" s="22">
        <v>9</v>
      </c>
      <c r="H1108" s="5" t="e">
        <f ca="1">_xlfn.FORMULATEXT(표1[[#This Row],[Q''ty]])</f>
        <v>#N/A</v>
      </c>
    </row>
    <row r="1109" spans="1:10" s="2" customFormat="1" ht="15" hidden="1" customHeight="1" x14ac:dyDescent="0.4">
      <c r="A1109" s="6">
        <v>2026</v>
      </c>
      <c r="B1109" s="6">
        <f t="shared" si="133"/>
        <v>12</v>
      </c>
      <c r="C1109" s="13" t="s">
        <v>24</v>
      </c>
      <c r="D1109" s="2" t="s">
        <v>12</v>
      </c>
      <c r="E1109" s="14" t="s">
        <v>14</v>
      </c>
      <c r="F1109" s="22">
        <v>7</v>
      </c>
      <c r="H1109" s="5" t="e">
        <f ca="1">_xlfn.FORMULATEXT(표1[[#This Row],[Q''ty]])</f>
        <v>#N/A</v>
      </c>
      <c r="I1109" s="26"/>
      <c r="J1109" s="26"/>
    </row>
    <row r="1110" spans="1:10" ht="15" hidden="1" customHeight="1" x14ac:dyDescent="0.4">
      <c r="A1110" s="6">
        <v>2026</v>
      </c>
      <c r="B1110" s="6">
        <f t="shared" si="133"/>
        <v>12</v>
      </c>
      <c r="C1110" s="13" t="s">
        <v>24</v>
      </c>
      <c r="D1110" s="2" t="s">
        <v>12</v>
      </c>
      <c r="E1110" s="14" t="s">
        <v>15</v>
      </c>
      <c r="F1110" s="22">
        <v>133</v>
      </c>
      <c r="H1110" s="5" t="e">
        <f ca="1">_xlfn.FORMULATEXT(표1[[#This Row],[Q''ty]])</f>
        <v>#N/A</v>
      </c>
    </row>
    <row r="1111" spans="1:10" ht="15" hidden="1" customHeight="1" x14ac:dyDescent="0.4">
      <c r="A1111" s="6">
        <v>2026</v>
      </c>
      <c r="B1111" s="6">
        <f t="shared" si="133"/>
        <v>12</v>
      </c>
      <c r="C1111" s="13" t="s">
        <v>24</v>
      </c>
      <c r="D1111" s="2" t="s">
        <v>12</v>
      </c>
      <c r="E1111" s="14" t="s">
        <v>16</v>
      </c>
      <c r="F1111" s="22">
        <v>128</v>
      </c>
      <c r="H1111" s="5" t="e">
        <f ca="1">_xlfn.FORMULATEXT(표1[[#This Row],[Q''ty]])</f>
        <v>#N/A</v>
      </c>
    </row>
    <row r="1112" spans="1:10" ht="15" hidden="1" customHeight="1" thickBot="1" x14ac:dyDescent="0.4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4">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4">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4">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4">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4">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4">
      <c r="A1118" s="6">
        <v>2026</v>
      </c>
      <c r="B1118" s="6">
        <f t="shared" si="133"/>
        <v>12</v>
      </c>
      <c r="C1118" s="13" t="s">
        <v>18</v>
      </c>
      <c r="D1118" s="2" t="s">
        <v>6</v>
      </c>
      <c r="E1118" s="14" t="str">
        <f t="shared" si="135"/>
        <v>C/W Machine</v>
      </c>
      <c r="F1118" s="22">
        <f t="shared" si="135"/>
        <v>3</v>
      </c>
      <c r="H1118" s="5" t="str">
        <f ca="1">_xlfn.FORMULATEXT(표1[[#This Row],[Q''ty]])</f>
        <v>=F1019</v>
      </c>
    </row>
    <row r="1119" spans="1:10" ht="15" hidden="1" customHeight="1" x14ac:dyDescent="0.4">
      <c r="A1119" s="6">
        <v>2026</v>
      </c>
      <c r="B1119" s="6">
        <f t="shared" si="133"/>
        <v>12</v>
      </c>
      <c r="C1119" s="13" t="s">
        <v>18</v>
      </c>
      <c r="D1119" s="2" t="s">
        <v>12</v>
      </c>
      <c r="E1119" s="14" t="str">
        <f t="shared" ref="E1119:E1134" si="136">E1020</f>
        <v>BT GT</v>
      </c>
      <c r="F1119" s="22">
        <v>0</v>
      </c>
      <c r="H1119" s="5" t="e">
        <f ca="1">_xlfn.FORMULATEXT(표1[[#This Row],[Q''ty]])</f>
        <v>#N/A</v>
      </c>
    </row>
    <row r="1120" spans="1:10" ht="15" hidden="1" customHeight="1" x14ac:dyDescent="0.4">
      <c r="A1120" s="6">
        <v>2026</v>
      </c>
      <c r="B1120" s="6">
        <f t="shared" si="133"/>
        <v>12</v>
      </c>
      <c r="C1120" s="13" t="s">
        <v>18</v>
      </c>
      <c r="D1120" s="2" t="s">
        <v>12</v>
      </c>
      <c r="E1120" s="14" t="str">
        <f t="shared" si="136"/>
        <v>WT GT</v>
      </c>
      <c r="F1120" s="22">
        <v>0</v>
      </c>
      <c r="H1120" s="5" t="e">
        <f ca="1">_xlfn.FORMULATEXT(표1[[#This Row],[Q''ty]])</f>
        <v>#N/A</v>
      </c>
    </row>
    <row r="1121" spans="1:8" ht="15" hidden="1" customHeight="1" x14ac:dyDescent="0.4">
      <c r="A1121" s="6">
        <v>2026</v>
      </c>
      <c r="B1121" s="6">
        <f t="shared" si="133"/>
        <v>12</v>
      </c>
      <c r="C1121" s="13" t="s">
        <v>18</v>
      </c>
      <c r="D1121" s="2" t="s">
        <v>12</v>
      </c>
      <c r="E1121" s="14" t="str">
        <f t="shared" si="136"/>
        <v>Bending</v>
      </c>
      <c r="F1121" s="22">
        <v>26</v>
      </c>
      <c r="H1121" s="5" t="e">
        <f ca="1">_xlfn.FORMULATEXT(표1[[#This Row],[Q''ty]])</f>
        <v>#N/A</v>
      </c>
    </row>
    <row r="1122" spans="1:8" ht="15" hidden="1" customHeight="1" x14ac:dyDescent="0.4">
      <c r="A1122" s="6">
        <v>2026</v>
      </c>
      <c r="B1122" s="6">
        <f t="shared" si="133"/>
        <v>12</v>
      </c>
      <c r="C1122" s="13" t="s">
        <v>18</v>
      </c>
      <c r="D1122" s="2" t="s">
        <v>12</v>
      </c>
      <c r="E1122" s="14" t="str">
        <f t="shared" si="136"/>
        <v>L/W</v>
      </c>
      <c r="F1122" s="22">
        <v>23.5</v>
      </c>
      <c r="H1122" s="5" t="e">
        <f ca="1">_xlfn.FORMULATEXT(표1[[#This Row],[Q''ty]])</f>
        <v>#N/A</v>
      </c>
    </row>
    <row r="1123" spans="1:8" ht="15" hidden="1" customHeight="1" thickBot="1" x14ac:dyDescent="0.4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4">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4">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4">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4">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4">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4">
      <c r="A1129" s="6">
        <v>2026</v>
      </c>
      <c r="B1129" s="6">
        <f t="shared" si="133"/>
        <v>12</v>
      </c>
      <c r="C1129" s="13" t="s">
        <v>19</v>
      </c>
      <c r="D1129" s="2" t="s">
        <v>6</v>
      </c>
      <c r="E1129" s="14" t="str">
        <f t="shared" si="136"/>
        <v>C/W Machine</v>
      </c>
      <c r="F1129" s="22">
        <f t="shared" si="137"/>
        <v>12</v>
      </c>
      <c r="H1129" s="5" t="str">
        <f ca="1">_xlfn.FORMULATEXT(표1[[#This Row],[Q''ty]])</f>
        <v>=F1030</v>
      </c>
    </row>
    <row r="1130" spans="1:8" ht="15" hidden="1" customHeight="1" x14ac:dyDescent="0.4">
      <c r="A1130" s="6">
        <v>2026</v>
      </c>
      <c r="B1130" s="6">
        <f t="shared" si="133"/>
        <v>12</v>
      </c>
      <c r="C1130" s="13" t="s">
        <v>19</v>
      </c>
      <c r="D1130" s="2" t="s">
        <v>12</v>
      </c>
      <c r="E1130" s="14" t="str">
        <f t="shared" si="136"/>
        <v>BT GT</v>
      </c>
      <c r="F1130" s="22">
        <v>38</v>
      </c>
      <c r="H1130" s="5" t="e">
        <f ca="1">_xlfn.FORMULATEXT(표1[[#This Row],[Q''ty]])</f>
        <v>#N/A</v>
      </c>
    </row>
    <row r="1131" spans="1:8" ht="15" hidden="1" customHeight="1" x14ac:dyDescent="0.4">
      <c r="A1131" s="6">
        <v>2026</v>
      </c>
      <c r="B1131" s="6">
        <f t="shared" si="133"/>
        <v>12</v>
      </c>
      <c r="C1131" s="13" t="s">
        <v>19</v>
      </c>
      <c r="D1131" s="2" t="s">
        <v>12</v>
      </c>
      <c r="E1131" s="14" t="str">
        <f t="shared" si="136"/>
        <v>WT GT</v>
      </c>
      <c r="F1131" s="22">
        <v>38</v>
      </c>
      <c r="H1131" s="5" t="e">
        <f ca="1">_xlfn.FORMULATEXT(표1[[#This Row],[Q''ty]])</f>
        <v>#N/A</v>
      </c>
    </row>
    <row r="1132" spans="1:8" ht="15" hidden="1" customHeight="1" x14ac:dyDescent="0.4">
      <c r="A1132" s="6">
        <v>2026</v>
      </c>
      <c r="B1132" s="6">
        <f t="shared" si="133"/>
        <v>12</v>
      </c>
      <c r="C1132" s="13" t="s">
        <v>19</v>
      </c>
      <c r="D1132" s="2" t="s">
        <v>12</v>
      </c>
      <c r="E1132" s="14" t="str">
        <f t="shared" si="136"/>
        <v>Bending</v>
      </c>
      <c r="F1132" s="22">
        <v>268</v>
      </c>
      <c r="H1132" s="5" t="e">
        <f ca="1">_xlfn.FORMULATEXT(표1[[#This Row],[Q''ty]])</f>
        <v>#N/A</v>
      </c>
    </row>
    <row r="1133" spans="1:8" ht="15" hidden="1" customHeight="1" x14ac:dyDescent="0.4">
      <c r="A1133" s="6">
        <v>2026</v>
      </c>
      <c r="B1133" s="6">
        <f t="shared" si="133"/>
        <v>12</v>
      </c>
      <c r="C1133" s="13" t="s">
        <v>19</v>
      </c>
      <c r="D1133" s="2" t="s">
        <v>12</v>
      </c>
      <c r="E1133" s="14" t="str">
        <f t="shared" si="136"/>
        <v>L/W</v>
      </c>
      <c r="F1133" s="22">
        <v>268</v>
      </c>
      <c r="H1133" s="5" t="e">
        <f ca="1">_xlfn.FORMULATEXT(표1[[#This Row],[Q''ty]])</f>
        <v>#N/A</v>
      </c>
    </row>
    <row r="1134" spans="1:8" ht="15" hidden="1" customHeight="1" thickBot="1" x14ac:dyDescent="0.4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4">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4">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4">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4">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4">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4">
      <c r="A1140" s="6">
        <v>2026</v>
      </c>
      <c r="B1140" s="6">
        <f t="shared" si="133"/>
        <v>12</v>
      </c>
      <c r="C1140" s="13" t="s">
        <v>25</v>
      </c>
      <c r="D1140" s="2" t="s">
        <v>6</v>
      </c>
      <c r="E1140" s="14" t="s">
        <v>11</v>
      </c>
      <c r="F1140" s="22">
        <f t="shared" si="138"/>
        <v>4</v>
      </c>
      <c r="H1140" s="5" t="str">
        <f ca="1">_xlfn.FORMULATEXT(표1[[#This Row],[Q''ty]])</f>
        <v>=F1041</v>
      </c>
    </row>
    <row r="1141" spans="1:8" ht="15" hidden="1" customHeight="1" x14ac:dyDescent="0.4">
      <c r="A1141" s="6">
        <v>2026</v>
      </c>
      <c r="B1141" s="6">
        <f t="shared" si="133"/>
        <v>12</v>
      </c>
      <c r="C1141" s="13" t="s">
        <v>25</v>
      </c>
      <c r="D1141" s="2" t="s">
        <v>12</v>
      </c>
      <c r="E1141" s="14" t="s">
        <v>13</v>
      </c>
      <c r="F1141" s="22">
        <v>0</v>
      </c>
      <c r="H1141" s="5" t="e">
        <f ca="1">_xlfn.FORMULATEXT(표1[[#This Row],[Q''ty]])</f>
        <v>#N/A</v>
      </c>
    </row>
    <row r="1142" spans="1:8" ht="15" hidden="1" customHeight="1" x14ac:dyDescent="0.4">
      <c r="A1142" s="6">
        <v>2026</v>
      </c>
      <c r="B1142" s="6">
        <f t="shared" si="133"/>
        <v>12</v>
      </c>
      <c r="C1142" s="13" t="s">
        <v>25</v>
      </c>
      <c r="D1142" s="2" t="s">
        <v>12</v>
      </c>
      <c r="E1142" s="14" t="s">
        <v>14</v>
      </c>
      <c r="F1142" s="22">
        <v>0</v>
      </c>
      <c r="H1142" s="5" t="e">
        <f ca="1">_xlfn.FORMULATEXT(표1[[#This Row],[Q''ty]])</f>
        <v>#N/A</v>
      </c>
    </row>
    <row r="1143" spans="1:8" ht="15" hidden="1" customHeight="1" x14ac:dyDescent="0.4">
      <c r="A1143" s="6">
        <v>2026</v>
      </c>
      <c r="B1143" s="6">
        <f t="shared" si="133"/>
        <v>12</v>
      </c>
      <c r="C1143" s="13" t="s">
        <v>25</v>
      </c>
      <c r="D1143" s="2" t="s">
        <v>12</v>
      </c>
      <c r="E1143" s="14" t="s">
        <v>15</v>
      </c>
      <c r="F1143" s="22">
        <v>0</v>
      </c>
      <c r="H1143" s="5" t="e">
        <f ca="1">_xlfn.FORMULATEXT(표1[[#This Row],[Q''ty]])</f>
        <v>#N/A</v>
      </c>
    </row>
    <row r="1144" spans="1:8" ht="15" hidden="1" customHeight="1" x14ac:dyDescent="0.4">
      <c r="A1144" s="6">
        <v>2026</v>
      </c>
      <c r="B1144" s="6">
        <f t="shared" si="133"/>
        <v>12</v>
      </c>
      <c r="C1144" s="13" t="s">
        <v>25</v>
      </c>
      <c r="D1144" s="2" t="s">
        <v>12</v>
      </c>
      <c r="E1144" s="14" t="s">
        <v>16</v>
      </c>
      <c r="F1144" s="22">
        <v>0</v>
      </c>
      <c r="H1144" s="5" t="e">
        <f ca="1">_xlfn.FORMULATEXT(표1[[#This Row],[Q''ty]])</f>
        <v>#N/A</v>
      </c>
    </row>
    <row r="1145" spans="1:8" ht="15" hidden="1" customHeight="1" thickBot="1" x14ac:dyDescent="0.4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4">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4">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4">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4">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4">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4">
      <c r="A1151" s="6">
        <v>2026</v>
      </c>
      <c r="B1151" s="6">
        <f t="shared" si="133"/>
        <v>12</v>
      </c>
      <c r="C1151" s="13" t="s">
        <v>26</v>
      </c>
      <c r="D1151" s="2" t="s">
        <v>6</v>
      </c>
      <c r="E1151" s="14" t="s">
        <v>11</v>
      </c>
      <c r="F1151" s="22">
        <f t="shared" si="139"/>
        <v>6</v>
      </c>
      <c r="H1151" s="5" t="str">
        <f ca="1">_xlfn.FORMULATEXT(표1[[#This Row],[Q''ty]])</f>
        <v>=F1052</v>
      </c>
    </row>
    <row r="1152" spans="1:8" ht="15" hidden="1" customHeight="1" x14ac:dyDescent="0.4">
      <c r="A1152" s="6">
        <v>2026</v>
      </c>
      <c r="B1152" s="6">
        <f t="shared" si="133"/>
        <v>12</v>
      </c>
      <c r="C1152" s="13" t="s">
        <v>26</v>
      </c>
      <c r="D1152" s="2" t="s">
        <v>12</v>
      </c>
      <c r="E1152" s="14" t="str">
        <f t="shared" ref="E1152:E1189" si="140">E1053</f>
        <v>BT GT</v>
      </c>
      <c r="F1152" s="22">
        <v>0</v>
      </c>
      <c r="H1152" s="5" t="e">
        <f ca="1">_xlfn.FORMULATEXT(표1[[#This Row],[Q''ty]])</f>
        <v>#N/A</v>
      </c>
    </row>
    <row r="1153" spans="1:8" ht="15" hidden="1" customHeight="1" x14ac:dyDescent="0.4">
      <c r="A1153" s="6">
        <v>2026</v>
      </c>
      <c r="B1153" s="6">
        <f t="shared" si="133"/>
        <v>12</v>
      </c>
      <c r="C1153" s="13" t="s">
        <v>26</v>
      </c>
      <c r="D1153" s="2" t="s">
        <v>12</v>
      </c>
      <c r="E1153" s="14" t="str">
        <f t="shared" si="140"/>
        <v>WT GT</v>
      </c>
      <c r="F1153" s="22">
        <v>0</v>
      </c>
      <c r="H1153" s="5" t="e">
        <f ca="1">_xlfn.FORMULATEXT(표1[[#This Row],[Q''ty]])</f>
        <v>#N/A</v>
      </c>
    </row>
    <row r="1154" spans="1:8" ht="15" hidden="1" customHeight="1" x14ac:dyDescent="0.4">
      <c r="A1154" s="6">
        <v>2026</v>
      </c>
      <c r="B1154" s="6">
        <f t="shared" si="133"/>
        <v>12</v>
      </c>
      <c r="C1154" s="13" t="s">
        <v>26</v>
      </c>
      <c r="D1154" s="2" t="s">
        <v>12</v>
      </c>
      <c r="E1154" s="14" t="str">
        <f t="shared" si="140"/>
        <v>Bending</v>
      </c>
      <c r="F1154" s="22">
        <v>0</v>
      </c>
      <c r="H1154" s="5" t="e">
        <f ca="1">_xlfn.FORMULATEXT(표1[[#This Row],[Q''ty]])</f>
        <v>#N/A</v>
      </c>
    </row>
    <row r="1155" spans="1:8" ht="15" hidden="1" customHeight="1" x14ac:dyDescent="0.4">
      <c r="A1155" s="6">
        <v>2026</v>
      </c>
      <c r="B1155" s="6">
        <f t="shared" si="133"/>
        <v>12</v>
      </c>
      <c r="C1155" s="13" t="s">
        <v>26</v>
      </c>
      <c r="D1155" s="2" t="s">
        <v>12</v>
      </c>
      <c r="E1155" s="14" t="str">
        <f t="shared" si="140"/>
        <v>L/W</v>
      </c>
      <c r="F1155" s="22">
        <v>0</v>
      </c>
      <c r="H1155" s="5" t="e">
        <f ca="1">_xlfn.FORMULATEXT(표1[[#This Row],[Q''ty]])</f>
        <v>#N/A</v>
      </c>
    </row>
    <row r="1156" spans="1:8" ht="15" hidden="1" customHeight="1" thickBot="1" x14ac:dyDescent="0.4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4">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4">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4">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4">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4">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4">
      <c r="A1162" s="6">
        <v>2026</v>
      </c>
      <c r="B1162" s="6">
        <f t="shared" si="141"/>
        <v>12</v>
      </c>
      <c r="C1162" s="13" t="s">
        <v>20</v>
      </c>
      <c r="D1162" s="2" t="s">
        <v>6</v>
      </c>
      <c r="E1162" s="14" t="str">
        <f t="shared" si="140"/>
        <v>C/W Machine</v>
      </c>
      <c r="F1162" s="22">
        <f t="shared" si="142"/>
        <v>15</v>
      </c>
      <c r="H1162" s="5" t="str">
        <f ca="1">_xlfn.FORMULATEXT(표1[[#This Row],[Q''ty]])</f>
        <v>=F1063</v>
      </c>
    </row>
    <row r="1163" spans="1:8" ht="15" hidden="1" customHeight="1" x14ac:dyDescent="0.4">
      <c r="A1163" s="6">
        <v>2026</v>
      </c>
      <c r="B1163" s="6">
        <f t="shared" si="141"/>
        <v>12</v>
      </c>
      <c r="C1163" s="13" t="s">
        <v>20</v>
      </c>
      <c r="D1163" s="2" t="s">
        <v>12</v>
      </c>
      <c r="E1163" s="14" t="str">
        <f t="shared" si="140"/>
        <v>BT GT</v>
      </c>
      <c r="F1163" s="22">
        <v>61</v>
      </c>
      <c r="H1163" s="5" t="e">
        <f ca="1">_xlfn.FORMULATEXT(표1[[#This Row],[Q''ty]])</f>
        <v>#N/A</v>
      </c>
    </row>
    <row r="1164" spans="1:8" ht="15" hidden="1" customHeight="1" x14ac:dyDescent="0.4">
      <c r="A1164" s="6">
        <v>2026</v>
      </c>
      <c r="B1164" s="6">
        <f t="shared" si="141"/>
        <v>12</v>
      </c>
      <c r="C1164" s="13" t="s">
        <v>20</v>
      </c>
      <c r="D1164" s="2" t="s">
        <v>12</v>
      </c>
      <c r="E1164" s="14" t="str">
        <f t="shared" si="140"/>
        <v>WT GT</v>
      </c>
      <c r="F1164" s="22">
        <v>66</v>
      </c>
      <c r="H1164" s="5" t="e">
        <f ca="1">_xlfn.FORMULATEXT(표1[[#This Row],[Q''ty]])</f>
        <v>#N/A</v>
      </c>
    </row>
    <row r="1165" spans="1:8" ht="15" hidden="1" customHeight="1" x14ac:dyDescent="0.4">
      <c r="A1165" s="6">
        <v>2026</v>
      </c>
      <c r="B1165" s="6">
        <f t="shared" si="141"/>
        <v>12</v>
      </c>
      <c r="C1165" s="13" t="s">
        <v>20</v>
      </c>
      <c r="D1165" s="2" t="s">
        <v>12</v>
      </c>
      <c r="E1165" s="14" t="str">
        <f t="shared" si="140"/>
        <v>Bending</v>
      </c>
      <c r="F1165" s="22">
        <v>592</v>
      </c>
      <c r="H1165" s="5" t="e">
        <f ca="1">_xlfn.FORMULATEXT(표1[[#This Row],[Q''ty]])</f>
        <v>#N/A</v>
      </c>
    </row>
    <row r="1166" spans="1:8" ht="15" hidden="1" customHeight="1" x14ac:dyDescent="0.4">
      <c r="A1166" s="6">
        <v>2026</v>
      </c>
      <c r="B1166" s="6">
        <f t="shared" si="141"/>
        <v>12</v>
      </c>
      <c r="C1166" s="13" t="s">
        <v>20</v>
      </c>
      <c r="D1166" s="2" t="s">
        <v>12</v>
      </c>
      <c r="E1166" s="14" t="str">
        <f t="shared" si="140"/>
        <v>L/W</v>
      </c>
      <c r="F1166" s="22">
        <v>614</v>
      </c>
      <c r="H1166" s="5" t="e">
        <f ca="1">_xlfn.FORMULATEXT(표1[[#This Row],[Q''ty]])</f>
        <v>#N/A</v>
      </c>
    </row>
    <row r="1167" spans="1:8" ht="15" hidden="1" customHeight="1" thickBot="1" x14ac:dyDescent="0.4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4">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4">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4">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4">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4">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4">
      <c r="A1173" s="6">
        <v>2026</v>
      </c>
      <c r="B1173" s="6">
        <f t="shared" si="141"/>
        <v>12</v>
      </c>
      <c r="C1173" s="13" t="s">
        <v>21</v>
      </c>
      <c r="D1173" s="2" t="s">
        <v>6</v>
      </c>
      <c r="E1173" s="14" t="str">
        <f t="shared" si="140"/>
        <v>C/W Machine</v>
      </c>
      <c r="F1173" s="22">
        <f t="shared" si="143"/>
        <v>6.5</v>
      </c>
      <c r="H1173" s="5" t="str">
        <f ca="1">_xlfn.FORMULATEXT(표1[[#This Row],[Q''ty]])</f>
        <v>=F1074</v>
      </c>
    </row>
    <row r="1174" spans="1:8" ht="15" hidden="1" customHeight="1" x14ac:dyDescent="0.4">
      <c r="A1174" s="6">
        <v>2026</v>
      </c>
      <c r="B1174" s="6">
        <f t="shared" si="141"/>
        <v>12</v>
      </c>
      <c r="C1174" s="13" t="s">
        <v>21</v>
      </c>
      <c r="D1174" s="2" t="s">
        <v>12</v>
      </c>
      <c r="E1174" s="14" t="str">
        <f t="shared" si="140"/>
        <v>BT GT</v>
      </c>
      <c r="F1174" s="22">
        <v>16</v>
      </c>
      <c r="H1174" s="5" t="e">
        <f ca="1">_xlfn.FORMULATEXT(표1[[#This Row],[Q''ty]])</f>
        <v>#N/A</v>
      </c>
    </row>
    <row r="1175" spans="1:8" ht="15" hidden="1" customHeight="1" x14ac:dyDescent="0.4">
      <c r="A1175" s="6">
        <v>2026</v>
      </c>
      <c r="B1175" s="6">
        <f t="shared" si="141"/>
        <v>12</v>
      </c>
      <c r="C1175" s="13" t="s">
        <v>21</v>
      </c>
      <c r="D1175" s="2" t="s">
        <v>12</v>
      </c>
      <c r="E1175" s="14" t="str">
        <f t="shared" si="140"/>
        <v>WT GT</v>
      </c>
      <c r="F1175" s="22">
        <v>16</v>
      </c>
      <c r="H1175" s="5" t="e">
        <f ca="1">_xlfn.FORMULATEXT(표1[[#This Row],[Q''ty]])</f>
        <v>#N/A</v>
      </c>
    </row>
    <row r="1176" spans="1:8" ht="15" hidden="1" customHeight="1" x14ac:dyDescent="0.4">
      <c r="A1176" s="6">
        <v>2026</v>
      </c>
      <c r="B1176" s="6">
        <f t="shared" si="141"/>
        <v>12</v>
      </c>
      <c r="C1176" s="13" t="s">
        <v>21</v>
      </c>
      <c r="D1176" s="2" t="s">
        <v>12</v>
      </c>
      <c r="E1176" s="14" t="str">
        <f t="shared" si="140"/>
        <v>Bending</v>
      </c>
      <c r="F1176" s="22">
        <v>121</v>
      </c>
      <c r="H1176" s="5" t="e">
        <f ca="1">_xlfn.FORMULATEXT(표1[[#This Row],[Q''ty]])</f>
        <v>#N/A</v>
      </c>
    </row>
    <row r="1177" spans="1:8" ht="15" hidden="1" customHeight="1" x14ac:dyDescent="0.4">
      <c r="A1177" s="6">
        <v>2026</v>
      </c>
      <c r="B1177" s="6">
        <f t="shared" si="141"/>
        <v>12</v>
      </c>
      <c r="C1177" s="13" t="s">
        <v>21</v>
      </c>
      <c r="D1177" s="2" t="s">
        <v>12</v>
      </c>
      <c r="E1177" s="14" t="str">
        <f t="shared" si="140"/>
        <v>L/W</v>
      </c>
      <c r="F1177" s="22">
        <v>114</v>
      </c>
      <c r="H1177" s="5" t="e">
        <f ca="1">_xlfn.FORMULATEXT(표1[[#This Row],[Q''ty]])</f>
        <v>#N/A</v>
      </c>
    </row>
    <row r="1178" spans="1:8" ht="15" hidden="1" customHeight="1" thickBot="1" x14ac:dyDescent="0.4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4">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4">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4">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4">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4">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4">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hidden="1" customHeight="1" x14ac:dyDescent="0.4">
      <c r="A1185" s="6">
        <v>2026</v>
      </c>
      <c r="B1185" s="6">
        <f t="shared" si="141"/>
        <v>12</v>
      </c>
      <c r="C1185" s="13" t="s">
        <v>22</v>
      </c>
      <c r="D1185" s="2" t="s">
        <v>12</v>
      </c>
      <c r="E1185" s="14" t="str">
        <f t="shared" si="140"/>
        <v>BT GT</v>
      </c>
      <c r="F1185" s="22">
        <v>13</v>
      </c>
      <c r="H1185" s="5" t="e">
        <f ca="1">_xlfn.FORMULATEXT(표1[[#This Row],[Q''ty]])</f>
        <v>#N/A</v>
      </c>
    </row>
    <row r="1186" spans="1:10" ht="15" hidden="1" customHeight="1" x14ac:dyDescent="0.4">
      <c r="A1186" s="6">
        <v>2026</v>
      </c>
      <c r="B1186" s="6">
        <f t="shared" si="141"/>
        <v>12</v>
      </c>
      <c r="C1186" s="13" t="s">
        <v>22</v>
      </c>
      <c r="D1186" s="2" t="s">
        <v>12</v>
      </c>
      <c r="E1186" s="14" t="str">
        <f t="shared" si="140"/>
        <v>WT GT</v>
      </c>
      <c r="F1186" s="22">
        <v>9</v>
      </c>
      <c r="H1186" s="5" t="e">
        <f ca="1">_xlfn.FORMULATEXT(표1[[#This Row],[Q''ty]])</f>
        <v>#N/A</v>
      </c>
    </row>
    <row r="1187" spans="1:10" ht="15" hidden="1" customHeight="1" x14ac:dyDescent="0.4">
      <c r="A1187" s="6">
        <v>2026</v>
      </c>
      <c r="B1187" s="6">
        <f t="shared" si="141"/>
        <v>12</v>
      </c>
      <c r="C1187" s="13" t="s">
        <v>22</v>
      </c>
      <c r="D1187" s="2" t="s">
        <v>12</v>
      </c>
      <c r="E1187" s="14" t="str">
        <f t="shared" si="140"/>
        <v>Bending</v>
      </c>
      <c r="F1187" s="22">
        <v>62</v>
      </c>
      <c r="H1187" s="5" t="e">
        <f ca="1">_xlfn.FORMULATEXT(표1[[#This Row],[Q''ty]])</f>
        <v>#N/A</v>
      </c>
    </row>
    <row r="1188" spans="1:10" ht="15" hidden="1" customHeight="1" x14ac:dyDescent="0.4">
      <c r="A1188" s="6">
        <v>2026</v>
      </c>
      <c r="B1188" s="6">
        <f t="shared" si="141"/>
        <v>12</v>
      </c>
      <c r="C1188" s="13" t="s">
        <v>22</v>
      </c>
      <c r="D1188" s="2" t="s">
        <v>12</v>
      </c>
      <c r="E1188" s="14" t="str">
        <f t="shared" si="140"/>
        <v>L/W</v>
      </c>
      <c r="F1188" s="22">
        <v>59</v>
      </c>
      <c r="H1188" s="5" t="e">
        <f ca="1">_xlfn.FORMULATEXT(표1[[#This Row],[Q''ty]])</f>
        <v>#N/A</v>
      </c>
    </row>
    <row r="1189" spans="1:10" ht="15" hidden="1" customHeight="1" thickBot="1" x14ac:dyDescent="0.45">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4">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4">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4">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4">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4">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4">
      <c r="A1195" s="6">
        <v>2026</v>
      </c>
      <c r="B1195" s="6">
        <f t="shared" si="146"/>
        <v>13</v>
      </c>
      <c r="C1195" s="13" t="s">
        <v>23</v>
      </c>
      <c r="D1195" s="2" t="s">
        <v>6</v>
      </c>
      <c r="E1195" s="14" t="s">
        <v>11</v>
      </c>
      <c r="F1195" s="22">
        <f t="shared" si="145"/>
        <v>10</v>
      </c>
      <c r="H1195" s="5" t="str">
        <f ca="1">_xlfn.FORMULATEXT(표1[[#This Row],[Q''ty]])</f>
        <v>=F1096</v>
      </c>
    </row>
    <row r="1196" spans="1:10" ht="15" customHeight="1" thickTop="1" x14ac:dyDescent="0.4">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4">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4">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4">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4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4">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4">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4">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4">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4">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4">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4">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4">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4">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4">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4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4">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4">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4">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4">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4">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4">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4">
      <c r="A1218" s="6">
        <v>2026</v>
      </c>
      <c r="B1218" s="6">
        <f t="shared" si="146"/>
        <v>13</v>
      </c>
      <c r="C1218" s="13" t="s">
        <v>18</v>
      </c>
      <c r="D1218" s="2" t="s">
        <v>12</v>
      </c>
      <c r="E1218" s="14" t="str">
        <f t="shared" ref="E1218:E1233" si="149">E1119</f>
        <v>BT GT</v>
      </c>
      <c r="F1218" s="22">
        <v>0</v>
      </c>
      <c r="H1218" s="5" t="e">
        <f ca="1">_xlfn.FORMULATEXT(표1[[#This Row],[Q''ty]])</f>
        <v>#N/A</v>
      </c>
      <c r="I1218" s="28">
        <v>46119</v>
      </c>
      <c r="J1218" s="28">
        <v>46112</v>
      </c>
    </row>
    <row r="1219" spans="1:10" ht="15" customHeight="1" x14ac:dyDescent="0.4">
      <c r="A1219" s="6">
        <v>2026</v>
      </c>
      <c r="B1219" s="6">
        <f t="shared" si="146"/>
        <v>13</v>
      </c>
      <c r="C1219" s="13" t="s">
        <v>18</v>
      </c>
      <c r="D1219" s="2" t="s">
        <v>12</v>
      </c>
      <c r="E1219" s="14" t="str">
        <f t="shared" si="149"/>
        <v>WT GT</v>
      </c>
      <c r="F1219" s="22">
        <v>0</v>
      </c>
      <c r="H1219" s="5" t="e">
        <f ca="1">_xlfn.FORMULATEXT(표1[[#This Row],[Q''ty]])</f>
        <v>#N/A</v>
      </c>
      <c r="I1219" s="28">
        <v>46119</v>
      </c>
      <c r="J1219" s="28">
        <v>46112</v>
      </c>
    </row>
    <row r="1220" spans="1:10" ht="15" customHeight="1" x14ac:dyDescent="0.4">
      <c r="A1220" s="6">
        <v>2026</v>
      </c>
      <c r="B1220" s="6">
        <f t="shared" si="146"/>
        <v>13</v>
      </c>
      <c r="C1220" s="13" t="s">
        <v>18</v>
      </c>
      <c r="D1220" s="2" t="s">
        <v>12</v>
      </c>
      <c r="E1220" s="14" t="str">
        <f t="shared" si="149"/>
        <v>Bending</v>
      </c>
      <c r="F1220" s="22">
        <v>26</v>
      </c>
      <c r="H1220" s="5" t="e">
        <f ca="1">_xlfn.FORMULATEXT(표1[[#This Row],[Q''ty]])</f>
        <v>#N/A</v>
      </c>
      <c r="I1220" s="28">
        <v>46119</v>
      </c>
      <c r="J1220" s="28">
        <v>46112</v>
      </c>
    </row>
    <row r="1221" spans="1:10" ht="15" customHeight="1" x14ac:dyDescent="0.4">
      <c r="A1221" s="6">
        <v>2026</v>
      </c>
      <c r="B1221" s="6">
        <f t="shared" si="146"/>
        <v>13</v>
      </c>
      <c r="C1221" s="13" t="s">
        <v>18</v>
      </c>
      <c r="D1221" s="2" t="s">
        <v>12</v>
      </c>
      <c r="E1221" s="14" t="str">
        <f t="shared" si="149"/>
        <v>L/W</v>
      </c>
      <c r="F1221" s="22">
        <v>28</v>
      </c>
      <c r="H1221" s="5" t="e">
        <f ca="1">_xlfn.FORMULATEXT(표1[[#This Row],[Q''ty]])</f>
        <v>#N/A</v>
      </c>
      <c r="I1221" s="28">
        <v>46119</v>
      </c>
      <c r="J1221" s="28">
        <v>46112</v>
      </c>
    </row>
    <row r="1222" spans="1:10" ht="15" customHeight="1" thickBot="1" x14ac:dyDescent="0.45">
      <c r="A1222" s="15">
        <v>2026</v>
      </c>
      <c r="B1222" s="15">
        <f t="shared" si="146"/>
        <v>13</v>
      </c>
      <c r="C1222" s="16" t="s">
        <v>18</v>
      </c>
      <c r="D1222" s="17" t="s">
        <v>12</v>
      </c>
      <c r="E1222" s="18" t="str">
        <f t="shared" si="149"/>
        <v>C/W</v>
      </c>
      <c r="F1222" s="23">
        <v>23.4</v>
      </c>
      <c r="H1222" s="5" t="e">
        <f ca="1">_xlfn.FORMULATEXT(표1[[#This Row],[Q''ty]])</f>
        <v>#N/A</v>
      </c>
      <c r="I1222" s="28">
        <v>46119</v>
      </c>
      <c r="J1222" s="28">
        <v>46112</v>
      </c>
    </row>
    <row r="1223" spans="1:10" ht="15" hidden="1" customHeight="1" thickTop="1" x14ac:dyDescent="0.4">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4">
      <c r="A1224" s="6">
        <v>2026</v>
      </c>
      <c r="B1224" s="6">
        <f t="shared" si="146"/>
        <v>13</v>
      </c>
      <c r="C1224" s="13" t="s">
        <v>19</v>
      </c>
      <c r="D1224" s="2" t="s">
        <v>6</v>
      </c>
      <c r="E1224" s="14" t="str">
        <f t="shared" si="149"/>
        <v>Paint Booth</v>
      </c>
      <c r="F1224" s="22">
        <f t="shared" ref="F1224:F1228" si="150">F1125</f>
        <v>22</v>
      </c>
      <c r="H1224" s="5" t="str">
        <f ca="1">_xlfn.FORMULATEXT(표1[[#This Row],[Q''ty]])</f>
        <v>=F1125</v>
      </c>
    </row>
    <row r="1225" spans="1:10" ht="15" hidden="1" customHeight="1" x14ac:dyDescent="0.4">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4">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4">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4">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4">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4">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4">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4">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4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4">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4">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4">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4">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4">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4">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4">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4">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4">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4">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4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4">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4">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4">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4">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4">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4">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4">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4">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4">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4">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4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4">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4">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4">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4">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4">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4">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4">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4">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4">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4">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4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4">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4">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4">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4">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4">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4">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4">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4">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4">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4">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4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4">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4">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4">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4">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4">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4">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4">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4">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4">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4">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4">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4">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4">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4">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4">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4">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4">
      <c r="A1294" s="6">
        <v>2026</v>
      </c>
      <c r="B1294" s="6">
        <f t="shared" si="159"/>
        <v>14</v>
      </c>
      <c r="C1294" s="13" t="s">
        <v>23</v>
      </c>
      <c r="D1294" s="2" t="s">
        <v>6</v>
      </c>
      <c r="E1294" s="14" t="s">
        <v>11</v>
      </c>
      <c r="F1294" s="22">
        <f t="shared" si="158"/>
        <v>10</v>
      </c>
      <c r="H1294" s="5" t="str">
        <f ca="1">_xlfn.FORMULATEXT(표1[[#This Row],[Q''ty]])</f>
        <v>=F1195</v>
      </c>
    </row>
    <row r="1295" spans="1:10" ht="15" customHeight="1" x14ac:dyDescent="0.4">
      <c r="A1295" s="6">
        <v>2026</v>
      </c>
      <c r="B1295" s="6">
        <f t="shared" si="159"/>
        <v>14</v>
      </c>
      <c r="C1295" s="13" t="s">
        <v>23</v>
      </c>
      <c r="D1295" s="2" t="s">
        <v>12</v>
      </c>
      <c r="E1295" s="14" t="s">
        <v>13</v>
      </c>
      <c r="F1295" s="22">
        <v>12</v>
      </c>
      <c r="H1295" s="5" t="e">
        <f ca="1">_xlfn.FORMULATEXT(표1[[#This Row],[Q''ty]])</f>
        <v>#N/A</v>
      </c>
      <c r="I1295" s="28">
        <v>46119</v>
      </c>
      <c r="J1295" s="28">
        <v>46118</v>
      </c>
    </row>
    <row r="1296" spans="1:10" s="2" customFormat="1" ht="15" customHeight="1" x14ac:dyDescent="0.4">
      <c r="A1296" s="6">
        <v>2026</v>
      </c>
      <c r="B1296" s="6">
        <f t="shared" si="159"/>
        <v>14</v>
      </c>
      <c r="C1296" s="13" t="s">
        <v>23</v>
      </c>
      <c r="D1296" s="2" t="s">
        <v>12</v>
      </c>
      <c r="E1296" s="14" t="s">
        <v>14</v>
      </c>
      <c r="F1296" s="22">
        <v>12</v>
      </c>
      <c r="H1296" s="5" t="e">
        <f ca="1">_xlfn.FORMULATEXT(표1[[#This Row],[Q''ty]])</f>
        <v>#N/A</v>
      </c>
      <c r="I1296" s="28">
        <v>46119</v>
      </c>
      <c r="J1296" s="28">
        <v>46118</v>
      </c>
    </row>
    <row r="1297" spans="1:10" ht="15" customHeight="1" x14ac:dyDescent="0.4">
      <c r="A1297" s="6">
        <v>2026</v>
      </c>
      <c r="B1297" s="6">
        <f t="shared" si="159"/>
        <v>14</v>
      </c>
      <c r="C1297" s="13" t="s">
        <v>23</v>
      </c>
      <c r="D1297" s="2" t="s">
        <v>12</v>
      </c>
      <c r="E1297" s="14" t="s">
        <v>15</v>
      </c>
      <c r="F1297" s="22">
        <v>208</v>
      </c>
      <c r="H1297" s="5" t="e">
        <f ca="1">_xlfn.FORMULATEXT(표1[[#This Row],[Q''ty]])</f>
        <v>#N/A</v>
      </c>
      <c r="I1297" s="28">
        <v>46119</v>
      </c>
      <c r="J1297" s="28">
        <v>46118</v>
      </c>
    </row>
    <row r="1298" spans="1:10" ht="15" customHeight="1" x14ac:dyDescent="0.4">
      <c r="A1298" s="6">
        <v>2026</v>
      </c>
      <c r="B1298" s="6">
        <f t="shared" si="159"/>
        <v>14</v>
      </c>
      <c r="C1298" s="13" t="s">
        <v>23</v>
      </c>
      <c r="D1298" s="2" t="s">
        <v>12</v>
      </c>
      <c r="E1298" s="14" t="s">
        <v>16</v>
      </c>
      <c r="F1298" s="22">
        <v>204</v>
      </c>
      <c r="H1298" s="5" t="e">
        <f ca="1">_xlfn.FORMULATEXT(표1[[#This Row],[Q''ty]])</f>
        <v>#N/A</v>
      </c>
      <c r="I1298" s="28">
        <v>46119</v>
      </c>
      <c r="J1298" s="28">
        <v>46118</v>
      </c>
    </row>
    <row r="1299" spans="1:10" ht="15" customHeight="1" thickBot="1" x14ac:dyDescent="0.45">
      <c r="A1299" s="15">
        <v>2026</v>
      </c>
      <c r="B1299" s="15">
        <f t="shared" si="159"/>
        <v>14</v>
      </c>
      <c r="C1299" s="16" t="s">
        <v>23</v>
      </c>
      <c r="D1299" s="17" t="s">
        <v>12</v>
      </c>
      <c r="E1299" s="18" t="s">
        <v>17</v>
      </c>
      <c r="F1299" s="23">
        <v>220</v>
      </c>
      <c r="H1299" s="5" t="e">
        <f ca="1">_xlfn.FORMULATEXT(표1[[#This Row],[Q''ty]])</f>
        <v>#N/A</v>
      </c>
      <c r="I1299" s="28">
        <v>46119</v>
      </c>
      <c r="J1299" s="28">
        <v>46118</v>
      </c>
    </row>
    <row r="1300" spans="1:10" ht="15" hidden="1" customHeight="1" thickTop="1" x14ac:dyDescent="0.4">
      <c r="A1300" s="9">
        <v>2026</v>
      </c>
      <c r="B1300" s="9">
        <f t="shared" si="159"/>
        <v>14</v>
      </c>
      <c r="C1300" s="10" t="s">
        <v>29</v>
      </c>
      <c r="D1300" s="11" t="s">
        <v>6</v>
      </c>
      <c r="E1300" s="12" t="s">
        <v>7</v>
      </c>
      <c r="F1300" s="21">
        <f t="shared" ref="F1300:F1305" si="160">F1201</f>
        <v>14</v>
      </c>
      <c r="H1300" s="5" t="str">
        <f ca="1">_xlfn.FORMULATEXT(표1[[#This Row],[Q''ty]])</f>
        <v>=F1201</v>
      </c>
      <c r="I1300" s="28">
        <v>46119</v>
      </c>
      <c r="J1300" s="28">
        <v>46118</v>
      </c>
    </row>
    <row r="1301" spans="1:10" s="2" customFormat="1" ht="15" hidden="1" customHeight="1" x14ac:dyDescent="0.4">
      <c r="A1301" s="6">
        <v>2026</v>
      </c>
      <c r="B1301" s="6">
        <f t="shared" si="159"/>
        <v>14</v>
      </c>
      <c r="C1301" s="13" t="s">
        <v>24</v>
      </c>
      <c r="D1301" s="2" t="s">
        <v>6</v>
      </c>
      <c r="E1301" s="14" t="s">
        <v>8</v>
      </c>
      <c r="F1301" s="22">
        <f t="shared" si="160"/>
        <v>8</v>
      </c>
      <c r="H1301" s="5" t="str">
        <f ca="1">_xlfn.FORMULATEXT(표1[[#This Row],[Q''ty]])</f>
        <v>=F1202</v>
      </c>
      <c r="I1301" s="28">
        <v>46119</v>
      </c>
      <c r="J1301" s="28">
        <v>46118</v>
      </c>
    </row>
    <row r="1302" spans="1:10" s="2" customFormat="1" ht="15" hidden="1" customHeight="1" x14ac:dyDescent="0.4">
      <c r="A1302" s="6">
        <v>2026</v>
      </c>
      <c r="B1302" s="6">
        <f t="shared" si="159"/>
        <v>14</v>
      </c>
      <c r="C1302" s="13" t="s">
        <v>24</v>
      </c>
      <c r="D1302" s="2" t="s">
        <v>6</v>
      </c>
      <c r="E1302" s="14" t="s">
        <v>9</v>
      </c>
      <c r="F1302" s="22">
        <f t="shared" si="160"/>
        <v>4</v>
      </c>
      <c r="H1302" s="5" t="str">
        <f ca="1">_xlfn.FORMULATEXT(표1[[#This Row],[Q''ty]])</f>
        <v>=F1203</v>
      </c>
      <c r="I1302" s="28">
        <v>46119</v>
      </c>
      <c r="J1302" s="28">
        <v>46118</v>
      </c>
    </row>
    <row r="1303" spans="1:10" ht="15" hidden="1" customHeight="1" x14ac:dyDescent="0.4">
      <c r="A1303" s="6">
        <v>2026</v>
      </c>
      <c r="B1303" s="6">
        <f t="shared" si="159"/>
        <v>14</v>
      </c>
      <c r="C1303" s="13" t="s">
        <v>24</v>
      </c>
      <c r="D1303" s="2" t="s">
        <v>6</v>
      </c>
      <c r="E1303" s="14" t="s">
        <v>27</v>
      </c>
      <c r="F1303" s="22">
        <f t="shared" si="160"/>
        <v>3</v>
      </c>
      <c r="H1303" s="5" t="str">
        <f ca="1">_xlfn.FORMULATEXT(표1[[#This Row],[Q''ty]])</f>
        <v>=F1204</v>
      </c>
      <c r="I1303" s="28">
        <v>46119</v>
      </c>
      <c r="J1303" s="28">
        <v>46118</v>
      </c>
    </row>
    <row r="1304" spans="1:10" ht="15" hidden="1" customHeight="1" x14ac:dyDescent="0.4">
      <c r="A1304" s="6">
        <v>2026</v>
      </c>
      <c r="B1304" s="6">
        <f t="shared" si="159"/>
        <v>14</v>
      </c>
      <c r="C1304" s="13" t="s">
        <v>24</v>
      </c>
      <c r="D1304" s="2" t="s">
        <v>6</v>
      </c>
      <c r="E1304" s="14" t="s">
        <v>10</v>
      </c>
      <c r="F1304" s="22">
        <f t="shared" si="160"/>
        <v>6</v>
      </c>
      <c r="H1304" s="5" t="str">
        <f ca="1">_xlfn.FORMULATEXT(표1[[#This Row],[Q''ty]])</f>
        <v>=F1205</v>
      </c>
      <c r="I1304" s="28">
        <v>46119</v>
      </c>
      <c r="J1304" s="28">
        <v>46118</v>
      </c>
    </row>
    <row r="1305" spans="1:10" ht="15" hidden="1" customHeight="1" x14ac:dyDescent="0.4">
      <c r="A1305" s="6">
        <v>2026</v>
      </c>
      <c r="B1305" s="6">
        <f t="shared" si="159"/>
        <v>14</v>
      </c>
      <c r="C1305" s="13" t="s">
        <v>24</v>
      </c>
      <c r="D1305" s="2" t="s">
        <v>6</v>
      </c>
      <c r="E1305" s="14" t="s">
        <v>11</v>
      </c>
      <c r="F1305" s="22">
        <f t="shared" si="160"/>
        <v>8.8000000000000007</v>
      </c>
      <c r="H1305" s="5" t="str">
        <f ca="1">_xlfn.FORMULATEXT(표1[[#This Row],[Q''ty]])</f>
        <v>=F1206</v>
      </c>
      <c r="I1305" s="28">
        <v>46119</v>
      </c>
      <c r="J1305" s="28">
        <v>46118</v>
      </c>
    </row>
    <row r="1306" spans="1:10" ht="15" customHeight="1" thickTop="1" x14ac:dyDescent="0.4">
      <c r="A1306" s="6">
        <v>2026</v>
      </c>
      <c r="B1306" s="6">
        <f t="shared" si="159"/>
        <v>14</v>
      </c>
      <c r="C1306" s="13" t="s">
        <v>24</v>
      </c>
      <c r="D1306" s="2" t="s">
        <v>12</v>
      </c>
      <c r="E1306" s="14" t="s">
        <v>13</v>
      </c>
      <c r="F1306" s="22">
        <v>13</v>
      </c>
      <c r="H1306" s="5" t="e">
        <f ca="1">_xlfn.FORMULATEXT(표1[[#This Row],[Q''ty]])</f>
        <v>#N/A</v>
      </c>
      <c r="I1306" s="28">
        <v>46119</v>
      </c>
      <c r="J1306" s="28">
        <v>46118</v>
      </c>
    </row>
    <row r="1307" spans="1:10" s="2" customFormat="1" ht="15" customHeight="1" x14ac:dyDescent="0.4">
      <c r="A1307" s="6">
        <v>2026</v>
      </c>
      <c r="B1307" s="6">
        <f t="shared" si="159"/>
        <v>14</v>
      </c>
      <c r="C1307" s="13" t="s">
        <v>24</v>
      </c>
      <c r="D1307" s="2" t="s">
        <v>12</v>
      </c>
      <c r="E1307" s="14" t="s">
        <v>14</v>
      </c>
      <c r="F1307" s="22">
        <v>13</v>
      </c>
      <c r="H1307" s="5" t="e">
        <f ca="1">_xlfn.FORMULATEXT(표1[[#This Row],[Q''ty]])</f>
        <v>#N/A</v>
      </c>
      <c r="I1307" s="28">
        <v>46119</v>
      </c>
      <c r="J1307" s="28">
        <v>46118</v>
      </c>
    </row>
    <row r="1308" spans="1:10" ht="15" customHeight="1" x14ac:dyDescent="0.4">
      <c r="A1308" s="6">
        <v>2026</v>
      </c>
      <c r="B1308" s="6">
        <f t="shared" si="159"/>
        <v>14</v>
      </c>
      <c r="C1308" s="13" t="s">
        <v>24</v>
      </c>
      <c r="D1308" s="2" t="s">
        <v>12</v>
      </c>
      <c r="E1308" s="14" t="s">
        <v>15</v>
      </c>
      <c r="F1308" s="22">
        <v>130</v>
      </c>
      <c r="H1308" s="5" t="e">
        <f ca="1">_xlfn.FORMULATEXT(표1[[#This Row],[Q''ty]])</f>
        <v>#N/A</v>
      </c>
      <c r="I1308" s="28">
        <v>46119</v>
      </c>
      <c r="J1308" s="28">
        <v>46118</v>
      </c>
    </row>
    <row r="1309" spans="1:10" ht="15" customHeight="1" x14ac:dyDescent="0.4">
      <c r="A1309" s="6">
        <v>2026</v>
      </c>
      <c r="B1309" s="6">
        <f t="shared" si="159"/>
        <v>14</v>
      </c>
      <c r="C1309" s="13" t="s">
        <v>24</v>
      </c>
      <c r="D1309" s="2" t="s">
        <v>12</v>
      </c>
      <c r="E1309" s="14" t="s">
        <v>16</v>
      </c>
      <c r="F1309" s="22">
        <v>125</v>
      </c>
      <c r="H1309" s="5" t="e">
        <f ca="1">_xlfn.FORMULATEXT(표1[[#This Row],[Q''ty]])</f>
        <v>#N/A</v>
      </c>
      <c r="I1309" s="28">
        <v>46119</v>
      </c>
      <c r="J1309" s="28">
        <v>46118</v>
      </c>
    </row>
    <row r="1310" spans="1:10" ht="15" customHeight="1" thickBot="1" x14ac:dyDescent="0.45">
      <c r="A1310" s="15">
        <v>2026</v>
      </c>
      <c r="B1310" s="15">
        <f t="shared" si="159"/>
        <v>14</v>
      </c>
      <c r="C1310" s="16" t="s">
        <v>24</v>
      </c>
      <c r="D1310" s="17" t="s">
        <v>12</v>
      </c>
      <c r="E1310" s="18" t="s">
        <v>17</v>
      </c>
      <c r="F1310" s="23">
        <v>145</v>
      </c>
      <c r="H1310" s="5" t="e">
        <f ca="1">_xlfn.FORMULATEXT(표1[[#This Row],[Q''ty]])</f>
        <v>#N/A</v>
      </c>
      <c r="I1310" s="28">
        <v>46119</v>
      </c>
      <c r="J1310" s="28">
        <v>46118</v>
      </c>
    </row>
    <row r="1311" spans="1:10" ht="15" hidden="1" customHeight="1" thickTop="1" x14ac:dyDescent="0.4">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4">
      <c r="A1312" s="6">
        <v>2026</v>
      </c>
      <c r="B1312" s="6">
        <f t="shared" si="159"/>
        <v>14</v>
      </c>
      <c r="C1312" s="13" t="s">
        <v>18</v>
      </c>
      <c r="D1312" s="2" t="s">
        <v>6</v>
      </c>
      <c r="E1312" s="14" t="str">
        <f t="shared" si="161"/>
        <v>Paint Booth</v>
      </c>
      <c r="F1312" s="22">
        <f t="shared" si="161"/>
        <v>3</v>
      </c>
      <c r="H1312" s="5" t="str">
        <f ca="1">_xlfn.FORMULATEXT(표1[[#This Row],[Q''ty]])</f>
        <v>=F1213</v>
      </c>
    </row>
    <row r="1313" spans="1:10" ht="15" hidden="1" customHeight="1" x14ac:dyDescent="0.4">
      <c r="A1313" s="6">
        <v>2026</v>
      </c>
      <c r="B1313" s="6">
        <f t="shared" si="159"/>
        <v>14</v>
      </c>
      <c r="C1313" s="13" t="s">
        <v>18</v>
      </c>
      <c r="D1313" s="2" t="s">
        <v>6</v>
      </c>
      <c r="E1313" s="14" t="str">
        <f t="shared" si="161"/>
        <v>Paint Line</v>
      </c>
      <c r="F1313" s="22">
        <f t="shared" si="161"/>
        <v>2</v>
      </c>
      <c r="H1313" s="5" t="str">
        <f ca="1">_xlfn.FORMULATEXT(표1[[#This Row],[Q''ty]])</f>
        <v>=F1214</v>
      </c>
    </row>
    <row r="1314" spans="1:10" ht="15" hidden="1" customHeight="1" x14ac:dyDescent="0.4">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10" ht="15" hidden="1" customHeight="1" x14ac:dyDescent="0.4">
      <c r="A1315" s="6">
        <v>2026</v>
      </c>
      <c r="B1315" s="6">
        <f t="shared" si="159"/>
        <v>14</v>
      </c>
      <c r="C1315" s="13" t="s">
        <v>18</v>
      </c>
      <c r="D1315" s="2" t="s">
        <v>6</v>
      </c>
      <c r="E1315" s="14" t="str">
        <f t="shared" si="161"/>
        <v>L/W Machine</v>
      </c>
      <c r="F1315" s="22">
        <f t="shared" si="161"/>
        <v>2</v>
      </c>
      <c r="H1315" s="5" t="str">
        <f ca="1">_xlfn.FORMULATEXT(표1[[#This Row],[Q''ty]])</f>
        <v>=F1216</v>
      </c>
    </row>
    <row r="1316" spans="1:10" ht="15" hidden="1" customHeight="1" x14ac:dyDescent="0.4">
      <c r="A1316" s="6">
        <v>2026</v>
      </c>
      <c r="B1316" s="6">
        <f t="shared" si="159"/>
        <v>14</v>
      </c>
      <c r="C1316" s="13" t="s">
        <v>18</v>
      </c>
      <c r="D1316" s="2" t="s">
        <v>6</v>
      </c>
      <c r="E1316" s="14" t="str">
        <f t="shared" si="161"/>
        <v>C/W Machine</v>
      </c>
      <c r="F1316" s="22">
        <f t="shared" si="161"/>
        <v>3</v>
      </c>
      <c r="H1316" s="5" t="str">
        <f ca="1">_xlfn.FORMULATEXT(표1[[#This Row],[Q''ty]])</f>
        <v>=F1217</v>
      </c>
    </row>
    <row r="1317" spans="1:10" ht="15" customHeight="1" thickTop="1" x14ac:dyDescent="0.4">
      <c r="A1317" s="6">
        <v>2026</v>
      </c>
      <c r="B1317" s="6">
        <f t="shared" si="159"/>
        <v>14</v>
      </c>
      <c r="C1317" s="13" t="s">
        <v>18</v>
      </c>
      <c r="D1317" s="2" t="s">
        <v>12</v>
      </c>
      <c r="E1317" s="14" t="str">
        <f t="shared" ref="E1317:E1332" si="162">E1218</f>
        <v>BT GT</v>
      </c>
      <c r="F1317" s="22">
        <v>1</v>
      </c>
      <c r="H1317" s="5" t="e">
        <f ca="1">_xlfn.FORMULATEXT(표1[[#This Row],[Q''ty]])</f>
        <v>#N/A</v>
      </c>
      <c r="I1317" s="28">
        <v>46119</v>
      </c>
      <c r="J1317" s="28">
        <v>46117</v>
      </c>
    </row>
    <row r="1318" spans="1:10" ht="15" customHeight="1" x14ac:dyDescent="0.4">
      <c r="A1318" s="6">
        <v>2026</v>
      </c>
      <c r="B1318" s="6">
        <f t="shared" si="159"/>
        <v>14</v>
      </c>
      <c r="C1318" s="13" t="s">
        <v>18</v>
      </c>
      <c r="D1318" s="2" t="s">
        <v>12</v>
      </c>
      <c r="E1318" s="14" t="str">
        <f t="shared" si="162"/>
        <v>WT GT</v>
      </c>
      <c r="F1318" s="22">
        <v>0</v>
      </c>
      <c r="H1318" s="5" t="e">
        <f ca="1">_xlfn.FORMULATEXT(표1[[#This Row],[Q''ty]])</f>
        <v>#N/A</v>
      </c>
      <c r="I1318" s="28">
        <v>46119</v>
      </c>
      <c r="J1318" s="28">
        <v>46117</v>
      </c>
    </row>
    <row r="1319" spans="1:10" ht="15" customHeight="1" x14ac:dyDescent="0.4">
      <c r="A1319" s="6">
        <v>2026</v>
      </c>
      <c r="B1319" s="6">
        <f t="shared" si="159"/>
        <v>14</v>
      </c>
      <c r="C1319" s="13" t="s">
        <v>18</v>
      </c>
      <c r="D1319" s="2" t="s">
        <v>12</v>
      </c>
      <c r="E1319" s="14" t="str">
        <f t="shared" si="162"/>
        <v>Bending</v>
      </c>
      <c r="F1319" s="22">
        <v>18</v>
      </c>
      <c r="H1319" s="5" t="e">
        <f ca="1">_xlfn.FORMULATEXT(표1[[#This Row],[Q''ty]])</f>
        <v>#N/A</v>
      </c>
      <c r="I1319" s="28">
        <v>46119</v>
      </c>
      <c r="J1319" s="28">
        <v>46117</v>
      </c>
    </row>
    <row r="1320" spans="1:10" ht="15" customHeight="1" x14ac:dyDescent="0.4">
      <c r="A1320" s="6">
        <v>2026</v>
      </c>
      <c r="B1320" s="6">
        <f t="shared" si="159"/>
        <v>14</v>
      </c>
      <c r="C1320" s="13" t="s">
        <v>18</v>
      </c>
      <c r="D1320" s="2" t="s">
        <v>12</v>
      </c>
      <c r="E1320" s="14" t="str">
        <f t="shared" si="162"/>
        <v>L/W</v>
      </c>
      <c r="F1320" s="22">
        <v>18</v>
      </c>
      <c r="H1320" s="5" t="e">
        <f ca="1">_xlfn.FORMULATEXT(표1[[#This Row],[Q''ty]])</f>
        <v>#N/A</v>
      </c>
      <c r="I1320" s="28">
        <v>46119</v>
      </c>
      <c r="J1320" s="28">
        <v>46117</v>
      </c>
    </row>
    <row r="1321" spans="1:10" ht="15" customHeight="1" thickBot="1" x14ac:dyDescent="0.45">
      <c r="A1321" s="15">
        <v>2026</v>
      </c>
      <c r="B1321" s="15">
        <f t="shared" si="159"/>
        <v>14</v>
      </c>
      <c r="C1321" s="16" t="s">
        <v>18</v>
      </c>
      <c r="D1321" s="17" t="s">
        <v>12</v>
      </c>
      <c r="E1321" s="18" t="str">
        <f t="shared" si="162"/>
        <v>C/W</v>
      </c>
      <c r="F1321" s="23">
        <v>17.7</v>
      </c>
      <c r="H1321" s="5" t="e">
        <f ca="1">_xlfn.FORMULATEXT(표1[[#This Row],[Q''ty]])</f>
        <v>#N/A</v>
      </c>
      <c r="I1321" s="28">
        <v>46119</v>
      </c>
      <c r="J1321" s="28">
        <v>46117</v>
      </c>
    </row>
    <row r="1322" spans="1:10" ht="15" hidden="1" customHeight="1" thickTop="1" x14ac:dyDescent="0.4">
      <c r="A1322" s="6">
        <v>2026</v>
      </c>
      <c r="B1322" s="6">
        <f t="shared" si="159"/>
        <v>14</v>
      </c>
      <c r="C1322" s="13" t="s">
        <v>19</v>
      </c>
      <c r="D1322" s="2" t="s">
        <v>6</v>
      </c>
      <c r="E1322" s="14" t="str">
        <f t="shared" si="162"/>
        <v>Growing Line</v>
      </c>
      <c r="F1322" s="22">
        <f t="shared" ref="F1322:F1327" si="163">F1223</f>
        <v>20</v>
      </c>
      <c r="H1322" s="5" t="str">
        <f ca="1">_xlfn.FORMULATEXT(표1[[#This Row],[Q''ty]])</f>
        <v>=F1223</v>
      </c>
      <c r="I1322" s="28">
        <v>46119</v>
      </c>
    </row>
    <row r="1323" spans="1:10" ht="15" hidden="1" customHeight="1" x14ac:dyDescent="0.4">
      <c r="A1323" s="6">
        <v>2026</v>
      </c>
      <c r="B1323" s="6">
        <f t="shared" si="159"/>
        <v>14</v>
      </c>
      <c r="C1323" s="13" t="s">
        <v>19</v>
      </c>
      <c r="D1323" s="2" t="s">
        <v>6</v>
      </c>
      <c r="E1323" s="14" t="str">
        <f t="shared" si="162"/>
        <v>Paint Booth</v>
      </c>
      <c r="F1323" s="22">
        <f t="shared" si="163"/>
        <v>22</v>
      </c>
      <c r="H1323" s="5" t="str">
        <f ca="1">_xlfn.FORMULATEXT(표1[[#This Row],[Q''ty]])</f>
        <v>=F1224</v>
      </c>
      <c r="I1323" s="28">
        <v>46119</v>
      </c>
    </row>
    <row r="1324" spans="1:10" ht="15" hidden="1" customHeight="1" x14ac:dyDescent="0.4">
      <c r="A1324" s="6">
        <v>2026</v>
      </c>
      <c r="B1324" s="6">
        <f t="shared" si="159"/>
        <v>14</v>
      </c>
      <c r="C1324" s="13" t="s">
        <v>19</v>
      </c>
      <c r="D1324" s="2" t="s">
        <v>6</v>
      </c>
      <c r="E1324" s="14" t="str">
        <f t="shared" si="162"/>
        <v>Paint Line</v>
      </c>
      <c r="F1324" s="22">
        <f t="shared" si="163"/>
        <v>6</v>
      </c>
      <c r="H1324" s="5" t="str">
        <f ca="1">_xlfn.FORMULATEXT(표1[[#This Row],[Q''ty]])</f>
        <v>=F1225</v>
      </c>
      <c r="I1324" s="28">
        <v>46119</v>
      </c>
    </row>
    <row r="1325" spans="1:10" ht="15" hidden="1" customHeight="1" x14ac:dyDescent="0.4">
      <c r="A1325" s="6">
        <v>2026</v>
      </c>
      <c r="B1325" s="6">
        <f t="shared" si="159"/>
        <v>14</v>
      </c>
      <c r="C1325" s="13" t="s">
        <v>19</v>
      </c>
      <c r="D1325" s="2" t="s">
        <v>6</v>
      </c>
      <c r="E1325" s="14" t="str">
        <f t="shared" si="162"/>
        <v>Roll Bending Machine</v>
      </c>
      <c r="F1325" s="22">
        <f t="shared" si="163"/>
        <v>4</v>
      </c>
      <c r="H1325" s="5" t="str">
        <f ca="1">_xlfn.FORMULATEXT(표1[[#This Row],[Q''ty]])</f>
        <v>=F1226</v>
      </c>
      <c r="I1325" s="28">
        <v>46119</v>
      </c>
    </row>
    <row r="1326" spans="1:10" ht="15" hidden="1" customHeight="1" x14ac:dyDescent="0.4">
      <c r="A1326" s="6">
        <v>2026</v>
      </c>
      <c r="B1326" s="6">
        <f t="shared" si="159"/>
        <v>14</v>
      </c>
      <c r="C1326" s="13" t="s">
        <v>19</v>
      </c>
      <c r="D1326" s="2" t="s">
        <v>6</v>
      </c>
      <c r="E1326" s="14" t="str">
        <f t="shared" si="162"/>
        <v>L/W Machine</v>
      </c>
      <c r="F1326" s="22">
        <f t="shared" si="163"/>
        <v>10</v>
      </c>
      <c r="H1326" s="5" t="str">
        <f ca="1">_xlfn.FORMULATEXT(표1[[#This Row],[Q''ty]])</f>
        <v>=F1227</v>
      </c>
      <c r="I1326" s="28">
        <v>46119</v>
      </c>
    </row>
    <row r="1327" spans="1:10" ht="15" hidden="1" customHeight="1" x14ac:dyDescent="0.4">
      <c r="A1327" s="6">
        <v>2026</v>
      </c>
      <c r="B1327" s="6">
        <f t="shared" si="159"/>
        <v>14</v>
      </c>
      <c r="C1327" s="13" t="s">
        <v>19</v>
      </c>
      <c r="D1327" s="2" t="s">
        <v>6</v>
      </c>
      <c r="E1327" s="14" t="str">
        <f t="shared" si="162"/>
        <v>C/W Machine</v>
      </c>
      <c r="F1327" s="22">
        <f t="shared" si="163"/>
        <v>12</v>
      </c>
      <c r="H1327" s="5" t="str">
        <f ca="1">_xlfn.FORMULATEXT(표1[[#This Row],[Q''ty]])</f>
        <v>=F1228</v>
      </c>
      <c r="I1327" s="28">
        <v>46119</v>
      </c>
    </row>
    <row r="1328" spans="1:10" ht="15" customHeight="1" thickTop="1" x14ac:dyDescent="0.4">
      <c r="A1328" s="6">
        <v>2026</v>
      </c>
      <c r="B1328" s="6">
        <f t="shared" si="159"/>
        <v>14</v>
      </c>
      <c r="C1328" s="13" t="s">
        <v>19</v>
      </c>
      <c r="D1328" s="2" t="s">
        <v>12</v>
      </c>
      <c r="E1328" s="14" t="str">
        <f t="shared" si="162"/>
        <v>BT GT</v>
      </c>
      <c r="F1328" s="22">
        <v>14</v>
      </c>
      <c r="H1328" s="5" t="e">
        <f ca="1">_xlfn.FORMULATEXT(표1[[#This Row],[Q''ty]])</f>
        <v>#N/A</v>
      </c>
      <c r="I1328" s="28">
        <v>46125</v>
      </c>
      <c r="J1328" s="28">
        <v>46119</v>
      </c>
    </row>
    <row r="1329" spans="1:10" ht="15" customHeight="1" x14ac:dyDescent="0.4">
      <c r="A1329" s="6">
        <v>2026</v>
      </c>
      <c r="B1329" s="6">
        <f t="shared" si="159"/>
        <v>14</v>
      </c>
      <c r="C1329" s="13" t="s">
        <v>19</v>
      </c>
      <c r="D1329" s="2" t="s">
        <v>12</v>
      </c>
      <c r="E1329" s="14" t="str">
        <f t="shared" si="162"/>
        <v>WT GT</v>
      </c>
      <c r="F1329" s="22">
        <v>14</v>
      </c>
      <c r="H1329" s="5" t="e">
        <f ca="1">_xlfn.FORMULATEXT(표1[[#This Row],[Q''ty]])</f>
        <v>#N/A</v>
      </c>
      <c r="I1329" s="28">
        <v>46125</v>
      </c>
      <c r="J1329" s="28">
        <v>46119</v>
      </c>
    </row>
    <row r="1330" spans="1:10" ht="15" customHeight="1" x14ac:dyDescent="0.4">
      <c r="A1330" s="6">
        <v>2026</v>
      </c>
      <c r="B1330" s="6">
        <f t="shared" si="159"/>
        <v>14</v>
      </c>
      <c r="C1330" s="13" t="s">
        <v>19</v>
      </c>
      <c r="D1330" s="2" t="s">
        <v>12</v>
      </c>
      <c r="E1330" s="14" t="str">
        <f t="shared" si="162"/>
        <v>Bending</v>
      </c>
      <c r="F1330" s="22">
        <v>113</v>
      </c>
      <c r="H1330" s="5" t="e">
        <f ca="1">_xlfn.FORMULATEXT(표1[[#This Row],[Q''ty]])</f>
        <v>#N/A</v>
      </c>
      <c r="I1330" s="28">
        <v>46125</v>
      </c>
      <c r="J1330" s="28">
        <v>46119</v>
      </c>
    </row>
    <row r="1331" spans="1:10" ht="15" customHeight="1" x14ac:dyDescent="0.4">
      <c r="A1331" s="6">
        <v>2026</v>
      </c>
      <c r="B1331" s="6">
        <f t="shared" si="159"/>
        <v>14</v>
      </c>
      <c r="C1331" s="13" t="s">
        <v>19</v>
      </c>
      <c r="D1331" s="2" t="s">
        <v>12</v>
      </c>
      <c r="E1331" s="14" t="str">
        <f t="shared" si="162"/>
        <v>L/W</v>
      </c>
      <c r="F1331" s="22">
        <v>113</v>
      </c>
      <c r="H1331" s="5" t="e">
        <f ca="1">_xlfn.FORMULATEXT(표1[[#This Row],[Q''ty]])</f>
        <v>#N/A</v>
      </c>
      <c r="I1331" s="28">
        <v>46125</v>
      </c>
      <c r="J1331" s="28">
        <v>46119</v>
      </c>
    </row>
    <row r="1332" spans="1:10" ht="15" customHeight="1" thickBot="1" x14ac:dyDescent="0.45">
      <c r="A1332" s="15">
        <v>2026</v>
      </c>
      <c r="B1332" s="15">
        <f t="shared" si="159"/>
        <v>14</v>
      </c>
      <c r="C1332" s="16" t="s">
        <v>19</v>
      </c>
      <c r="D1332" s="17" t="s">
        <v>12</v>
      </c>
      <c r="E1332" s="18" t="str">
        <f t="shared" si="162"/>
        <v>C/W</v>
      </c>
      <c r="F1332" s="23">
        <v>139</v>
      </c>
      <c r="H1332" s="5" t="e">
        <f ca="1">_xlfn.FORMULATEXT(표1[[#This Row],[Q''ty]])</f>
        <v>#N/A</v>
      </c>
      <c r="I1332" s="28">
        <v>46125</v>
      </c>
      <c r="J1332" s="28">
        <v>46119</v>
      </c>
    </row>
    <row r="1333" spans="1:10" ht="15" hidden="1" customHeight="1" thickTop="1" x14ac:dyDescent="0.4">
      <c r="A1333" s="6">
        <v>2026</v>
      </c>
      <c r="B1333" s="6">
        <f t="shared" si="159"/>
        <v>14</v>
      </c>
      <c r="C1333" s="13" t="s">
        <v>25</v>
      </c>
      <c r="D1333" s="2" t="s">
        <v>6</v>
      </c>
      <c r="E1333" s="14" t="s">
        <v>7</v>
      </c>
      <c r="F1333" s="22">
        <f t="shared" ref="F1333:F1338" si="164">F1234</f>
        <v>3</v>
      </c>
      <c r="H1333" s="5" t="str">
        <f ca="1">_xlfn.FORMULATEXT(표1[[#This Row],[Q''ty]])</f>
        <v>=F1234</v>
      </c>
    </row>
    <row r="1334" spans="1:10" ht="15" hidden="1" customHeight="1" x14ac:dyDescent="0.4">
      <c r="A1334" s="6">
        <v>2026</v>
      </c>
      <c r="B1334" s="6">
        <f t="shared" si="159"/>
        <v>14</v>
      </c>
      <c r="C1334" s="13" t="s">
        <v>25</v>
      </c>
      <c r="D1334" s="2" t="s">
        <v>6</v>
      </c>
      <c r="E1334" s="14" t="s">
        <v>8</v>
      </c>
      <c r="F1334" s="22">
        <f t="shared" si="164"/>
        <v>3</v>
      </c>
      <c r="H1334" s="5" t="str">
        <f ca="1">_xlfn.FORMULATEXT(표1[[#This Row],[Q''ty]])</f>
        <v>=F1235</v>
      </c>
    </row>
    <row r="1335" spans="1:10" ht="15" hidden="1" customHeight="1" x14ac:dyDescent="0.4">
      <c r="A1335" s="6">
        <v>2026</v>
      </c>
      <c r="B1335" s="6">
        <f t="shared" si="159"/>
        <v>14</v>
      </c>
      <c r="C1335" s="13" t="s">
        <v>25</v>
      </c>
      <c r="D1335" s="2" t="s">
        <v>6</v>
      </c>
      <c r="E1335" s="14" t="s">
        <v>9</v>
      </c>
      <c r="F1335" s="22">
        <f t="shared" si="164"/>
        <v>2</v>
      </c>
      <c r="H1335" s="5" t="str">
        <f ca="1">_xlfn.FORMULATEXT(표1[[#This Row],[Q''ty]])</f>
        <v>=F1236</v>
      </c>
    </row>
    <row r="1336" spans="1:10" ht="15" hidden="1" customHeight="1" x14ac:dyDescent="0.4">
      <c r="A1336" s="6">
        <v>2026</v>
      </c>
      <c r="B1336" s="6">
        <f t="shared" si="159"/>
        <v>14</v>
      </c>
      <c r="C1336" s="13" t="s">
        <v>25</v>
      </c>
      <c r="D1336" s="2" t="s">
        <v>6</v>
      </c>
      <c r="E1336" s="14" t="s">
        <v>27</v>
      </c>
      <c r="F1336" s="22">
        <f t="shared" si="164"/>
        <v>2</v>
      </c>
      <c r="H1336" s="5" t="str">
        <f ca="1">_xlfn.FORMULATEXT(표1[[#This Row],[Q''ty]])</f>
        <v>=F1237</v>
      </c>
    </row>
    <row r="1337" spans="1:10" ht="15" hidden="1" customHeight="1" x14ac:dyDescent="0.4">
      <c r="A1337" s="6">
        <v>2026</v>
      </c>
      <c r="B1337" s="6">
        <f t="shared" si="159"/>
        <v>14</v>
      </c>
      <c r="C1337" s="13" t="s">
        <v>25</v>
      </c>
      <c r="D1337" s="2" t="s">
        <v>6</v>
      </c>
      <c r="E1337" s="14" t="s">
        <v>10</v>
      </c>
      <c r="F1337" s="22">
        <f t="shared" si="164"/>
        <v>3</v>
      </c>
      <c r="H1337" s="5" t="str">
        <f ca="1">_xlfn.FORMULATEXT(표1[[#This Row],[Q''ty]])</f>
        <v>=F1238</v>
      </c>
    </row>
    <row r="1338" spans="1:10" ht="15" hidden="1" customHeight="1" x14ac:dyDescent="0.4">
      <c r="A1338" s="6">
        <v>2026</v>
      </c>
      <c r="B1338" s="6">
        <f t="shared" si="159"/>
        <v>14</v>
      </c>
      <c r="C1338" s="13" t="s">
        <v>25</v>
      </c>
      <c r="D1338" s="2" t="s">
        <v>6</v>
      </c>
      <c r="E1338" s="14" t="s">
        <v>11</v>
      </c>
      <c r="F1338" s="22">
        <f t="shared" si="164"/>
        <v>4</v>
      </c>
      <c r="H1338" s="5" t="str">
        <f ca="1">_xlfn.FORMULATEXT(표1[[#This Row],[Q''ty]])</f>
        <v>=F1239</v>
      </c>
    </row>
    <row r="1339" spans="1:10" ht="15" customHeight="1" thickTop="1" x14ac:dyDescent="0.4">
      <c r="A1339" s="6">
        <v>2026</v>
      </c>
      <c r="B1339" s="6">
        <f t="shared" si="159"/>
        <v>14</v>
      </c>
      <c r="C1339" s="13" t="s">
        <v>25</v>
      </c>
      <c r="D1339" s="2" t="s">
        <v>12</v>
      </c>
      <c r="E1339" s="14" t="s">
        <v>13</v>
      </c>
      <c r="F1339" s="22">
        <v>0</v>
      </c>
      <c r="H1339" s="5" t="e">
        <f ca="1">_xlfn.FORMULATEXT(표1[[#This Row],[Q''ty]])</f>
        <v>#N/A</v>
      </c>
      <c r="I1339" s="28">
        <v>46119</v>
      </c>
      <c r="J1339" s="28">
        <v>46118</v>
      </c>
    </row>
    <row r="1340" spans="1:10" ht="15" customHeight="1" x14ac:dyDescent="0.4">
      <c r="A1340" s="6">
        <v>2026</v>
      </c>
      <c r="B1340" s="6">
        <f t="shared" si="159"/>
        <v>14</v>
      </c>
      <c r="C1340" s="13" t="s">
        <v>25</v>
      </c>
      <c r="D1340" s="2" t="s">
        <v>12</v>
      </c>
      <c r="E1340" s="14" t="s">
        <v>14</v>
      </c>
      <c r="F1340" s="22">
        <v>0</v>
      </c>
      <c r="H1340" s="5" t="e">
        <f ca="1">_xlfn.FORMULATEXT(표1[[#This Row],[Q''ty]])</f>
        <v>#N/A</v>
      </c>
      <c r="I1340" s="28">
        <v>46119</v>
      </c>
      <c r="J1340" s="28">
        <v>46118</v>
      </c>
    </row>
    <row r="1341" spans="1:10" ht="15" customHeight="1" x14ac:dyDescent="0.4">
      <c r="A1341" s="6">
        <v>2026</v>
      </c>
      <c r="B1341" s="6">
        <f t="shared" si="159"/>
        <v>14</v>
      </c>
      <c r="C1341" s="13" t="s">
        <v>25</v>
      </c>
      <c r="D1341" s="2" t="s">
        <v>12</v>
      </c>
      <c r="E1341" s="14" t="s">
        <v>15</v>
      </c>
      <c r="F1341" s="22">
        <v>0</v>
      </c>
      <c r="H1341" s="5" t="e">
        <f ca="1">_xlfn.FORMULATEXT(표1[[#This Row],[Q''ty]])</f>
        <v>#N/A</v>
      </c>
      <c r="I1341" s="28">
        <v>46119</v>
      </c>
      <c r="J1341" s="28">
        <v>46118</v>
      </c>
    </row>
    <row r="1342" spans="1:10" ht="15" customHeight="1" x14ac:dyDescent="0.4">
      <c r="A1342" s="6">
        <v>2026</v>
      </c>
      <c r="B1342" s="6">
        <f t="shared" si="159"/>
        <v>14</v>
      </c>
      <c r="C1342" s="13" t="s">
        <v>25</v>
      </c>
      <c r="D1342" s="2" t="s">
        <v>12</v>
      </c>
      <c r="E1342" s="14" t="s">
        <v>16</v>
      </c>
      <c r="F1342" s="22">
        <v>0</v>
      </c>
      <c r="H1342" s="5" t="e">
        <f ca="1">_xlfn.FORMULATEXT(표1[[#This Row],[Q''ty]])</f>
        <v>#N/A</v>
      </c>
      <c r="I1342" s="28">
        <v>46119</v>
      </c>
      <c r="J1342" s="28">
        <v>46118</v>
      </c>
    </row>
    <row r="1343" spans="1:10" ht="15" customHeight="1" thickBot="1" x14ac:dyDescent="0.45">
      <c r="A1343" s="15">
        <v>2026</v>
      </c>
      <c r="B1343" s="15">
        <f t="shared" si="159"/>
        <v>14</v>
      </c>
      <c r="C1343" s="16" t="s">
        <v>25</v>
      </c>
      <c r="D1343" s="17" t="s">
        <v>12</v>
      </c>
      <c r="E1343" s="18" t="s">
        <v>17</v>
      </c>
      <c r="F1343" s="23">
        <v>0</v>
      </c>
      <c r="H1343" s="5" t="e">
        <f ca="1">_xlfn.FORMULATEXT(표1[[#This Row],[Q''ty]])</f>
        <v>#N/A</v>
      </c>
      <c r="I1343" s="28">
        <v>46119</v>
      </c>
      <c r="J1343" s="28">
        <v>46118</v>
      </c>
    </row>
    <row r="1344" spans="1:10" ht="15" hidden="1" customHeight="1" thickTop="1" x14ac:dyDescent="0.4">
      <c r="A1344" s="6">
        <v>2026</v>
      </c>
      <c r="B1344" s="6">
        <f t="shared" si="159"/>
        <v>14</v>
      </c>
      <c r="C1344" s="13" t="s">
        <v>26</v>
      </c>
      <c r="D1344" s="2" t="s">
        <v>6</v>
      </c>
      <c r="E1344" s="14" t="s">
        <v>7</v>
      </c>
      <c r="F1344" s="22">
        <f t="shared" ref="F1344:F1349" si="165">F1245</f>
        <v>6</v>
      </c>
      <c r="H1344" s="5" t="str">
        <f ca="1">_xlfn.FORMULATEXT(표1[[#This Row],[Q''ty]])</f>
        <v>=F1245</v>
      </c>
    </row>
    <row r="1345" spans="1:10" ht="15" hidden="1" customHeight="1" x14ac:dyDescent="0.4">
      <c r="A1345" s="6">
        <v>2026</v>
      </c>
      <c r="B1345" s="6">
        <f t="shared" si="159"/>
        <v>14</v>
      </c>
      <c r="C1345" s="13" t="s">
        <v>26</v>
      </c>
      <c r="D1345" s="2" t="s">
        <v>6</v>
      </c>
      <c r="E1345" s="14" t="s">
        <v>8</v>
      </c>
      <c r="F1345" s="22">
        <f t="shared" si="165"/>
        <v>4</v>
      </c>
      <c r="H1345" s="5" t="str">
        <f ca="1">_xlfn.FORMULATEXT(표1[[#This Row],[Q''ty]])</f>
        <v>=F1246</v>
      </c>
    </row>
    <row r="1346" spans="1:10" ht="15" hidden="1" customHeight="1" x14ac:dyDescent="0.4">
      <c r="A1346" s="6">
        <v>2026</v>
      </c>
      <c r="B1346" s="6">
        <f t="shared" si="159"/>
        <v>14</v>
      </c>
      <c r="C1346" s="13" t="s">
        <v>26</v>
      </c>
      <c r="D1346" s="2" t="s">
        <v>6</v>
      </c>
      <c r="E1346" s="14" t="s">
        <v>9</v>
      </c>
      <c r="F1346" s="22">
        <f t="shared" si="165"/>
        <v>2</v>
      </c>
      <c r="H1346" s="5" t="str">
        <f ca="1">_xlfn.FORMULATEXT(표1[[#This Row],[Q''ty]])</f>
        <v>=F1247</v>
      </c>
    </row>
    <row r="1347" spans="1:10" ht="15" hidden="1" customHeight="1" x14ac:dyDescent="0.4">
      <c r="A1347" s="6">
        <v>2026</v>
      </c>
      <c r="B1347" s="6">
        <f t="shared" si="159"/>
        <v>14</v>
      </c>
      <c r="C1347" s="13" t="s">
        <v>26</v>
      </c>
      <c r="D1347" s="2" t="s">
        <v>6</v>
      </c>
      <c r="E1347" s="14" t="s">
        <v>27</v>
      </c>
      <c r="F1347" s="22">
        <f t="shared" si="165"/>
        <v>3</v>
      </c>
      <c r="H1347" s="5" t="str">
        <f ca="1">_xlfn.FORMULATEXT(표1[[#This Row],[Q''ty]])</f>
        <v>=F1248</v>
      </c>
    </row>
    <row r="1348" spans="1:10" ht="15" hidden="1" customHeight="1" x14ac:dyDescent="0.4">
      <c r="A1348" s="6">
        <v>2026</v>
      </c>
      <c r="B1348" s="6">
        <f t="shared" si="159"/>
        <v>14</v>
      </c>
      <c r="C1348" s="13" t="s">
        <v>26</v>
      </c>
      <c r="D1348" s="2" t="s">
        <v>6</v>
      </c>
      <c r="E1348" s="14" t="s">
        <v>10</v>
      </c>
      <c r="F1348" s="22">
        <f t="shared" si="165"/>
        <v>4</v>
      </c>
      <c r="H1348" s="5" t="str">
        <f ca="1">_xlfn.FORMULATEXT(표1[[#This Row],[Q''ty]])</f>
        <v>=F1249</v>
      </c>
    </row>
    <row r="1349" spans="1:10" ht="15" hidden="1" customHeight="1" x14ac:dyDescent="0.4">
      <c r="A1349" s="6">
        <v>2026</v>
      </c>
      <c r="B1349" s="6">
        <f t="shared" si="159"/>
        <v>14</v>
      </c>
      <c r="C1349" s="13" t="s">
        <v>26</v>
      </c>
      <c r="D1349" s="2" t="s">
        <v>6</v>
      </c>
      <c r="E1349" s="14" t="s">
        <v>11</v>
      </c>
      <c r="F1349" s="22">
        <f t="shared" si="165"/>
        <v>6</v>
      </c>
      <c r="H1349" s="5" t="str">
        <f ca="1">_xlfn.FORMULATEXT(표1[[#This Row],[Q''ty]])</f>
        <v>=F1250</v>
      </c>
    </row>
    <row r="1350" spans="1:10" ht="15" customHeight="1" thickTop="1" x14ac:dyDescent="0.4">
      <c r="A1350" s="6">
        <v>2026</v>
      </c>
      <c r="B1350" s="6">
        <f t="shared" si="159"/>
        <v>14</v>
      </c>
      <c r="C1350" s="13" t="s">
        <v>26</v>
      </c>
      <c r="D1350" s="2" t="s">
        <v>12</v>
      </c>
      <c r="E1350" s="14" t="str">
        <f t="shared" ref="E1350:E1387" si="166">E1251</f>
        <v>BT GT</v>
      </c>
      <c r="F1350" s="22">
        <v>25</v>
      </c>
      <c r="H1350" s="5" t="e">
        <f ca="1">_xlfn.FORMULATEXT(표1[[#This Row],[Q''ty]])</f>
        <v>#N/A</v>
      </c>
      <c r="I1350" s="28">
        <v>46119</v>
      </c>
      <c r="J1350" s="28">
        <v>46118</v>
      </c>
    </row>
    <row r="1351" spans="1:10" ht="15" customHeight="1" x14ac:dyDescent="0.4">
      <c r="A1351" s="6">
        <v>2026</v>
      </c>
      <c r="B1351" s="6">
        <f t="shared" si="159"/>
        <v>14</v>
      </c>
      <c r="C1351" s="13" t="s">
        <v>26</v>
      </c>
      <c r="D1351" s="2" t="s">
        <v>12</v>
      </c>
      <c r="E1351" s="14" t="str">
        <f t="shared" si="166"/>
        <v>WT GT</v>
      </c>
      <c r="F1351" s="22">
        <v>25</v>
      </c>
      <c r="H1351" s="5" t="e">
        <f ca="1">_xlfn.FORMULATEXT(표1[[#This Row],[Q''ty]])</f>
        <v>#N/A</v>
      </c>
      <c r="I1351" s="28">
        <v>46119</v>
      </c>
      <c r="J1351" s="28">
        <v>46118</v>
      </c>
    </row>
    <row r="1352" spans="1:10" ht="15" customHeight="1" x14ac:dyDescent="0.4">
      <c r="A1352" s="6">
        <v>2026</v>
      </c>
      <c r="B1352" s="6">
        <f t="shared" si="159"/>
        <v>14</v>
      </c>
      <c r="C1352" s="13" t="s">
        <v>26</v>
      </c>
      <c r="D1352" s="2" t="s">
        <v>12</v>
      </c>
      <c r="E1352" s="14" t="str">
        <f t="shared" si="166"/>
        <v>Bending</v>
      </c>
      <c r="F1352" s="22">
        <v>169</v>
      </c>
      <c r="H1352" s="5" t="e">
        <f ca="1">_xlfn.FORMULATEXT(표1[[#This Row],[Q''ty]])</f>
        <v>#N/A</v>
      </c>
      <c r="I1352" s="28">
        <v>46119</v>
      </c>
      <c r="J1352" s="28">
        <v>46118</v>
      </c>
    </row>
    <row r="1353" spans="1:10" ht="15" customHeight="1" x14ac:dyDescent="0.4">
      <c r="A1353" s="6">
        <v>2026</v>
      </c>
      <c r="B1353" s="6">
        <f t="shared" si="159"/>
        <v>14</v>
      </c>
      <c r="C1353" s="13" t="s">
        <v>26</v>
      </c>
      <c r="D1353" s="2" t="s">
        <v>12</v>
      </c>
      <c r="E1353" s="14" t="str">
        <f t="shared" si="166"/>
        <v>L/W</v>
      </c>
      <c r="F1353" s="22">
        <v>166</v>
      </c>
      <c r="H1353" s="5" t="e">
        <f ca="1">_xlfn.FORMULATEXT(표1[[#This Row],[Q''ty]])</f>
        <v>#N/A</v>
      </c>
      <c r="I1353" s="28">
        <v>46119</v>
      </c>
      <c r="J1353" s="28">
        <v>46118</v>
      </c>
    </row>
    <row r="1354" spans="1:10" ht="15" customHeight="1" thickBot="1" x14ac:dyDescent="0.45">
      <c r="A1354" s="15">
        <v>2026</v>
      </c>
      <c r="B1354" s="15">
        <f t="shared" ref="B1354:B1387" si="167">B1255+1</f>
        <v>14</v>
      </c>
      <c r="C1354" s="16" t="s">
        <v>26</v>
      </c>
      <c r="D1354" s="17" t="s">
        <v>12</v>
      </c>
      <c r="E1354" s="18" t="str">
        <f t="shared" si="166"/>
        <v>C/W</v>
      </c>
      <c r="F1354" s="23">
        <v>208</v>
      </c>
      <c r="H1354" s="5" t="e">
        <f ca="1">_xlfn.FORMULATEXT(표1[[#This Row],[Q''ty]])</f>
        <v>#N/A</v>
      </c>
      <c r="I1354" s="28">
        <v>46119</v>
      </c>
      <c r="J1354" s="28">
        <v>46118</v>
      </c>
    </row>
    <row r="1355" spans="1:10" ht="15" hidden="1" customHeight="1" thickTop="1" x14ac:dyDescent="0.4">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10" ht="15" hidden="1" customHeight="1" x14ac:dyDescent="0.4">
      <c r="A1356" s="6">
        <v>2026</v>
      </c>
      <c r="B1356" s="6">
        <f t="shared" si="167"/>
        <v>14</v>
      </c>
      <c r="C1356" s="13" t="s">
        <v>20</v>
      </c>
      <c r="D1356" s="2" t="s">
        <v>6</v>
      </c>
      <c r="E1356" s="14" t="str">
        <f t="shared" si="166"/>
        <v>Paint Booth</v>
      </c>
      <c r="F1356" s="22">
        <f t="shared" si="168"/>
        <v>16</v>
      </c>
      <c r="H1356" s="5" t="str">
        <f ca="1">_xlfn.FORMULATEXT(표1[[#This Row],[Q''ty]])</f>
        <v>=F1257</v>
      </c>
    </row>
    <row r="1357" spans="1:10" ht="15" hidden="1" customHeight="1" x14ac:dyDescent="0.4">
      <c r="A1357" s="6">
        <v>2026</v>
      </c>
      <c r="B1357" s="6">
        <f t="shared" si="167"/>
        <v>14</v>
      </c>
      <c r="C1357" s="13" t="s">
        <v>20</v>
      </c>
      <c r="D1357" s="2" t="s">
        <v>6</v>
      </c>
      <c r="E1357" s="14" t="str">
        <f t="shared" si="166"/>
        <v>Paint Line</v>
      </c>
      <c r="F1357" s="22">
        <f t="shared" si="168"/>
        <v>8</v>
      </c>
      <c r="H1357" s="5" t="str">
        <f ca="1">_xlfn.FORMULATEXT(표1[[#This Row],[Q''ty]])</f>
        <v>=F1258</v>
      </c>
    </row>
    <row r="1358" spans="1:10" ht="15" hidden="1" customHeight="1" x14ac:dyDescent="0.4">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10" ht="15" hidden="1" customHeight="1" x14ac:dyDescent="0.4">
      <c r="A1359" s="6">
        <v>2026</v>
      </c>
      <c r="B1359" s="6">
        <f t="shared" si="167"/>
        <v>14</v>
      </c>
      <c r="C1359" s="13" t="s">
        <v>20</v>
      </c>
      <c r="D1359" s="2" t="s">
        <v>6</v>
      </c>
      <c r="E1359" s="14" t="str">
        <f t="shared" si="166"/>
        <v>L/W Machine</v>
      </c>
      <c r="F1359" s="22">
        <f t="shared" si="168"/>
        <v>11</v>
      </c>
      <c r="H1359" s="5" t="str">
        <f ca="1">_xlfn.FORMULATEXT(표1[[#This Row],[Q''ty]])</f>
        <v>=F1260</v>
      </c>
    </row>
    <row r="1360" spans="1:10" ht="15" hidden="1" customHeight="1" x14ac:dyDescent="0.4">
      <c r="A1360" s="6">
        <v>2026</v>
      </c>
      <c r="B1360" s="6">
        <f t="shared" si="167"/>
        <v>14</v>
      </c>
      <c r="C1360" s="13" t="s">
        <v>20</v>
      </c>
      <c r="D1360" s="2" t="s">
        <v>6</v>
      </c>
      <c r="E1360" s="14" t="str">
        <f t="shared" si="166"/>
        <v>C/W Machine</v>
      </c>
      <c r="F1360" s="22">
        <f t="shared" si="168"/>
        <v>15</v>
      </c>
      <c r="H1360" s="5" t="str">
        <f ca="1">_xlfn.FORMULATEXT(표1[[#This Row],[Q''ty]])</f>
        <v>=F1261</v>
      </c>
    </row>
    <row r="1361" spans="1:10" ht="15" customHeight="1" thickTop="1" x14ac:dyDescent="0.4">
      <c r="A1361" s="6">
        <v>2026</v>
      </c>
      <c r="B1361" s="6">
        <f t="shared" si="167"/>
        <v>14</v>
      </c>
      <c r="C1361" s="13" t="s">
        <v>20</v>
      </c>
      <c r="D1361" s="2" t="s">
        <v>12</v>
      </c>
      <c r="E1361" s="14" t="str">
        <f t="shared" si="166"/>
        <v>BT GT</v>
      </c>
      <c r="F1361" s="22">
        <v>73</v>
      </c>
      <c r="H1361" s="5" t="e">
        <f ca="1">_xlfn.FORMULATEXT(표1[[#This Row],[Q''ty]])</f>
        <v>#N/A</v>
      </c>
      <c r="I1361" s="28">
        <v>46119</v>
      </c>
      <c r="J1361" s="28">
        <v>46119</v>
      </c>
    </row>
    <row r="1362" spans="1:10" ht="15" customHeight="1" x14ac:dyDescent="0.4">
      <c r="A1362" s="6">
        <v>2026</v>
      </c>
      <c r="B1362" s="6">
        <f t="shared" si="167"/>
        <v>14</v>
      </c>
      <c r="C1362" s="13" t="s">
        <v>20</v>
      </c>
      <c r="D1362" s="2" t="s">
        <v>12</v>
      </c>
      <c r="E1362" s="14" t="str">
        <f t="shared" si="166"/>
        <v>WT GT</v>
      </c>
      <c r="F1362" s="22">
        <v>73</v>
      </c>
      <c r="H1362" s="5" t="e">
        <f ca="1">_xlfn.FORMULATEXT(표1[[#This Row],[Q''ty]])</f>
        <v>#N/A</v>
      </c>
      <c r="I1362" s="28">
        <v>46119</v>
      </c>
      <c r="J1362" s="28">
        <v>46119</v>
      </c>
    </row>
    <row r="1363" spans="1:10" ht="15" customHeight="1" x14ac:dyDescent="0.4">
      <c r="A1363" s="6">
        <v>2026</v>
      </c>
      <c r="B1363" s="6">
        <f t="shared" si="167"/>
        <v>14</v>
      </c>
      <c r="C1363" s="13" t="s">
        <v>20</v>
      </c>
      <c r="D1363" s="2" t="s">
        <v>12</v>
      </c>
      <c r="E1363" s="14" t="str">
        <f t="shared" si="166"/>
        <v>Bending</v>
      </c>
      <c r="F1363" s="22">
        <v>594</v>
      </c>
      <c r="H1363" s="5" t="e">
        <f ca="1">_xlfn.FORMULATEXT(표1[[#This Row],[Q''ty]])</f>
        <v>#N/A</v>
      </c>
      <c r="I1363" s="28">
        <v>46119</v>
      </c>
      <c r="J1363" s="28">
        <v>46119</v>
      </c>
    </row>
    <row r="1364" spans="1:10" ht="15" customHeight="1" x14ac:dyDescent="0.4">
      <c r="A1364" s="6">
        <v>2026</v>
      </c>
      <c r="B1364" s="6">
        <f t="shared" si="167"/>
        <v>14</v>
      </c>
      <c r="C1364" s="13" t="s">
        <v>20</v>
      </c>
      <c r="D1364" s="2" t="s">
        <v>12</v>
      </c>
      <c r="E1364" s="14" t="str">
        <f t="shared" si="166"/>
        <v>L/W</v>
      </c>
      <c r="F1364" s="22">
        <v>575</v>
      </c>
      <c r="H1364" s="5" t="e">
        <f ca="1">_xlfn.FORMULATEXT(표1[[#This Row],[Q''ty]])</f>
        <v>#N/A</v>
      </c>
      <c r="I1364" s="28">
        <v>46119</v>
      </c>
      <c r="J1364" s="28">
        <v>46119</v>
      </c>
    </row>
    <row r="1365" spans="1:10" ht="15" customHeight="1" thickBot="1" x14ac:dyDescent="0.45">
      <c r="A1365" s="15">
        <v>2026</v>
      </c>
      <c r="B1365" s="15">
        <f t="shared" si="167"/>
        <v>14</v>
      </c>
      <c r="C1365" s="16" t="s">
        <v>20</v>
      </c>
      <c r="D1365" s="17" t="s">
        <v>12</v>
      </c>
      <c r="E1365" s="18" t="str">
        <f t="shared" si="166"/>
        <v>C/W</v>
      </c>
      <c r="F1365" s="23">
        <v>538</v>
      </c>
      <c r="H1365" s="5" t="e">
        <f ca="1">_xlfn.FORMULATEXT(표1[[#This Row],[Q''ty]])</f>
        <v>#N/A</v>
      </c>
      <c r="I1365" s="28">
        <v>46119</v>
      </c>
      <c r="J1365" s="28">
        <v>46119</v>
      </c>
    </row>
    <row r="1366" spans="1:10" ht="15" hidden="1" customHeight="1" thickTop="1" x14ac:dyDescent="0.4">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10" ht="15" hidden="1" customHeight="1" x14ac:dyDescent="0.4">
      <c r="A1367" s="6">
        <v>2026</v>
      </c>
      <c r="B1367" s="6">
        <f t="shared" si="167"/>
        <v>14</v>
      </c>
      <c r="C1367" s="13" t="s">
        <v>21</v>
      </c>
      <c r="D1367" s="2" t="s">
        <v>6</v>
      </c>
      <c r="E1367" s="14" t="str">
        <f t="shared" si="166"/>
        <v>Paint Booth</v>
      </c>
      <c r="F1367" s="22">
        <f t="shared" si="169"/>
        <v>4</v>
      </c>
      <c r="H1367" s="5" t="str">
        <f ca="1">_xlfn.FORMULATEXT(표1[[#This Row],[Q''ty]])</f>
        <v>=F1268</v>
      </c>
    </row>
    <row r="1368" spans="1:10" ht="15" hidden="1" customHeight="1" x14ac:dyDescent="0.4">
      <c r="A1368" s="6">
        <v>2026</v>
      </c>
      <c r="B1368" s="6">
        <f t="shared" si="167"/>
        <v>14</v>
      </c>
      <c r="C1368" s="13" t="s">
        <v>21</v>
      </c>
      <c r="D1368" s="2" t="s">
        <v>6</v>
      </c>
      <c r="E1368" s="14" t="str">
        <f t="shared" si="166"/>
        <v>Paint Line</v>
      </c>
      <c r="F1368" s="22">
        <f t="shared" si="169"/>
        <v>4</v>
      </c>
      <c r="H1368" s="5" t="str">
        <f ca="1">_xlfn.FORMULATEXT(표1[[#This Row],[Q''ty]])</f>
        <v>=F1269</v>
      </c>
    </row>
    <row r="1369" spans="1:10" ht="15" hidden="1" customHeight="1" x14ac:dyDescent="0.4">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10" ht="15" hidden="1" customHeight="1" x14ac:dyDescent="0.4">
      <c r="A1370" s="6">
        <v>2026</v>
      </c>
      <c r="B1370" s="6">
        <f t="shared" si="167"/>
        <v>14</v>
      </c>
      <c r="C1370" s="13" t="s">
        <v>21</v>
      </c>
      <c r="D1370" s="2" t="s">
        <v>6</v>
      </c>
      <c r="E1370" s="14" t="str">
        <f t="shared" si="166"/>
        <v>L/W Machine</v>
      </c>
      <c r="F1370" s="22">
        <f t="shared" si="169"/>
        <v>4</v>
      </c>
      <c r="H1370" s="5" t="str">
        <f ca="1">_xlfn.FORMULATEXT(표1[[#This Row],[Q''ty]])</f>
        <v>=F1271</v>
      </c>
    </row>
    <row r="1371" spans="1:10" ht="15" hidden="1" customHeight="1" x14ac:dyDescent="0.4">
      <c r="A1371" s="6">
        <v>2026</v>
      </c>
      <c r="B1371" s="6">
        <f t="shared" si="167"/>
        <v>14</v>
      </c>
      <c r="C1371" s="13" t="s">
        <v>21</v>
      </c>
      <c r="D1371" s="2" t="s">
        <v>6</v>
      </c>
      <c r="E1371" s="14" t="str">
        <f t="shared" si="166"/>
        <v>C/W Machine</v>
      </c>
      <c r="F1371" s="22">
        <f t="shared" si="169"/>
        <v>6.5</v>
      </c>
      <c r="H1371" s="5" t="str">
        <f ca="1">_xlfn.FORMULATEXT(표1[[#This Row],[Q''ty]])</f>
        <v>=F1272</v>
      </c>
    </row>
    <row r="1372" spans="1:10" ht="15" customHeight="1" thickTop="1" x14ac:dyDescent="0.4">
      <c r="A1372" s="6">
        <v>2026</v>
      </c>
      <c r="B1372" s="6">
        <f t="shared" si="167"/>
        <v>14</v>
      </c>
      <c r="C1372" s="13" t="s">
        <v>21</v>
      </c>
      <c r="D1372" s="2" t="s">
        <v>12</v>
      </c>
      <c r="E1372" s="14" t="str">
        <f t="shared" si="166"/>
        <v>BT GT</v>
      </c>
      <c r="F1372" s="22">
        <v>12</v>
      </c>
      <c r="H1372" s="5" t="e">
        <f ca="1">_xlfn.FORMULATEXT(표1[[#This Row],[Q''ty]])</f>
        <v>#N/A</v>
      </c>
      <c r="I1372" s="28">
        <v>46119</v>
      </c>
      <c r="J1372" s="28">
        <v>46118</v>
      </c>
    </row>
    <row r="1373" spans="1:10" ht="15" customHeight="1" x14ac:dyDescent="0.4">
      <c r="A1373" s="6">
        <v>2026</v>
      </c>
      <c r="B1373" s="6">
        <f t="shared" si="167"/>
        <v>14</v>
      </c>
      <c r="C1373" s="13" t="s">
        <v>21</v>
      </c>
      <c r="D1373" s="2" t="s">
        <v>12</v>
      </c>
      <c r="E1373" s="14" t="str">
        <f t="shared" si="166"/>
        <v>WT GT</v>
      </c>
      <c r="F1373" s="22">
        <v>12</v>
      </c>
      <c r="H1373" s="5" t="e">
        <f ca="1">_xlfn.FORMULATEXT(표1[[#This Row],[Q''ty]])</f>
        <v>#N/A</v>
      </c>
      <c r="I1373" s="28">
        <v>46119</v>
      </c>
      <c r="J1373" s="28">
        <v>46118</v>
      </c>
    </row>
    <row r="1374" spans="1:10" ht="15" customHeight="1" x14ac:dyDescent="0.4">
      <c r="A1374" s="6">
        <v>2026</v>
      </c>
      <c r="B1374" s="6">
        <f t="shared" si="167"/>
        <v>14</v>
      </c>
      <c r="C1374" s="13" t="s">
        <v>21</v>
      </c>
      <c r="D1374" s="2" t="s">
        <v>12</v>
      </c>
      <c r="E1374" s="14" t="str">
        <f t="shared" si="166"/>
        <v>Bending</v>
      </c>
      <c r="F1374" s="22">
        <v>83</v>
      </c>
      <c r="H1374" s="5" t="e">
        <f ca="1">_xlfn.FORMULATEXT(표1[[#This Row],[Q''ty]])</f>
        <v>#N/A</v>
      </c>
      <c r="I1374" s="28">
        <v>46119</v>
      </c>
      <c r="J1374" s="28">
        <v>46118</v>
      </c>
    </row>
    <row r="1375" spans="1:10" ht="15" customHeight="1" x14ac:dyDescent="0.4">
      <c r="A1375" s="6">
        <v>2026</v>
      </c>
      <c r="B1375" s="6">
        <f t="shared" si="167"/>
        <v>14</v>
      </c>
      <c r="C1375" s="13" t="s">
        <v>21</v>
      </c>
      <c r="D1375" s="2" t="s">
        <v>12</v>
      </c>
      <c r="E1375" s="14" t="str">
        <f t="shared" si="166"/>
        <v>L/W</v>
      </c>
      <c r="F1375" s="22">
        <v>75</v>
      </c>
      <c r="H1375" s="5" t="e">
        <f ca="1">_xlfn.FORMULATEXT(표1[[#This Row],[Q''ty]])</f>
        <v>#N/A</v>
      </c>
      <c r="I1375" s="28">
        <v>46119</v>
      </c>
      <c r="J1375" s="28">
        <v>46118</v>
      </c>
    </row>
    <row r="1376" spans="1:10" ht="15" customHeight="1" thickBot="1" x14ac:dyDescent="0.45">
      <c r="A1376" s="15">
        <v>2026</v>
      </c>
      <c r="B1376" s="15">
        <f t="shared" si="167"/>
        <v>14</v>
      </c>
      <c r="C1376" s="16" t="s">
        <v>21</v>
      </c>
      <c r="D1376" s="17" t="s">
        <v>12</v>
      </c>
      <c r="E1376" s="18" t="str">
        <f t="shared" si="166"/>
        <v>C/W</v>
      </c>
      <c r="F1376" s="23">
        <v>102</v>
      </c>
      <c r="H1376" s="5" t="e">
        <f ca="1">_xlfn.FORMULATEXT(표1[[#This Row],[Q''ty]])</f>
        <v>#N/A</v>
      </c>
      <c r="I1376" s="28">
        <v>46119</v>
      </c>
      <c r="J1376" s="28">
        <v>46118</v>
      </c>
    </row>
    <row r="1377" spans="1:10" ht="15" hidden="1" customHeight="1" thickTop="1" x14ac:dyDescent="0.4">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4">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4">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4">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4">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4">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customHeight="1" thickTop="1" x14ac:dyDescent="0.4">
      <c r="A1383" s="6">
        <v>2026</v>
      </c>
      <c r="B1383" s="6">
        <f t="shared" si="167"/>
        <v>14</v>
      </c>
      <c r="C1383" s="13" t="s">
        <v>22</v>
      </c>
      <c r="D1383" s="2" t="s">
        <v>12</v>
      </c>
      <c r="E1383" s="14" t="str">
        <f t="shared" si="166"/>
        <v>BT GT</v>
      </c>
      <c r="F1383" s="22">
        <v>3</v>
      </c>
      <c r="H1383" s="5" t="e">
        <f ca="1">_xlfn.FORMULATEXT(표1[[#This Row],[Q''ty]])</f>
        <v>#N/A</v>
      </c>
      <c r="I1383" s="28">
        <v>46125</v>
      </c>
      <c r="J1383" s="28">
        <v>46120</v>
      </c>
    </row>
    <row r="1384" spans="1:10" ht="15" customHeight="1" x14ac:dyDescent="0.4">
      <c r="A1384" s="6">
        <v>2026</v>
      </c>
      <c r="B1384" s="6">
        <f t="shared" si="167"/>
        <v>14</v>
      </c>
      <c r="C1384" s="13" t="s">
        <v>22</v>
      </c>
      <c r="D1384" s="2" t="s">
        <v>12</v>
      </c>
      <c r="E1384" s="14" t="str">
        <f t="shared" si="166"/>
        <v>WT GT</v>
      </c>
      <c r="F1384" s="22">
        <v>9</v>
      </c>
      <c r="H1384" s="5" t="e">
        <f ca="1">_xlfn.FORMULATEXT(표1[[#This Row],[Q''ty]])</f>
        <v>#N/A</v>
      </c>
      <c r="I1384" s="28">
        <v>46125</v>
      </c>
      <c r="J1384" s="28">
        <v>46120</v>
      </c>
    </row>
    <row r="1385" spans="1:10" ht="15" customHeight="1" x14ac:dyDescent="0.4">
      <c r="A1385" s="6">
        <v>2026</v>
      </c>
      <c r="B1385" s="6">
        <f t="shared" si="167"/>
        <v>14</v>
      </c>
      <c r="C1385" s="13" t="s">
        <v>22</v>
      </c>
      <c r="D1385" s="2" t="s">
        <v>12</v>
      </c>
      <c r="E1385" s="14" t="str">
        <f t="shared" si="166"/>
        <v>Bending</v>
      </c>
      <c r="F1385" s="22">
        <f>38+40</f>
        <v>78</v>
      </c>
      <c r="H1385" s="5" t="str">
        <f ca="1">_xlfn.FORMULATEXT(표1[[#This Row],[Q''ty]])</f>
        <v>=38+40</v>
      </c>
      <c r="I1385" s="28">
        <v>46125</v>
      </c>
      <c r="J1385" s="28">
        <v>46120</v>
      </c>
    </row>
    <row r="1386" spans="1:10" ht="15" customHeight="1" x14ac:dyDescent="0.4">
      <c r="A1386" s="6">
        <v>2026</v>
      </c>
      <c r="B1386" s="6">
        <f t="shared" si="167"/>
        <v>14</v>
      </c>
      <c r="C1386" s="13" t="s">
        <v>22</v>
      </c>
      <c r="D1386" s="2" t="s">
        <v>12</v>
      </c>
      <c r="E1386" s="14" t="str">
        <f t="shared" si="166"/>
        <v>L/W</v>
      </c>
      <c r="F1386" s="22">
        <f>46+40</f>
        <v>86</v>
      </c>
      <c r="H1386" s="5" t="str">
        <f ca="1">_xlfn.FORMULATEXT(표1[[#This Row],[Q''ty]])</f>
        <v>=46+40</v>
      </c>
      <c r="I1386" s="28">
        <v>46125</v>
      </c>
      <c r="J1386" s="28">
        <v>46120</v>
      </c>
    </row>
    <row r="1387" spans="1:10" ht="15" customHeight="1" x14ac:dyDescent="0.4">
      <c r="A1387" s="6">
        <v>2026</v>
      </c>
      <c r="B1387" s="6">
        <f t="shared" si="167"/>
        <v>14</v>
      </c>
      <c r="C1387" s="13" t="s">
        <v>22</v>
      </c>
      <c r="D1387" s="2" t="s">
        <v>12</v>
      </c>
      <c r="E1387" s="14" t="str">
        <f t="shared" si="166"/>
        <v>C/W</v>
      </c>
      <c r="F1387" s="22">
        <f>48+10</f>
        <v>58</v>
      </c>
      <c r="H1387" s="5" t="str">
        <f ca="1">_xlfn.FORMULATEXT(표1[[#This Row],[Q''ty]])</f>
        <v>=48+10</v>
      </c>
      <c r="I1387" s="28">
        <v>46125</v>
      </c>
      <c r="J1387" s="28">
        <v>46120</v>
      </c>
    </row>
    <row r="1388" spans="1:10" ht="15" hidden="1" customHeight="1" thickTop="1" x14ac:dyDescent="0.4">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4">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4">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4">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4">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4">
      <c r="A1393" s="6">
        <v>2026</v>
      </c>
      <c r="B1393" s="6">
        <f t="shared" si="172"/>
        <v>15</v>
      </c>
      <c r="C1393" s="13" t="s">
        <v>23</v>
      </c>
      <c r="D1393" s="2" t="s">
        <v>6</v>
      </c>
      <c r="E1393" s="14" t="s">
        <v>11</v>
      </c>
      <c r="F1393" s="22">
        <f t="shared" si="171"/>
        <v>10</v>
      </c>
      <c r="H1393" s="5" t="str">
        <f ca="1">_xlfn.FORMULATEXT(표1[[#This Row],[Q''ty]])</f>
        <v>=F1294</v>
      </c>
    </row>
    <row r="1394" spans="1:10" ht="15" customHeight="1" x14ac:dyDescent="0.4">
      <c r="A1394" s="6">
        <v>2026</v>
      </c>
      <c r="B1394" s="6">
        <f t="shared" si="172"/>
        <v>15</v>
      </c>
      <c r="C1394" s="13" t="s">
        <v>23</v>
      </c>
      <c r="D1394" s="2" t="s">
        <v>12</v>
      </c>
      <c r="E1394" s="14" t="s">
        <v>13</v>
      </c>
      <c r="F1394" s="22">
        <v>10</v>
      </c>
      <c r="H1394" s="5" t="e">
        <f ca="1">_xlfn.FORMULATEXT(표1[[#This Row],[Q''ty]])</f>
        <v>#N/A</v>
      </c>
      <c r="I1394" s="28">
        <v>46125</v>
      </c>
      <c r="J1394" s="28">
        <v>46122</v>
      </c>
    </row>
    <row r="1395" spans="1:10" s="2" customFormat="1" ht="15" customHeight="1" x14ac:dyDescent="0.4">
      <c r="A1395" s="6">
        <v>2026</v>
      </c>
      <c r="B1395" s="6">
        <f t="shared" si="172"/>
        <v>15</v>
      </c>
      <c r="C1395" s="13" t="s">
        <v>23</v>
      </c>
      <c r="D1395" s="2" t="s">
        <v>12</v>
      </c>
      <c r="E1395" s="14" t="s">
        <v>14</v>
      </c>
      <c r="F1395" s="22">
        <v>7</v>
      </c>
      <c r="H1395" s="5" t="e">
        <f ca="1">_xlfn.FORMULATEXT(표1[[#This Row],[Q''ty]])</f>
        <v>#N/A</v>
      </c>
      <c r="I1395" s="28">
        <v>46125</v>
      </c>
      <c r="J1395" s="28">
        <v>46122</v>
      </c>
    </row>
    <row r="1396" spans="1:10" ht="15" customHeight="1" x14ac:dyDescent="0.4">
      <c r="A1396" s="6">
        <v>2026</v>
      </c>
      <c r="B1396" s="6">
        <f t="shared" si="172"/>
        <v>15</v>
      </c>
      <c r="C1396" s="13" t="s">
        <v>23</v>
      </c>
      <c r="D1396" s="2" t="s">
        <v>12</v>
      </c>
      <c r="E1396" s="14" t="s">
        <v>15</v>
      </c>
      <c r="F1396" s="22">
        <v>169</v>
      </c>
      <c r="H1396" s="5" t="e">
        <f ca="1">_xlfn.FORMULATEXT(표1[[#This Row],[Q''ty]])</f>
        <v>#N/A</v>
      </c>
      <c r="I1396" s="28">
        <v>46125</v>
      </c>
      <c r="J1396" s="28">
        <v>46122</v>
      </c>
    </row>
    <row r="1397" spans="1:10" ht="15" customHeight="1" x14ac:dyDescent="0.4">
      <c r="A1397" s="6">
        <v>2026</v>
      </c>
      <c r="B1397" s="6">
        <f t="shared" si="172"/>
        <v>15</v>
      </c>
      <c r="C1397" s="13" t="s">
        <v>23</v>
      </c>
      <c r="D1397" s="2" t="s">
        <v>12</v>
      </c>
      <c r="E1397" s="14" t="s">
        <v>16</v>
      </c>
      <c r="F1397" s="22">
        <v>165</v>
      </c>
      <c r="H1397" s="5" t="e">
        <f ca="1">_xlfn.FORMULATEXT(표1[[#This Row],[Q''ty]])</f>
        <v>#N/A</v>
      </c>
      <c r="I1397" s="28">
        <v>46125</v>
      </c>
      <c r="J1397" s="28">
        <v>46122</v>
      </c>
    </row>
    <row r="1398" spans="1:10" ht="15" customHeight="1" thickBot="1" x14ac:dyDescent="0.45">
      <c r="A1398" s="15">
        <v>2026</v>
      </c>
      <c r="B1398" s="15">
        <f t="shared" si="172"/>
        <v>15</v>
      </c>
      <c r="C1398" s="16" t="s">
        <v>23</v>
      </c>
      <c r="D1398" s="17" t="s">
        <v>12</v>
      </c>
      <c r="E1398" s="18" t="s">
        <v>17</v>
      </c>
      <c r="F1398" s="23">
        <v>186</v>
      </c>
      <c r="H1398" s="5" t="e">
        <f ca="1">_xlfn.FORMULATEXT(표1[[#This Row],[Q''ty]])</f>
        <v>#N/A</v>
      </c>
      <c r="I1398" s="28">
        <v>46125</v>
      </c>
      <c r="J1398" s="28">
        <v>46122</v>
      </c>
    </row>
    <row r="1399" spans="1:10" ht="15" hidden="1" customHeight="1" thickTop="1" x14ac:dyDescent="0.4">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4">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4">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4">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4">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4">
      <c r="A1404" s="6">
        <v>2026</v>
      </c>
      <c r="B1404" s="6">
        <f t="shared" si="172"/>
        <v>15</v>
      </c>
      <c r="C1404" s="13" t="s">
        <v>24</v>
      </c>
      <c r="D1404" s="2" t="s">
        <v>6</v>
      </c>
      <c r="E1404" s="14" t="s">
        <v>11</v>
      </c>
      <c r="F1404" s="22">
        <f t="shared" si="173"/>
        <v>8.8000000000000007</v>
      </c>
      <c r="H1404" s="5" t="str">
        <f ca="1">_xlfn.FORMULATEXT(표1[[#This Row],[Q''ty]])</f>
        <v>=F1305</v>
      </c>
    </row>
    <row r="1405" spans="1:10" ht="15" customHeight="1" thickTop="1" x14ac:dyDescent="0.4">
      <c r="A1405" s="6">
        <v>2026</v>
      </c>
      <c r="B1405" s="6">
        <f t="shared" si="172"/>
        <v>15</v>
      </c>
      <c r="C1405" s="13" t="s">
        <v>24</v>
      </c>
      <c r="D1405" s="2" t="s">
        <v>12</v>
      </c>
      <c r="E1405" s="14" t="s">
        <v>13</v>
      </c>
      <c r="F1405" s="22">
        <v>10</v>
      </c>
      <c r="H1405" s="5" t="e">
        <f ca="1">_xlfn.FORMULATEXT(표1[[#This Row],[Q''ty]])</f>
        <v>#N/A</v>
      </c>
      <c r="I1405" s="28">
        <v>46125</v>
      </c>
      <c r="J1405" s="28">
        <v>46122</v>
      </c>
    </row>
    <row r="1406" spans="1:10" s="2" customFormat="1" ht="15" customHeight="1" x14ac:dyDescent="0.4">
      <c r="A1406" s="6">
        <v>2026</v>
      </c>
      <c r="B1406" s="6">
        <f t="shared" si="172"/>
        <v>15</v>
      </c>
      <c r="C1406" s="13" t="s">
        <v>24</v>
      </c>
      <c r="D1406" s="2" t="s">
        <v>12</v>
      </c>
      <c r="E1406" s="14" t="s">
        <v>14</v>
      </c>
      <c r="F1406" s="22">
        <v>13</v>
      </c>
      <c r="H1406" s="5" t="e">
        <f ca="1">_xlfn.FORMULATEXT(표1[[#This Row],[Q''ty]])</f>
        <v>#N/A</v>
      </c>
      <c r="I1406" s="28">
        <v>46125</v>
      </c>
      <c r="J1406" s="28">
        <v>46122</v>
      </c>
    </row>
    <row r="1407" spans="1:10" ht="15" customHeight="1" x14ac:dyDescent="0.4">
      <c r="A1407" s="6">
        <v>2026</v>
      </c>
      <c r="B1407" s="6">
        <f t="shared" si="172"/>
        <v>15</v>
      </c>
      <c r="C1407" s="13" t="s">
        <v>24</v>
      </c>
      <c r="D1407" s="2" t="s">
        <v>12</v>
      </c>
      <c r="E1407" s="14" t="s">
        <v>15</v>
      </c>
      <c r="F1407" s="22">
        <v>122</v>
      </c>
      <c r="H1407" s="5" t="e">
        <f ca="1">_xlfn.FORMULATEXT(표1[[#This Row],[Q''ty]])</f>
        <v>#N/A</v>
      </c>
      <c r="I1407" s="28">
        <v>46125</v>
      </c>
      <c r="J1407" s="28">
        <v>46122</v>
      </c>
    </row>
    <row r="1408" spans="1:10" ht="15" customHeight="1" x14ac:dyDescent="0.4">
      <c r="A1408" s="6">
        <v>2026</v>
      </c>
      <c r="B1408" s="6">
        <f t="shared" si="172"/>
        <v>15</v>
      </c>
      <c r="C1408" s="13" t="s">
        <v>24</v>
      </c>
      <c r="D1408" s="2" t="s">
        <v>12</v>
      </c>
      <c r="E1408" s="14" t="s">
        <v>16</v>
      </c>
      <c r="F1408" s="22">
        <v>117</v>
      </c>
      <c r="H1408" s="5" t="e">
        <f ca="1">_xlfn.FORMULATEXT(표1[[#This Row],[Q''ty]])</f>
        <v>#N/A</v>
      </c>
      <c r="I1408" s="28">
        <v>46125</v>
      </c>
      <c r="J1408" s="28">
        <v>46122</v>
      </c>
    </row>
    <row r="1409" spans="1:10" ht="15" customHeight="1" thickBot="1" x14ac:dyDescent="0.45">
      <c r="A1409" s="15">
        <v>2026</v>
      </c>
      <c r="B1409" s="15">
        <f t="shared" si="172"/>
        <v>15</v>
      </c>
      <c r="C1409" s="16" t="s">
        <v>24</v>
      </c>
      <c r="D1409" s="17" t="s">
        <v>12</v>
      </c>
      <c r="E1409" s="18" t="s">
        <v>17</v>
      </c>
      <c r="F1409" s="23">
        <v>123</v>
      </c>
      <c r="H1409" s="5" t="e">
        <f ca="1">_xlfn.FORMULATEXT(표1[[#This Row],[Q''ty]])</f>
        <v>#N/A</v>
      </c>
      <c r="I1409" s="28">
        <v>46125</v>
      </c>
      <c r="J1409" s="28">
        <v>46122</v>
      </c>
    </row>
    <row r="1410" spans="1:10" ht="15" hidden="1" customHeight="1" thickTop="1" x14ac:dyDescent="0.4">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10" ht="15" hidden="1" customHeight="1" x14ac:dyDescent="0.4">
      <c r="A1411" s="6">
        <v>2026</v>
      </c>
      <c r="B1411" s="6">
        <f t="shared" si="172"/>
        <v>15</v>
      </c>
      <c r="C1411" s="13" t="s">
        <v>18</v>
      </c>
      <c r="D1411" s="2" t="s">
        <v>6</v>
      </c>
      <c r="E1411" s="14" t="str">
        <f t="shared" si="174"/>
        <v>Paint Booth</v>
      </c>
      <c r="F1411" s="22">
        <f t="shared" si="174"/>
        <v>3</v>
      </c>
      <c r="H1411" s="5" t="str">
        <f ca="1">_xlfn.FORMULATEXT(표1[[#This Row],[Q''ty]])</f>
        <v>=F1312</v>
      </c>
    </row>
    <row r="1412" spans="1:10" ht="15" hidden="1" customHeight="1" x14ac:dyDescent="0.4">
      <c r="A1412" s="6">
        <v>2026</v>
      </c>
      <c r="B1412" s="6">
        <f t="shared" si="172"/>
        <v>15</v>
      </c>
      <c r="C1412" s="13" t="s">
        <v>18</v>
      </c>
      <c r="D1412" s="2" t="s">
        <v>6</v>
      </c>
      <c r="E1412" s="14" t="str">
        <f t="shared" si="174"/>
        <v>Paint Line</v>
      </c>
      <c r="F1412" s="22">
        <f t="shared" si="174"/>
        <v>2</v>
      </c>
      <c r="H1412" s="5" t="str">
        <f ca="1">_xlfn.FORMULATEXT(표1[[#This Row],[Q''ty]])</f>
        <v>=F1313</v>
      </c>
    </row>
    <row r="1413" spans="1:10" ht="15" hidden="1" customHeight="1" x14ac:dyDescent="0.4">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10" ht="15" hidden="1" customHeight="1" x14ac:dyDescent="0.4">
      <c r="A1414" s="6">
        <v>2026</v>
      </c>
      <c r="B1414" s="6">
        <f t="shared" si="172"/>
        <v>15</v>
      </c>
      <c r="C1414" s="13" t="s">
        <v>18</v>
      </c>
      <c r="D1414" s="2" t="s">
        <v>6</v>
      </c>
      <c r="E1414" s="14" t="str">
        <f t="shared" si="174"/>
        <v>L/W Machine</v>
      </c>
      <c r="F1414" s="22">
        <f t="shared" si="174"/>
        <v>2</v>
      </c>
      <c r="H1414" s="5" t="str">
        <f ca="1">_xlfn.FORMULATEXT(표1[[#This Row],[Q''ty]])</f>
        <v>=F1315</v>
      </c>
    </row>
    <row r="1415" spans="1:10" ht="15" hidden="1" customHeight="1" x14ac:dyDescent="0.4">
      <c r="A1415" s="6">
        <v>2026</v>
      </c>
      <c r="B1415" s="6">
        <f t="shared" si="172"/>
        <v>15</v>
      </c>
      <c r="C1415" s="13" t="s">
        <v>18</v>
      </c>
      <c r="D1415" s="2" t="s">
        <v>6</v>
      </c>
      <c r="E1415" s="14" t="str">
        <f t="shared" si="174"/>
        <v>C/W Machine</v>
      </c>
      <c r="F1415" s="22">
        <f t="shared" si="174"/>
        <v>3</v>
      </c>
      <c r="H1415" s="5" t="str">
        <f ca="1">_xlfn.FORMULATEXT(표1[[#This Row],[Q''ty]])</f>
        <v>=F1316</v>
      </c>
    </row>
    <row r="1416" spans="1:10" ht="15" customHeight="1" thickTop="1" x14ac:dyDescent="0.4">
      <c r="A1416" s="6">
        <v>2026</v>
      </c>
      <c r="B1416" s="6">
        <f t="shared" si="172"/>
        <v>15</v>
      </c>
      <c r="C1416" s="13" t="s">
        <v>18</v>
      </c>
      <c r="D1416" s="2" t="s">
        <v>12</v>
      </c>
      <c r="E1416" s="14" t="str">
        <f t="shared" ref="E1416:E1431" si="175">E1317</f>
        <v>BT GT</v>
      </c>
      <c r="F1416" s="22">
        <v>1</v>
      </c>
      <c r="H1416" s="5" t="e">
        <f ca="1">_xlfn.FORMULATEXT(표1[[#This Row],[Q''ty]])</f>
        <v>#N/A</v>
      </c>
      <c r="I1416" s="28">
        <v>46126</v>
      </c>
      <c r="J1416" s="28">
        <v>46125</v>
      </c>
    </row>
    <row r="1417" spans="1:10" ht="15" customHeight="1" x14ac:dyDescent="0.4">
      <c r="A1417" s="6">
        <v>2026</v>
      </c>
      <c r="B1417" s="6">
        <f t="shared" si="172"/>
        <v>15</v>
      </c>
      <c r="C1417" s="13" t="s">
        <v>18</v>
      </c>
      <c r="D1417" s="2" t="s">
        <v>12</v>
      </c>
      <c r="E1417" s="14" t="str">
        <f t="shared" si="175"/>
        <v>WT GT</v>
      </c>
      <c r="F1417" s="22">
        <v>0</v>
      </c>
      <c r="H1417" s="5" t="e">
        <f ca="1">_xlfn.FORMULATEXT(표1[[#This Row],[Q''ty]])</f>
        <v>#N/A</v>
      </c>
      <c r="I1417" s="28">
        <v>46126</v>
      </c>
      <c r="J1417" s="28">
        <v>46125</v>
      </c>
    </row>
    <row r="1418" spans="1:10" ht="15" customHeight="1" x14ac:dyDescent="0.4">
      <c r="A1418" s="6">
        <v>2026</v>
      </c>
      <c r="B1418" s="6">
        <f t="shared" si="172"/>
        <v>15</v>
      </c>
      <c r="C1418" s="13" t="s">
        <v>18</v>
      </c>
      <c r="D1418" s="2" t="s">
        <v>12</v>
      </c>
      <c r="E1418" s="14" t="str">
        <f t="shared" si="175"/>
        <v>Bending</v>
      </c>
      <c r="F1418" s="22">
        <v>18</v>
      </c>
      <c r="H1418" s="5" t="e">
        <f ca="1">_xlfn.FORMULATEXT(표1[[#This Row],[Q''ty]])</f>
        <v>#N/A</v>
      </c>
      <c r="I1418" s="28">
        <v>46126</v>
      </c>
      <c r="J1418" s="28">
        <v>46125</v>
      </c>
    </row>
    <row r="1419" spans="1:10" ht="15" customHeight="1" x14ac:dyDescent="0.4">
      <c r="A1419" s="6">
        <v>2026</v>
      </c>
      <c r="B1419" s="6">
        <f t="shared" si="172"/>
        <v>15</v>
      </c>
      <c r="C1419" s="13" t="s">
        <v>18</v>
      </c>
      <c r="D1419" s="2" t="s">
        <v>12</v>
      </c>
      <c r="E1419" s="14" t="str">
        <f t="shared" si="175"/>
        <v>L/W</v>
      </c>
      <c r="F1419" s="22">
        <v>10.199999999999999</v>
      </c>
      <c r="H1419" s="5" t="e">
        <f ca="1">_xlfn.FORMULATEXT(표1[[#This Row],[Q''ty]])</f>
        <v>#N/A</v>
      </c>
      <c r="I1419" s="28">
        <v>46126</v>
      </c>
      <c r="J1419" s="28">
        <v>46125</v>
      </c>
    </row>
    <row r="1420" spans="1:10" ht="15" customHeight="1" thickBot="1" x14ac:dyDescent="0.45">
      <c r="A1420" s="15">
        <v>2026</v>
      </c>
      <c r="B1420" s="15">
        <f t="shared" si="172"/>
        <v>15</v>
      </c>
      <c r="C1420" s="16" t="s">
        <v>18</v>
      </c>
      <c r="D1420" s="17" t="s">
        <v>12</v>
      </c>
      <c r="E1420" s="18" t="str">
        <f t="shared" si="175"/>
        <v>C/W</v>
      </c>
      <c r="F1420" s="23">
        <v>16.3</v>
      </c>
      <c r="H1420" s="5" t="e">
        <f ca="1">_xlfn.FORMULATEXT(표1[[#This Row],[Q''ty]])</f>
        <v>#N/A</v>
      </c>
      <c r="I1420" s="28">
        <v>46126</v>
      </c>
      <c r="J1420" s="28">
        <v>46125</v>
      </c>
    </row>
    <row r="1421" spans="1:10" ht="15" hidden="1" customHeight="1" thickTop="1" x14ac:dyDescent="0.4">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10" ht="15" hidden="1" customHeight="1" x14ac:dyDescent="0.4">
      <c r="A1422" s="6">
        <v>2026</v>
      </c>
      <c r="B1422" s="6">
        <f t="shared" si="172"/>
        <v>15</v>
      </c>
      <c r="C1422" s="13" t="s">
        <v>19</v>
      </c>
      <c r="D1422" s="2" t="s">
        <v>6</v>
      </c>
      <c r="E1422" s="14" t="str">
        <f t="shared" si="175"/>
        <v>Paint Booth</v>
      </c>
      <c r="F1422" s="22">
        <f t="shared" si="176"/>
        <v>22</v>
      </c>
      <c r="H1422" s="5" t="str">
        <f ca="1">_xlfn.FORMULATEXT(표1[[#This Row],[Q''ty]])</f>
        <v>=F1323</v>
      </c>
    </row>
    <row r="1423" spans="1:10" ht="15" hidden="1" customHeight="1" x14ac:dyDescent="0.4">
      <c r="A1423" s="6">
        <v>2026</v>
      </c>
      <c r="B1423" s="6">
        <f t="shared" si="172"/>
        <v>15</v>
      </c>
      <c r="C1423" s="13" t="s">
        <v>19</v>
      </c>
      <c r="D1423" s="2" t="s">
        <v>6</v>
      </c>
      <c r="E1423" s="14" t="str">
        <f t="shared" si="175"/>
        <v>Paint Line</v>
      </c>
      <c r="F1423" s="22">
        <f t="shared" si="176"/>
        <v>6</v>
      </c>
      <c r="H1423" s="5" t="str">
        <f ca="1">_xlfn.FORMULATEXT(표1[[#This Row],[Q''ty]])</f>
        <v>=F1324</v>
      </c>
    </row>
    <row r="1424" spans="1:10" ht="15" hidden="1" customHeight="1" x14ac:dyDescent="0.4">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10" ht="15" hidden="1" customHeight="1" x14ac:dyDescent="0.4">
      <c r="A1425" s="6">
        <v>2026</v>
      </c>
      <c r="B1425" s="6">
        <f t="shared" si="172"/>
        <v>15</v>
      </c>
      <c r="C1425" s="13" t="s">
        <v>19</v>
      </c>
      <c r="D1425" s="2" t="s">
        <v>6</v>
      </c>
      <c r="E1425" s="14" t="str">
        <f t="shared" si="175"/>
        <v>L/W Machine</v>
      </c>
      <c r="F1425" s="22">
        <f t="shared" si="176"/>
        <v>10</v>
      </c>
      <c r="H1425" s="5" t="str">
        <f ca="1">_xlfn.FORMULATEXT(표1[[#This Row],[Q''ty]])</f>
        <v>=F1326</v>
      </c>
    </row>
    <row r="1426" spans="1:10" ht="15" hidden="1" customHeight="1" x14ac:dyDescent="0.4">
      <c r="A1426" s="6">
        <v>2026</v>
      </c>
      <c r="B1426" s="6">
        <f t="shared" si="172"/>
        <v>15</v>
      </c>
      <c r="C1426" s="13" t="s">
        <v>19</v>
      </c>
      <c r="D1426" s="2" t="s">
        <v>6</v>
      </c>
      <c r="E1426" s="14" t="str">
        <f t="shared" si="175"/>
        <v>C/W Machine</v>
      </c>
      <c r="F1426" s="22">
        <f t="shared" si="176"/>
        <v>12</v>
      </c>
      <c r="H1426" s="5" t="str">
        <f ca="1">_xlfn.FORMULATEXT(표1[[#This Row],[Q''ty]])</f>
        <v>=F1327</v>
      </c>
    </row>
    <row r="1427" spans="1:10" ht="15" customHeight="1" thickTop="1" x14ac:dyDescent="0.4">
      <c r="A1427" s="6">
        <v>2026</v>
      </c>
      <c r="B1427" s="6">
        <f t="shared" si="172"/>
        <v>15</v>
      </c>
      <c r="C1427" s="13" t="s">
        <v>19</v>
      </c>
      <c r="D1427" s="2" t="s">
        <v>12</v>
      </c>
      <c r="E1427" s="14" t="str">
        <f t="shared" si="175"/>
        <v>BT GT</v>
      </c>
      <c r="F1427" s="22">
        <v>22</v>
      </c>
      <c r="H1427" s="5" t="e">
        <f ca="1">_xlfn.FORMULATEXT(표1[[#This Row],[Q''ty]])</f>
        <v>#N/A</v>
      </c>
      <c r="I1427" s="28">
        <v>46125</v>
      </c>
      <c r="J1427" s="28">
        <v>46122</v>
      </c>
    </row>
    <row r="1428" spans="1:10" ht="15" customHeight="1" x14ac:dyDescent="0.4">
      <c r="A1428" s="6">
        <v>2026</v>
      </c>
      <c r="B1428" s="6">
        <f t="shared" si="172"/>
        <v>15</v>
      </c>
      <c r="C1428" s="13" t="s">
        <v>19</v>
      </c>
      <c r="D1428" s="2" t="s">
        <v>12</v>
      </c>
      <c r="E1428" s="14" t="str">
        <f t="shared" si="175"/>
        <v>WT GT</v>
      </c>
      <c r="F1428" s="22">
        <v>19</v>
      </c>
      <c r="H1428" s="5" t="e">
        <f ca="1">_xlfn.FORMULATEXT(표1[[#This Row],[Q''ty]])</f>
        <v>#N/A</v>
      </c>
      <c r="I1428" s="28">
        <v>46125</v>
      </c>
      <c r="J1428" s="28">
        <v>46122</v>
      </c>
    </row>
    <row r="1429" spans="1:10" ht="15" customHeight="1" x14ac:dyDescent="0.4">
      <c r="A1429" s="6">
        <v>2026</v>
      </c>
      <c r="B1429" s="6">
        <f t="shared" si="172"/>
        <v>15</v>
      </c>
      <c r="C1429" s="13" t="s">
        <v>19</v>
      </c>
      <c r="D1429" s="2" t="s">
        <v>12</v>
      </c>
      <c r="E1429" s="14" t="str">
        <f t="shared" si="175"/>
        <v>Bending</v>
      </c>
      <c r="F1429" s="22">
        <v>131</v>
      </c>
      <c r="H1429" s="5" t="e">
        <f ca="1">_xlfn.FORMULATEXT(표1[[#This Row],[Q''ty]])</f>
        <v>#N/A</v>
      </c>
      <c r="I1429" s="28">
        <v>46125</v>
      </c>
      <c r="J1429" s="28">
        <v>46122</v>
      </c>
    </row>
    <row r="1430" spans="1:10" ht="15" customHeight="1" x14ac:dyDescent="0.4">
      <c r="A1430" s="6">
        <v>2026</v>
      </c>
      <c r="B1430" s="6">
        <f t="shared" si="172"/>
        <v>15</v>
      </c>
      <c r="C1430" s="13" t="s">
        <v>19</v>
      </c>
      <c r="D1430" s="2" t="s">
        <v>12</v>
      </c>
      <c r="E1430" s="14" t="str">
        <f t="shared" si="175"/>
        <v>L/W</v>
      </c>
      <c r="F1430" s="22">
        <v>131</v>
      </c>
      <c r="H1430" s="5" t="e">
        <f ca="1">_xlfn.FORMULATEXT(표1[[#This Row],[Q''ty]])</f>
        <v>#N/A</v>
      </c>
      <c r="I1430" s="28">
        <v>46125</v>
      </c>
      <c r="J1430" s="28">
        <v>46122</v>
      </c>
    </row>
    <row r="1431" spans="1:10" ht="15" customHeight="1" thickBot="1" x14ac:dyDescent="0.45">
      <c r="A1431" s="15">
        <v>2026</v>
      </c>
      <c r="B1431" s="15">
        <f t="shared" si="172"/>
        <v>15</v>
      </c>
      <c r="C1431" s="16" t="s">
        <v>19</v>
      </c>
      <c r="D1431" s="17" t="s">
        <v>12</v>
      </c>
      <c r="E1431" s="18" t="str">
        <f t="shared" si="175"/>
        <v>C/W</v>
      </c>
      <c r="F1431" s="23">
        <v>145</v>
      </c>
      <c r="H1431" s="5" t="e">
        <f ca="1">_xlfn.FORMULATEXT(표1[[#This Row],[Q''ty]])</f>
        <v>#N/A</v>
      </c>
      <c r="I1431" s="28">
        <v>46125</v>
      </c>
      <c r="J1431" s="28">
        <v>46122</v>
      </c>
    </row>
    <row r="1432" spans="1:10" ht="15" hidden="1" customHeight="1" thickTop="1" x14ac:dyDescent="0.4">
      <c r="A1432" s="6">
        <v>2026</v>
      </c>
      <c r="B1432" s="6">
        <f t="shared" si="172"/>
        <v>15</v>
      </c>
      <c r="C1432" s="13" t="s">
        <v>25</v>
      </c>
      <c r="D1432" s="2" t="s">
        <v>6</v>
      </c>
      <c r="E1432" s="14" t="s">
        <v>7</v>
      </c>
      <c r="F1432" s="22">
        <f t="shared" ref="F1432:F1437" si="177">F1333</f>
        <v>3</v>
      </c>
      <c r="H1432" s="5" t="str">
        <f ca="1">_xlfn.FORMULATEXT(표1[[#This Row],[Q''ty]])</f>
        <v>=F1333</v>
      </c>
    </row>
    <row r="1433" spans="1:10" ht="15" hidden="1" customHeight="1" x14ac:dyDescent="0.4">
      <c r="A1433" s="6">
        <v>2026</v>
      </c>
      <c r="B1433" s="6">
        <f t="shared" si="172"/>
        <v>15</v>
      </c>
      <c r="C1433" s="13" t="s">
        <v>25</v>
      </c>
      <c r="D1433" s="2" t="s">
        <v>6</v>
      </c>
      <c r="E1433" s="14" t="s">
        <v>8</v>
      </c>
      <c r="F1433" s="22">
        <f t="shared" si="177"/>
        <v>3</v>
      </c>
      <c r="H1433" s="5" t="str">
        <f ca="1">_xlfn.FORMULATEXT(표1[[#This Row],[Q''ty]])</f>
        <v>=F1334</v>
      </c>
    </row>
    <row r="1434" spans="1:10" ht="15" hidden="1" customHeight="1" x14ac:dyDescent="0.4">
      <c r="A1434" s="6">
        <v>2026</v>
      </c>
      <c r="B1434" s="6">
        <f t="shared" si="172"/>
        <v>15</v>
      </c>
      <c r="C1434" s="13" t="s">
        <v>25</v>
      </c>
      <c r="D1434" s="2" t="s">
        <v>6</v>
      </c>
      <c r="E1434" s="14" t="s">
        <v>9</v>
      </c>
      <c r="F1434" s="22">
        <f t="shared" si="177"/>
        <v>2</v>
      </c>
      <c r="H1434" s="5" t="str">
        <f ca="1">_xlfn.FORMULATEXT(표1[[#This Row],[Q''ty]])</f>
        <v>=F1335</v>
      </c>
    </row>
    <row r="1435" spans="1:10" ht="15" hidden="1" customHeight="1" x14ac:dyDescent="0.4">
      <c r="A1435" s="6">
        <v>2026</v>
      </c>
      <c r="B1435" s="6">
        <f t="shared" si="172"/>
        <v>15</v>
      </c>
      <c r="C1435" s="13" t="s">
        <v>25</v>
      </c>
      <c r="D1435" s="2" t="s">
        <v>6</v>
      </c>
      <c r="E1435" s="14" t="s">
        <v>27</v>
      </c>
      <c r="F1435" s="22">
        <f t="shared" si="177"/>
        <v>2</v>
      </c>
      <c r="H1435" s="5" t="str">
        <f ca="1">_xlfn.FORMULATEXT(표1[[#This Row],[Q''ty]])</f>
        <v>=F1336</v>
      </c>
    </row>
    <row r="1436" spans="1:10" ht="15" hidden="1" customHeight="1" x14ac:dyDescent="0.4">
      <c r="A1436" s="6">
        <v>2026</v>
      </c>
      <c r="B1436" s="6">
        <f t="shared" si="172"/>
        <v>15</v>
      </c>
      <c r="C1436" s="13" t="s">
        <v>25</v>
      </c>
      <c r="D1436" s="2" t="s">
        <v>6</v>
      </c>
      <c r="E1436" s="14" t="s">
        <v>10</v>
      </c>
      <c r="F1436" s="22">
        <f t="shared" si="177"/>
        <v>3</v>
      </c>
      <c r="H1436" s="5" t="str">
        <f ca="1">_xlfn.FORMULATEXT(표1[[#This Row],[Q''ty]])</f>
        <v>=F1337</v>
      </c>
    </row>
    <row r="1437" spans="1:10" ht="15" hidden="1" customHeight="1" x14ac:dyDescent="0.4">
      <c r="A1437" s="6">
        <v>2026</v>
      </c>
      <c r="B1437" s="6">
        <f t="shared" si="172"/>
        <v>15</v>
      </c>
      <c r="C1437" s="13" t="s">
        <v>25</v>
      </c>
      <c r="D1437" s="2" t="s">
        <v>6</v>
      </c>
      <c r="E1437" s="14" t="s">
        <v>11</v>
      </c>
      <c r="F1437" s="22">
        <f t="shared" si="177"/>
        <v>4</v>
      </c>
      <c r="H1437" s="5" t="str">
        <f ca="1">_xlfn.FORMULATEXT(표1[[#This Row],[Q''ty]])</f>
        <v>=F1338</v>
      </c>
    </row>
    <row r="1438" spans="1:10" ht="15" customHeight="1" thickTop="1" x14ac:dyDescent="0.4">
      <c r="A1438" s="6">
        <v>2026</v>
      </c>
      <c r="B1438" s="6">
        <f t="shared" si="172"/>
        <v>15</v>
      </c>
      <c r="C1438" s="13" t="s">
        <v>25</v>
      </c>
      <c r="D1438" s="2" t="s">
        <v>12</v>
      </c>
      <c r="E1438" s="14" t="s">
        <v>13</v>
      </c>
      <c r="F1438" s="22">
        <v>0</v>
      </c>
      <c r="H1438" s="5" t="e">
        <f ca="1">_xlfn.FORMULATEXT(표1[[#This Row],[Q''ty]])</f>
        <v>#N/A</v>
      </c>
    </row>
    <row r="1439" spans="1:10" ht="15" customHeight="1" x14ac:dyDescent="0.4">
      <c r="A1439" s="6">
        <v>2026</v>
      </c>
      <c r="B1439" s="6">
        <f t="shared" si="172"/>
        <v>15</v>
      </c>
      <c r="C1439" s="13" t="s">
        <v>25</v>
      </c>
      <c r="D1439" s="2" t="s">
        <v>12</v>
      </c>
      <c r="E1439" s="14" t="s">
        <v>14</v>
      </c>
      <c r="F1439" s="22">
        <v>0</v>
      </c>
      <c r="H1439" s="5" t="e">
        <f ca="1">_xlfn.FORMULATEXT(표1[[#This Row],[Q''ty]])</f>
        <v>#N/A</v>
      </c>
    </row>
    <row r="1440" spans="1:10" ht="15" customHeight="1" x14ac:dyDescent="0.4">
      <c r="A1440" s="6">
        <v>2026</v>
      </c>
      <c r="B1440" s="6">
        <f t="shared" si="172"/>
        <v>15</v>
      </c>
      <c r="C1440" s="13" t="s">
        <v>25</v>
      </c>
      <c r="D1440" s="2" t="s">
        <v>12</v>
      </c>
      <c r="E1440" s="14" t="s">
        <v>15</v>
      </c>
      <c r="F1440" s="22">
        <v>0</v>
      </c>
      <c r="H1440" s="5" t="e">
        <f ca="1">_xlfn.FORMULATEXT(표1[[#This Row],[Q''ty]])</f>
        <v>#N/A</v>
      </c>
    </row>
    <row r="1441" spans="1:10" ht="15" customHeight="1" x14ac:dyDescent="0.4">
      <c r="A1441" s="6">
        <v>2026</v>
      </c>
      <c r="B1441" s="6">
        <f t="shared" si="172"/>
        <v>15</v>
      </c>
      <c r="C1441" s="13" t="s">
        <v>25</v>
      </c>
      <c r="D1441" s="2" t="s">
        <v>12</v>
      </c>
      <c r="E1441" s="14" t="s">
        <v>16</v>
      </c>
      <c r="F1441" s="22">
        <v>0</v>
      </c>
      <c r="H1441" s="5" t="e">
        <f ca="1">_xlfn.FORMULATEXT(표1[[#This Row],[Q''ty]])</f>
        <v>#N/A</v>
      </c>
    </row>
    <row r="1442" spans="1:10" ht="15" customHeight="1" thickBot="1" x14ac:dyDescent="0.45">
      <c r="A1442" s="15">
        <v>2026</v>
      </c>
      <c r="B1442" s="15">
        <f t="shared" si="172"/>
        <v>15</v>
      </c>
      <c r="C1442" s="16" t="s">
        <v>25</v>
      </c>
      <c r="D1442" s="17" t="s">
        <v>12</v>
      </c>
      <c r="E1442" s="18" t="s">
        <v>17</v>
      </c>
      <c r="F1442" s="23">
        <v>0</v>
      </c>
      <c r="H1442" s="5" t="e">
        <f ca="1">_xlfn.FORMULATEXT(표1[[#This Row],[Q''ty]])</f>
        <v>#N/A</v>
      </c>
    </row>
    <row r="1443" spans="1:10" ht="15" hidden="1" customHeight="1" thickTop="1" x14ac:dyDescent="0.4">
      <c r="A1443" s="6">
        <v>2026</v>
      </c>
      <c r="B1443" s="6">
        <f t="shared" si="172"/>
        <v>15</v>
      </c>
      <c r="C1443" s="13" t="s">
        <v>26</v>
      </c>
      <c r="D1443" s="2" t="s">
        <v>6</v>
      </c>
      <c r="E1443" s="14" t="s">
        <v>7</v>
      </c>
      <c r="F1443" s="22">
        <f t="shared" ref="F1443:F1448" si="178">F1344</f>
        <v>6</v>
      </c>
      <c r="H1443" s="5" t="str">
        <f ca="1">_xlfn.FORMULATEXT(표1[[#This Row],[Q''ty]])</f>
        <v>=F1344</v>
      </c>
    </row>
    <row r="1444" spans="1:10" ht="15" hidden="1" customHeight="1" x14ac:dyDescent="0.4">
      <c r="A1444" s="6">
        <v>2026</v>
      </c>
      <c r="B1444" s="6">
        <f t="shared" si="172"/>
        <v>15</v>
      </c>
      <c r="C1444" s="13" t="s">
        <v>26</v>
      </c>
      <c r="D1444" s="2" t="s">
        <v>6</v>
      </c>
      <c r="E1444" s="14" t="s">
        <v>8</v>
      </c>
      <c r="F1444" s="22">
        <f t="shared" si="178"/>
        <v>4</v>
      </c>
      <c r="H1444" s="5" t="str">
        <f ca="1">_xlfn.FORMULATEXT(표1[[#This Row],[Q''ty]])</f>
        <v>=F1345</v>
      </c>
    </row>
    <row r="1445" spans="1:10" ht="15" hidden="1" customHeight="1" x14ac:dyDescent="0.4">
      <c r="A1445" s="6">
        <v>2026</v>
      </c>
      <c r="B1445" s="6">
        <f t="shared" si="172"/>
        <v>15</v>
      </c>
      <c r="C1445" s="13" t="s">
        <v>26</v>
      </c>
      <c r="D1445" s="2" t="s">
        <v>6</v>
      </c>
      <c r="E1445" s="14" t="s">
        <v>9</v>
      </c>
      <c r="F1445" s="22">
        <f t="shared" si="178"/>
        <v>2</v>
      </c>
      <c r="H1445" s="5" t="str">
        <f ca="1">_xlfn.FORMULATEXT(표1[[#This Row],[Q''ty]])</f>
        <v>=F1346</v>
      </c>
    </row>
    <row r="1446" spans="1:10" ht="15" hidden="1" customHeight="1" x14ac:dyDescent="0.4">
      <c r="A1446" s="6">
        <v>2026</v>
      </c>
      <c r="B1446" s="6">
        <f t="shared" si="172"/>
        <v>15</v>
      </c>
      <c r="C1446" s="13" t="s">
        <v>26</v>
      </c>
      <c r="D1446" s="2" t="s">
        <v>6</v>
      </c>
      <c r="E1446" s="14" t="s">
        <v>27</v>
      </c>
      <c r="F1446" s="22">
        <f t="shared" si="178"/>
        <v>3</v>
      </c>
      <c r="H1446" s="5" t="str">
        <f ca="1">_xlfn.FORMULATEXT(표1[[#This Row],[Q''ty]])</f>
        <v>=F1347</v>
      </c>
    </row>
    <row r="1447" spans="1:10" ht="15" hidden="1" customHeight="1" x14ac:dyDescent="0.4">
      <c r="A1447" s="6">
        <v>2026</v>
      </c>
      <c r="B1447" s="6">
        <f t="shared" si="172"/>
        <v>15</v>
      </c>
      <c r="C1447" s="13" t="s">
        <v>26</v>
      </c>
      <c r="D1447" s="2" t="s">
        <v>6</v>
      </c>
      <c r="E1447" s="14" t="s">
        <v>10</v>
      </c>
      <c r="F1447" s="22">
        <f t="shared" si="178"/>
        <v>4</v>
      </c>
      <c r="H1447" s="5" t="str">
        <f ca="1">_xlfn.FORMULATEXT(표1[[#This Row],[Q''ty]])</f>
        <v>=F1348</v>
      </c>
    </row>
    <row r="1448" spans="1:10" ht="15" hidden="1" customHeight="1" x14ac:dyDescent="0.4">
      <c r="A1448" s="6">
        <v>2026</v>
      </c>
      <c r="B1448" s="6">
        <f t="shared" si="172"/>
        <v>15</v>
      </c>
      <c r="C1448" s="13" t="s">
        <v>26</v>
      </c>
      <c r="D1448" s="2" t="s">
        <v>6</v>
      </c>
      <c r="E1448" s="14" t="s">
        <v>11</v>
      </c>
      <c r="F1448" s="22">
        <f t="shared" si="178"/>
        <v>6</v>
      </c>
      <c r="H1448" s="5" t="str">
        <f ca="1">_xlfn.FORMULATEXT(표1[[#This Row],[Q''ty]])</f>
        <v>=F1349</v>
      </c>
    </row>
    <row r="1449" spans="1:10" ht="15" customHeight="1" thickTop="1" x14ac:dyDescent="0.4">
      <c r="A1449" s="6">
        <v>2026</v>
      </c>
      <c r="B1449" s="6">
        <f t="shared" si="172"/>
        <v>15</v>
      </c>
      <c r="C1449" s="13" t="s">
        <v>26</v>
      </c>
      <c r="D1449" s="2" t="s">
        <v>12</v>
      </c>
      <c r="E1449" s="14" t="str">
        <f t="shared" ref="E1449:E1486" si="179">E1350</f>
        <v>BT GT</v>
      </c>
      <c r="F1449" s="22">
        <v>19</v>
      </c>
      <c r="H1449" s="5" t="e">
        <f ca="1">_xlfn.FORMULATEXT(표1[[#This Row],[Q''ty]])</f>
        <v>#N/A</v>
      </c>
      <c r="I1449" s="28">
        <v>46125</v>
      </c>
      <c r="J1449" s="28">
        <v>46122</v>
      </c>
    </row>
    <row r="1450" spans="1:10" ht="15" customHeight="1" x14ac:dyDescent="0.4">
      <c r="A1450" s="6">
        <v>2026</v>
      </c>
      <c r="B1450" s="6">
        <f t="shared" si="172"/>
        <v>15</v>
      </c>
      <c r="C1450" s="13" t="s">
        <v>26</v>
      </c>
      <c r="D1450" s="2" t="s">
        <v>12</v>
      </c>
      <c r="E1450" s="14" t="str">
        <f t="shared" si="179"/>
        <v>WT GT</v>
      </c>
      <c r="F1450" s="22">
        <v>13</v>
      </c>
      <c r="H1450" s="5" t="e">
        <f ca="1">_xlfn.FORMULATEXT(표1[[#This Row],[Q''ty]])</f>
        <v>#N/A</v>
      </c>
      <c r="I1450" s="28">
        <v>46125</v>
      </c>
      <c r="J1450" s="28">
        <v>46122</v>
      </c>
    </row>
    <row r="1451" spans="1:10" ht="15" customHeight="1" x14ac:dyDescent="0.4">
      <c r="A1451" s="6">
        <v>2026</v>
      </c>
      <c r="B1451" s="6">
        <f t="shared" si="172"/>
        <v>15</v>
      </c>
      <c r="C1451" s="13" t="s">
        <v>26</v>
      </c>
      <c r="D1451" s="2" t="s">
        <v>12</v>
      </c>
      <c r="E1451" s="14" t="str">
        <f t="shared" si="179"/>
        <v>Bending</v>
      </c>
      <c r="F1451" s="22">
        <v>138</v>
      </c>
      <c r="H1451" s="5" t="e">
        <f ca="1">_xlfn.FORMULATEXT(표1[[#This Row],[Q''ty]])</f>
        <v>#N/A</v>
      </c>
      <c r="I1451" s="28">
        <v>46125</v>
      </c>
      <c r="J1451" s="28">
        <v>46122</v>
      </c>
    </row>
    <row r="1452" spans="1:10" ht="15" customHeight="1" x14ac:dyDescent="0.4">
      <c r="A1452" s="6">
        <v>2026</v>
      </c>
      <c r="B1452" s="6">
        <f t="shared" si="172"/>
        <v>15</v>
      </c>
      <c r="C1452" s="13" t="s">
        <v>26</v>
      </c>
      <c r="D1452" s="2" t="s">
        <v>12</v>
      </c>
      <c r="E1452" s="14" t="str">
        <f t="shared" si="179"/>
        <v>L/W</v>
      </c>
      <c r="F1452" s="22">
        <v>136</v>
      </c>
      <c r="H1452" s="5" t="e">
        <f ca="1">_xlfn.FORMULATEXT(표1[[#This Row],[Q''ty]])</f>
        <v>#N/A</v>
      </c>
      <c r="I1452" s="28">
        <v>46125</v>
      </c>
      <c r="J1452" s="28">
        <v>46122</v>
      </c>
    </row>
    <row r="1453" spans="1:10" ht="15" customHeight="1" thickBot="1" x14ac:dyDescent="0.45">
      <c r="A1453" s="15">
        <v>2026</v>
      </c>
      <c r="B1453" s="15">
        <f t="shared" ref="B1453:B1486" si="180">B1354+1</f>
        <v>15</v>
      </c>
      <c r="C1453" s="16" t="s">
        <v>26</v>
      </c>
      <c r="D1453" s="17" t="s">
        <v>12</v>
      </c>
      <c r="E1453" s="18" t="str">
        <f t="shared" si="179"/>
        <v>C/W</v>
      </c>
      <c r="F1453" s="23">
        <v>142</v>
      </c>
      <c r="H1453" s="5" t="e">
        <f ca="1">_xlfn.FORMULATEXT(표1[[#This Row],[Q''ty]])</f>
        <v>#N/A</v>
      </c>
      <c r="I1453" s="28">
        <v>46125</v>
      </c>
      <c r="J1453" s="28">
        <v>46122</v>
      </c>
    </row>
    <row r="1454" spans="1:10" ht="15" hidden="1" customHeight="1" thickTop="1" x14ac:dyDescent="0.4">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10" ht="15" hidden="1" customHeight="1" x14ac:dyDescent="0.4">
      <c r="A1455" s="6">
        <v>2026</v>
      </c>
      <c r="B1455" s="6">
        <f t="shared" si="180"/>
        <v>15</v>
      </c>
      <c r="C1455" s="13" t="s">
        <v>20</v>
      </c>
      <c r="D1455" s="2" t="s">
        <v>6</v>
      </c>
      <c r="E1455" s="14" t="str">
        <f t="shared" si="179"/>
        <v>Paint Booth</v>
      </c>
      <c r="F1455" s="22">
        <f t="shared" si="181"/>
        <v>16</v>
      </c>
      <c r="H1455" s="5" t="str">
        <f ca="1">_xlfn.FORMULATEXT(표1[[#This Row],[Q''ty]])</f>
        <v>=F1356</v>
      </c>
    </row>
    <row r="1456" spans="1:10" ht="15" hidden="1" customHeight="1" x14ac:dyDescent="0.4">
      <c r="A1456" s="6">
        <v>2026</v>
      </c>
      <c r="B1456" s="6">
        <f t="shared" si="180"/>
        <v>15</v>
      </c>
      <c r="C1456" s="13" t="s">
        <v>20</v>
      </c>
      <c r="D1456" s="2" t="s">
        <v>6</v>
      </c>
      <c r="E1456" s="14" t="str">
        <f t="shared" si="179"/>
        <v>Paint Line</v>
      </c>
      <c r="F1456" s="22">
        <f t="shared" si="181"/>
        <v>8</v>
      </c>
      <c r="H1456" s="5" t="str">
        <f ca="1">_xlfn.FORMULATEXT(표1[[#This Row],[Q''ty]])</f>
        <v>=F1357</v>
      </c>
    </row>
    <row r="1457" spans="1:10" ht="15" hidden="1" customHeight="1" x14ac:dyDescent="0.4">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10" ht="15" hidden="1" customHeight="1" x14ac:dyDescent="0.4">
      <c r="A1458" s="6">
        <v>2026</v>
      </c>
      <c r="B1458" s="6">
        <f t="shared" si="180"/>
        <v>15</v>
      </c>
      <c r="C1458" s="13" t="s">
        <v>20</v>
      </c>
      <c r="D1458" s="2" t="s">
        <v>6</v>
      </c>
      <c r="E1458" s="14" t="str">
        <f t="shared" si="179"/>
        <v>L/W Machine</v>
      </c>
      <c r="F1458" s="22">
        <f t="shared" si="181"/>
        <v>11</v>
      </c>
      <c r="H1458" s="5" t="str">
        <f ca="1">_xlfn.FORMULATEXT(표1[[#This Row],[Q''ty]])</f>
        <v>=F1359</v>
      </c>
    </row>
    <row r="1459" spans="1:10" ht="15" hidden="1" customHeight="1" x14ac:dyDescent="0.4">
      <c r="A1459" s="6">
        <v>2026</v>
      </c>
      <c r="B1459" s="6">
        <f t="shared" si="180"/>
        <v>15</v>
      </c>
      <c r="C1459" s="13" t="s">
        <v>20</v>
      </c>
      <c r="D1459" s="2" t="s">
        <v>6</v>
      </c>
      <c r="E1459" s="14" t="str">
        <f t="shared" si="179"/>
        <v>C/W Machine</v>
      </c>
      <c r="F1459" s="22">
        <f t="shared" si="181"/>
        <v>15</v>
      </c>
      <c r="H1459" s="5" t="str">
        <f ca="1">_xlfn.FORMULATEXT(표1[[#This Row],[Q''ty]])</f>
        <v>=F1360</v>
      </c>
    </row>
    <row r="1460" spans="1:10" ht="15" customHeight="1" thickTop="1" x14ac:dyDescent="0.4">
      <c r="A1460" s="6">
        <v>2026</v>
      </c>
      <c r="B1460" s="6">
        <f t="shared" si="180"/>
        <v>15</v>
      </c>
      <c r="C1460" s="13" t="s">
        <v>20</v>
      </c>
      <c r="D1460" s="2" t="s">
        <v>12</v>
      </c>
      <c r="E1460" s="14" t="str">
        <f t="shared" si="179"/>
        <v>BT GT</v>
      </c>
      <c r="F1460" s="22">
        <v>68</v>
      </c>
      <c r="H1460" s="5" t="e">
        <f ca="1">_xlfn.FORMULATEXT(표1[[#This Row],[Q''ty]])</f>
        <v>#N/A</v>
      </c>
      <c r="I1460" s="28">
        <v>46125</v>
      </c>
      <c r="J1460" s="28">
        <v>46125</v>
      </c>
    </row>
    <row r="1461" spans="1:10" ht="15" customHeight="1" x14ac:dyDescent="0.4">
      <c r="A1461" s="6">
        <v>2026</v>
      </c>
      <c r="B1461" s="6">
        <f t="shared" si="180"/>
        <v>15</v>
      </c>
      <c r="C1461" s="13" t="s">
        <v>20</v>
      </c>
      <c r="D1461" s="2" t="s">
        <v>12</v>
      </c>
      <c r="E1461" s="14" t="str">
        <f t="shared" si="179"/>
        <v>WT GT</v>
      </c>
      <c r="F1461" s="22">
        <v>54</v>
      </c>
      <c r="H1461" s="5" t="e">
        <f ca="1">_xlfn.FORMULATEXT(표1[[#This Row],[Q''ty]])</f>
        <v>#N/A</v>
      </c>
      <c r="I1461" s="28">
        <v>46125</v>
      </c>
      <c r="J1461" s="28">
        <v>46125</v>
      </c>
    </row>
    <row r="1462" spans="1:10" ht="15" customHeight="1" x14ac:dyDescent="0.4">
      <c r="A1462" s="6">
        <v>2026</v>
      </c>
      <c r="B1462" s="6">
        <f t="shared" si="180"/>
        <v>15</v>
      </c>
      <c r="C1462" s="13" t="s">
        <v>20</v>
      </c>
      <c r="D1462" s="2" t="s">
        <v>12</v>
      </c>
      <c r="E1462" s="14" t="str">
        <f t="shared" si="179"/>
        <v>Bending</v>
      </c>
      <c r="F1462" s="22">
        <v>557</v>
      </c>
      <c r="H1462" s="5" t="e">
        <f ca="1">_xlfn.FORMULATEXT(표1[[#This Row],[Q''ty]])</f>
        <v>#N/A</v>
      </c>
      <c r="I1462" s="28">
        <v>46125</v>
      </c>
      <c r="J1462" s="28">
        <v>46125</v>
      </c>
    </row>
    <row r="1463" spans="1:10" ht="15" customHeight="1" x14ac:dyDescent="0.4">
      <c r="A1463" s="6">
        <v>2026</v>
      </c>
      <c r="B1463" s="6">
        <f t="shared" si="180"/>
        <v>15</v>
      </c>
      <c r="C1463" s="13" t="s">
        <v>20</v>
      </c>
      <c r="D1463" s="2" t="s">
        <v>12</v>
      </c>
      <c r="E1463" s="14" t="str">
        <f t="shared" si="179"/>
        <v>L/W</v>
      </c>
      <c r="F1463" s="22">
        <v>547</v>
      </c>
      <c r="H1463" s="5" t="e">
        <f ca="1">_xlfn.FORMULATEXT(표1[[#This Row],[Q''ty]])</f>
        <v>#N/A</v>
      </c>
      <c r="I1463" s="28">
        <v>46125</v>
      </c>
      <c r="J1463" s="28">
        <v>46125</v>
      </c>
    </row>
    <row r="1464" spans="1:10" ht="15" customHeight="1" thickBot="1" x14ac:dyDescent="0.45">
      <c r="A1464" s="15">
        <v>2026</v>
      </c>
      <c r="B1464" s="15">
        <f t="shared" si="180"/>
        <v>15</v>
      </c>
      <c r="C1464" s="16" t="s">
        <v>20</v>
      </c>
      <c r="D1464" s="17" t="s">
        <v>12</v>
      </c>
      <c r="E1464" s="18" t="str">
        <f t="shared" si="179"/>
        <v>C/W</v>
      </c>
      <c r="F1464" s="23">
        <v>519</v>
      </c>
      <c r="H1464" s="5" t="e">
        <f ca="1">_xlfn.FORMULATEXT(표1[[#This Row],[Q''ty]])</f>
        <v>#N/A</v>
      </c>
      <c r="I1464" s="28">
        <v>46125</v>
      </c>
      <c r="J1464" s="28">
        <v>46125</v>
      </c>
    </row>
    <row r="1465" spans="1:10" ht="15" hidden="1" customHeight="1" thickTop="1" x14ac:dyDescent="0.4">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10" ht="15" hidden="1" customHeight="1" x14ac:dyDescent="0.4">
      <c r="A1466" s="6">
        <v>2026</v>
      </c>
      <c r="B1466" s="6">
        <f t="shared" si="180"/>
        <v>15</v>
      </c>
      <c r="C1466" s="13" t="s">
        <v>21</v>
      </c>
      <c r="D1466" s="2" t="s">
        <v>6</v>
      </c>
      <c r="E1466" s="14" t="str">
        <f t="shared" si="179"/>
        <v>Paint Booth</v>
      </c>
      <c r="F1466" s="22">
        <f t="shared" si="182"/>
        <v>4</v>
      </c>
      <c r="H1466" s="5" t="str">
        <f ca="1">_xlfn.FORMULATEXT(표1[[#This Row],[Q''ty]])</f>
        <v>=F1367</v>
      </c>
    </row>
    <row r="1467" spans="1:10" ht="15" hidden="1" customHeight="1" x14ac:dyDescent="0.4">
      <c r="A1467" s="6">
        <v>2026</v>
      </c>
      <c r="B1467" s="6">
        <f t="shared" si="180"/>
        <v>15</v>
      </c>
      <c r="C1467" s="13" t="s">
        <v>21</v>
      </c>
      <c r="D1467" s="2" t="s">
        <v>6</v>
      </c>
      <c r="E1467" s="14" t="str">
        <f t="shared" si="179"/>
        <v>Paint Line</v>
      </c>
      <c r="F1467" s="22">
        <f t="shared" si="182"/>
        <v>4</v>
      </c>
      <c r="H1467" s="5" t="str">
        <f ca="1">_xlfn.FORMULATEXT(표1[[#This Row],[Q''ty]])</f>
        <v>=F1368</v>
      </c>
    </row>
    <row r="1468" spans="1:10" ht="15" hidden="1" customHeight="1" x14ac:dyDescent="0.4">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10" ht="15" hidden="1" customHeight="1" x14ac:dyDescent="0.4">
      <c r="A1469" s="6">
        <v>2026</v>
      </c>
      <c r="B1469" s="6">
        <f t="shared" si="180"/>
        <v>15</v>
      </c>
      <c r="C1469" s="13" t="s">
        <v>21</v>
      </c>
      <c r="D1469" s="2" t="s">
        <v>6</v>
      </c>
      <c r="E1469" s="14" t="str">
        <f t="shared" si="179"/>
        <v>L/W Machine</v>
      </c>
      <c r="F1469" s="22">
        <f t="shared" si="182"/>
        <v>4</v>
      </c>
      <c r="H1469" s="5" t="str">
        <f ca="1">_xlfn.FORMULATEXT(표1[[#This Row],[Q''ty]])</f>
        <v>=F1370</v>
      </c>
    </row>
    <row r="1470" spans="1:10" ht="15" hidden="1" customHeight="1" x14ac:dyDescent="0.4">
      <c r="A1470" s="6">
        <v>2026</v>
      </c>
      <c r="B1470" s="6">
        <f t="shared" si="180"/>
        <v>15</v>
      </c>
      <c r="C1470" s="13" t="s">
        <v>21</v>
      </c>
      <c r="D1470" s="2" t="s">
        <v>6</v>
      </c>
      <c r="E1470" s="14" t="str">
        <f t="shared" si="179"/>
        <v>C/W Machine</v>
      </c>
      <c r="F1470" s="22">
        <f t="shared" si="182"/>
        <v>6.5</v>
      </c>
      <c r="H1470" s="5" t="str">
        <f ca="1">_xlfn.FORMULATEXT(표1[[#This Row],[Q''ty]])</f>
        <v>=F1371</v>
      </c>
    </row>
    <row r="1471" spans="1:10" ht="15" customHeight="1" thickTop="1" x14ac:dyDescent="0.4">
      <c r="A1471" s="6">
        <v>2026</v>
      </c>
      <c r="B1471" s="6">
        <f t="shared" si="180"/>
        <v>15</v>
      </c>
      <c r="C1471" s="13" t="s">
        <v>21</v>
      </c>
      <c r="D1471" s="2" t="s">
        <v>12</v>
      </c>
      <c r="E1471" s="14" t="str">
        <f t="shared" si="179"/>
        <v>BT GT</v>
      </c>
      <c r="F1471" s="22">
        <v>10</v>
      </c>
      <c r="H1471" s="5" t="e">
        <f ca="1">_xlfn.FORMULATEXT(표1[[#This Row],[Q''ty]])</f>
        <v>#N/A</v>
      </c>
      <c r="I1471" s="28">
        <v>46125</v>
      </c>
      <c r="J1471" s="28">
        <v>46121</v>
      </c>
    </row>
    <row r="1472" spans="1:10" ht="15" customHeight="1" x14ac:dyDescent="0.4">
      <c r="A1472" s="6">
        <v>2026</v>
      </c>
      <c r="B1472" s="6">
        <f t="shared" si="180"/>
        <v>15</v>
      </c>
      <c r="C1472" s="13" t="s">
        <v>21</v>
      </c>
      <c r="D1472" s="2" t="s">
        <v>12</v>
      </c>
      <c r="E1472" s="14" t="str">
        <f t="shared" si="179"/>
        <v>WT GT</v>
      </c>
      <c r="F1472" s="22">
        <v>7</v>
      </c>
      <c r="H1472" s="5" t="e">
        <f ca="1">_xlfn.FORMULATEXT(표1[[#This Row],[Q''ty]])</f>
        <v>#N/A</v>
      </c>
      <c r="I1472" s="28">
        <v>46125</v>
      </c>
      <c r="J1472" s="28">
        <v>46121</v>
      </c>
    </row>
    <row r="1473" spans="1:10" ht="15" customHeight="1" x14ac:dyDescent="0.4">
      <c r="A1473" s="6">
        <v>2026</v>
      </c>
      <c r="B1473" s="6">
        <f t="shared" si="180"/>
        <v>15</v>
      </c>
      <c r="C1473" s="13" t="s">
        <v>21</v>
      </c>
      <c r="D1473" s="2" t="s">
        <v>12</v>
      </c>
      <c r="E1473" s="14" t="str">
        <f t="shared" si="179"/>
        <v>Bending</v>
      </c>
      <c r="F1473" s="22">
        <v>64</v>
      </c>
      <c r="H1473" s="5" t="e">
        <f ca="1">_xlfn.FORMULATEXT(표1[[#This Row],[Q''ty]])</f>
        <v>#N/A</v>
      </c>
      <c r="I1473" s="28">
        <v>46125</v>
      </c>
      <c r="J1473" s="28">
        <v>46121</v>
      </c>
    </row>
    <row r="1474" spans="1:10" ht="15" customHeight="1" x14ac:dyDescent="0.4">
      <c r="A1474" s="6">
        <v>2026</v>
      </c>
      <c r="B1474" s="6">
        <f t="shared" si="180"/>
        <v>15</v>
      </c>
      <c r="C1474" s="13" t="s">
        <v>21</v>
      </c>
      <c r="D1474" s="2" t="s">
        <v>12</v>
      </c>
      <c r="E1474" s="14" t="str">
        <f t="shared" si="179"/>
        <v>L/W</v>
      </c>
      <c r="F1474" s="22">
        <v>62</v>
      </c>
      <c r="H1474" s="5" t="e">
        <f ca="1">_xlfn.FORMULATEXT(표1[[#This Row],[Q''ty]])</f>
        <v>#N/A</v>
      </c>
      <c r="I1474" s="28">
        <v>46125</v>
      </c>
      <c r="J1474" s="28">
        <v>46121</v>
      </c>
    </row>
    <row r="1475" spans="1:10" ht="15" customHeight="1" thickBot="1" x14ac:dyDescent="0.45">
      <c r="A1475" s="15">
        <v>2026</v>
      </c>
      <c r="B1475" s="15">
        <f t="shared" si="180"/>
        <v>15</v>
      </c>
      <c r="C1475" s="16" t="s">
        <v>21</v>
      </c>
      <c r="D1475" s="17" t="s">
        <v>12</v>
      </c>
      <c r="E1475" s="18" t="str">
        <f t="shared" si="179"/>
        <v>C/W</v>
      </c>
      <c r="F1475" s="23">
        <v>71</v>
      </c>
      <c r="H1475" s="5" t="e">
        <f ca="1">_xlfn.FORMULATEXT(표1[[#This Row],[Q''ty]])</f>
        <v>#N/A</v>
      </c>
      <c r="I1475" s="28">
        <v>46125</v>
      </c>
      <c r="J1475" s="28">
        <v>46121</v>
      </c>
    </row>
    <row r="1476" spans="1:10" ht="15" hidden="1" customHeight="1" thickTop="1" x14ac:dyDescent="0.4">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4">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4">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4">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4">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4">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customHeight="1" thickTop="1" x14ac:dyDescent="0.4">
      <c r="A1482" s="6">
        <v>2026</v>
      </c>
      <c r="B1482" s="6">
        <f t="shared" si="180"/>
        <v>15</v>
      </c>
      <c r="C1482" s="13" t="s">
        <v>22</v>
      </c>
      <c r="D1482" s="2" t="s">
        <v>12</v>
      </c>
      <c r="E1482" s="14" t="str">
        <f t="shared" si="179"/>
        <v>BT GT</v>
      </c>
      <c r="F1482" s="22">
        <v>3</v>
      </c>
      <c r="H1482" s="5" t="e">
        <f ca="1">_xlfn.FORMULATEXT(표1[[#This Row],[Q''ty]])</f>
        <v>#N/A</v>
      </c>
      <c r="I1482" s="28">
        <v>46125</v>
      </c>
      <c r="J1482" s="28">
        <v>46122</v>
      </c>
    </row>
    <row r="1483" spans="1:10" ht="15" customHeight="1" x14ac:dyDescent="0.4">
      <c r="A1483" s="6">
        <v>2026</v>
      </c>
      <c r="B1483" s="6">
        <f t="shared" si="180"/>
        <v>15</v>
      </c>
      <c r="C1483" s="13" t="s">
        <v>22</v>
      </c>
      <c r="D1483" s="2" t="s">
        <v>12</v>
      </c>
      <c r="E1483" s="14" t="str">
        <f t="shared" si="179"/>
        <v>WT GT</v>
      </c>
      <c r="F1483" s="22">
        <v>4</v>
      </c>
      <c r="H1483" s="5" t="e">
        <f ca="1">_xlfn.FORMULATEXT(표1[[#This Row],[Q''ty]])</f>
        <v>#N/A</v>
      </c>
      <c r="I1483" s="28">
        <v>46125</v>
      </c>
      <c r="J1483" s="28">
        <v>46122</v>
      </c>
    </row>
    <row r="1484" spans="1:10" ht="15" customHeight="1" x14ac:dyDescent="0.4">
      <c r="A1484" s="6">
        <v>2026</v>
      </c>
      <c r="B1484" s="6">
        <f t="shared" si="180"/>
        <v>15</v>
      </c>
      <c r="C1484" s="13" t="s">
        <v>22</v>
      </c>
      <c r="D1484" s="2" t="s">
        <v>12</v>
      </c>
      <c r="E1484" s="14" t="str">
        <f t="shared" si="179"/>
        <v>Bending</v>
      </c>
      <c r="F1484" s="22">
        <f>34+22</f>
        <v>56</v>
      </c>
      <c r="H1484" s="5" t="str">
        <f ca="1">_xlfn.FORMULATEXT(표1[[#This Row],[Q''ty]])</f>
        <v>=34+22</v>
      </c>
      <c r="I1484" s="28">
        <v>46125</v>
      </c>
      <c r="J1484" s="28">
        <v>46122</v>
      </c>
    </row>
    <row r="1485" spans="1:10" ht="15" customHeight="1" x14ac:dyDescent="0.4">
      <c r="A1485" s="6">
        <v>2026</v>
      </c>
      <c r="B1485" s="6">
        <f t="shared" si="180"/>
        <v>15</v>
      </c>
      <c r="C1485" s="13" t="s">
        <v>22</v>
      </c>
      <c r="D1485" s="2" t="s">
        <v>12</v>
      </c>
      <c r="E1485" s="14" t="str">
        <f t="shared" si="179"/>
        <v>L/W</v>
      </c>
      <c r="F1485" s="22">
        <f>22+37</f>
        <v>59</v>
      </c>
      <c r="H1485" s="5" t="str">
        <f ca="1">_xlfn.FORMULATEXT(표1[[#This Row],[Q''ty]])</f>
        <v>=22+37</v>
      </c>
      <c r="I1485" s="28">
        <v>46125</v>
      </c>
      <c r="J1485" s="28">
        <v>46122</v>
      </c>
    </row>
    <row r="1486" spans="1:10" ht="15" customHeight="1" x14ac:dyDescent="0.4">
      <c r="A1486" s="6">
        <v>2026</v>
      </c>
      <c r="B1486" s="6">
        <f t="shared" si="180"/>
        <v>15</v>
      </c>
      <c r="C1486" s="13" t="s">
        <v>22</v>
      </c>
      <c r="D1486" s="2" t="s">
        <v>12</v>
      </c>
      <c r="E1486" s="14" t="str">
        <f t="shared" si="179"/>
        <v>C/W</v>
      </c>
      <c r="F1486" s="22">
        <f>15+37</f>
        <v>52</v>
      </c>
      <c r="H1486" s="5" t="str">
        <f ca="1">_xlfn.FORMULATEXT(표1[[#This Row],[Q''ty]])</f>
        <v>=15+37</v>
      </c>
      <c r="I1486" s="28">
        <v>46125</v>
      </c>
      <c r="J1486" s="28">
        <v>46122</v>
      </c>
    </row>
    <row r="1487" spans="1:10" ht="15" hidden="1" customHeight="1" thickTop="1" x14ac:dyDescent="0.4">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4">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4">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4">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4">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4">
      <c r="A1492" s="6">
        <v>2026</v>
      </c>
      <c r="B1492" s="6">
        <f t="shared" si="185"/>
        <v>16</v>
      </c>
      <c r="C1492" s="13" t="s">
        <v>23</v>
      </c>
      <c r="D1492" s="2" t="s">
        <v>6</v>
      </c>
      <c r="E1492" s="14" t="s">
        <v>11</v>
      </c>
      <c r="F1492" s="22">
        <f t="shared" si="184"/>
        <v>10</v>
      </c>
      <c r="H1492" s="5" t="str">
        <f ca="1">_xlfn.FORMULATEXT(표1[[#This Row],[Q''ty]])</f>
        <v>=F1393</v>
      </c>
    </row>
    <row r="1493" spans="1:10" ht="15" customHeight="1" x14ac:dyDescent="0.4">
      <c r="A1493" s="6">
        <v>2026</v>
      </c>
      <c r="B1493" s="6">
        <f t="shared" si="185"/>
        <v>16</v>
      </c>
      <c r="C1493" s="13" t="s">
        <v>23</v>
      </c>
      <c r="D1493" s="2" t="s">
        <v>12</v>
      </c>
      <c r="E1493" s="14" t="s">
        <v>13</v>
      </c>
      <c r="F1493" s="22">
        <v>15</v>
      </c>
      <c r="H1493" s="5" t="e">
        <f ca="1">_xlfn.FORMULATEXT(표1[[#This Row],[Q''ty]])</f>
        <v>#N/A</v>
      </c>
      <c r="I1493" s="28">
        <v>46132</v>
      </c>
      <c r="J1493" s="28">
        <v>46132</v>
      </c>
    </row>
    <row r="1494" spans="1:10" s="2" customFormat="1" ht="15" customHeight="1" x14ac:dyDescent="0.4">
      <c r="A1494" s="6">
        <v>2026</v>
      </c>
      <c r="B1494" s="6">
        <f t="shared" si="185"/>
        <v>16</v>
      </c>
      <c r="C1494" s="13" t="s">
        <v>23</v>
      </c>
      <c r="D1494" s="2" t="s">
        <v>12</v>
      </c>
      <c r="E1494" s="14" t="s">
        <v>14</v>
      </c>
      <c r="F1494" s="22">
        <v>12</v>
      </c>
      <c r="H1494" s="5" t="e">
        <f ca="1">_xlfn.FORMULATEXT(표1[[#This Row],[Q''ty]])</f>
        <v>#N/A</v>
      </c>
      <c r="I1494" s="28">
        <v>46132</v>
      </c>
      <c r="J1494" s="28">
        <v>46132</v>
      </c>
    </row>
    <row r="1495" spans="1:10" ht="15" customHeight="1" x14ac:dyDescent="0.4">
      <c r="A1495" s="6">
        <v>2026</v>
      </c>
      <c r="B1495" s="6">
        <f t="shared" si="185"/>
        <v>16</v>
      </c>
      <c r="C1495" s="13" t="s">
        <v>23</v>
      </c>
      <c r="D1495" s="2" t="s">
        <v>12</v>
      </c>
      <c r="E1495" s="14" t="s">
        <v>15</v>
      </c>
      <c r="F1495" s="22">
        <v>223</v>
      </c>
      <c r="H1495" s="5" t="e">
        <f ca="1">_xlfn.FORMULATEXT(표1[[#This Row],[Q''ty]])</f>
        <v>#N/A</v>
      </c>
      <c r="I1495" s="28">
        <v>46132</v>
      </c>
      <c r="J1495" s="28">
        <v>46132</v>
      </c>
    </row>
    <row r="1496" spans="1:10" ht="15" customHeight="1" x14ac:dyDescent="0.4">
      <c r="A1496" s="6">
        <v>2026</v>
      </c>
      <c r="B1496" s="6">
        <f t="shared" si="185"/>
        <v>16</v>
      </c>
      <c r="C1496" s="13" t="s">
        <v>23</v>
      </c>
      <c r="D1496" s="2" t="s">
        <v>12</v>
      </c>
      <c r="E1496" s="14" t="s">
        <v>16</v>
      </c>
      <c r="F1496" s="22">
        <v>227</v>
      </c>
      <c r="H1496" s="5" t="e">
        <f ca="1">_xlfn.FORMULATEXT(표1[[#This Row],[Q''ty]])</f>
        <v>#N/A</v>
      </c>
      <c r="I1496" s="28">
        <v>46132</v>
      </c>
      <c r="J1496" s="28">
        <v>46132</v>
      </c>
    </row>
    <row r="1497" spans="1:10" ht="15" customHeight="1" thickBot="1" x14ac:dyDescent="0.45">
      <c r="A1497" s="15">
        <v>2026</v>
      </c>
      <c r="B1497" s="15">
        <f t="shared" si="185"/>
        <v>16</v>
      </c>
      <c r="C1497" s="16" t="s">
        <v>23</v>
      </c>
      <c r="D1497" s="17" t="s">
        <v>12</v>
      </c>
      <c r="E1497" s="18" t="s">
        <v>17</v>
      </c>
      <c r="F1497" s="23">
        <v>216</v>
      </c>
      <c r="H1497" s="5" t="e">
        <f ca="1">_xlfn.FORMULATEXT(표1[[#This Row],[Q''ty]])</f>
        <v>#N/A</v>
      </c>
      <c r="I1497" s="28">
        <v>46132</v>
      </c>
      <c r="J1497" s="28">
        <v>46132</v>
      </c>
    </row>
    <row r="1498" spans="1:10" ht="15" hidden="1" customHeight="1" thickTop="1" x14ac:dyDescent="0.4">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4">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4">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4">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4">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4">
      <c r="A1503" s="6">
        <v>2026</v>
      </c>
      <c r="B1503" s="6">
        <f t="shared" si="185"/>
        <v>16</v>
      </c>
      <c r="C1503" s="13" t="s">
        <v>24</v>
      </c>
      <c r="D1503" s="2" t="s">
        <v>6</v>
      </c>
      <c r="E1503" s="14" t="s">
        <v>11</v>
      </c>
      <c r="F1503" s="22">
        <f t="shared" si="186"/>
        <v>8.8000000000000007</v>
      </c>
      <c r="H1503" s="5" t="str">
        <f ca="1">_xlfn.FORMULATEXT(표1[[#This Row],[Q''ty]])</f>
        <v>=F1404</v>
      </c>
    </row>
    <row r="1504" spans="1:10" ht="15" customHeight="1" thickTop="1" x14ac:dyDescent="0.4">
      <c r="A1504" s="6">
        <v>2026</v>
      </c>
      <c r="B1504" s="6">
        <f t="shared" si="185"/>
        <v>16</v>
      </c>
      <c r="C1504" s="13" t="s">
        <v>24</v>
      </c>
      <c r="D1504" s="2" t="s">
        <v>12</v>
      </c>
      <c r="E1504" s="14" t="s">
        <v>13</v>
      </c>
      <c r="F1504" s="22">
        <v>14</v>
      </c>
      <c r="H1504" s="5" t="e">
        <f ca="1">_xlfn.FORMULATEXT(표1[[#This Row],[Q''ty]])</f>
        <v>#N/A</v>
      </c>
      <c r="I1504" s="28">
        <v>46132</v>
      </c>
      <c r="J1504" s="28">
        <v>46132</v>
      </c>
    </row>
    <row r="1505" spans="1:10" s="2" customFormat="1" ht="15" customHeight="1" x14ac:dyDescent="0.4">
      <c r="A1505" s="6">
        <v>2026</v>
      </c>
      <c r="B1505" s="6">
        <f t="shared" si="185"/>
        <v>16</v>
      </c>
      <c r="C1505" s="13" t="s">
        <v>24</v>
      </c>
      <c r="D1505" s="2" t="s">
        <v>12</v>
      </c>
      <c r="E1505" s="14" t="s">
        <v>14</v>
      </c>
      <c r="F1505" s="22">
        <v>13</v>
      </c>
      <c r="H1505" s="5" t="e">
        <f ca="1">_xlfn.FORMULATEXT(표1[[#This Row],[Q''ty]])</f>
        <v>#N/A</v>
      </c>
      <c r="I1505" s="28">
        <v>46132</v>
      </c>
      <c r="J1505" s="28">
        <v>46132</v>
      </c>
    </row>
    <row r="1506" spans="1:10" ht="15" customHeight="1" x14ac:dyDescent="0.4">
      <c r="A1506" s="6">
        <v>2026</v>
      </c>
      <c r="B1506" s="6">
        <f t="shared" si="185"/>
        <v>16</v>
      </c>
      <c r="C1506" s="13" t="s">
        <v>24</v>
      </c>
      <c r="D1506" s="2" t="s">
        <v>12</v>
      </c>
      <c r="E1506" s="14" t="s">
        <v>15</v>
      </c>
      <c r="F1506" s="22">
        <v>155</v>
      </c>
      <c r="H1506" s="5" t="e">
        <f ca="1">_xlfn.FORMULATEXT(표1[[#This Row],[Q''ty]])</f>
        <v>#N/A</v>
      </c>
      <c r="I1506" s="28">
        <v>46132</v>
      </c>
      <c r="J1506" s="28">
        <v>46132</v>
      </c>
    </row>
    <row r="1507" spans="1:10" ht="15" customHeight="1" x14ac:dyDescent="0.4">
      <c r="A1507" s="6">
        <v>2026</v>
      </c>
      <c r="B1507" s="6">
        <f t="shared" si="185"/>
        <v>16</v>
      </c>
      <c r="C1507" s="13" t="s">
        <v>24</v>
      </c>
      <c r="D1507" s="2" t="s">
        <v>12</v>
      </c>
      <c r="E1507" s="14" t="s">
        <v>16</v>
      </c>
      <c r="F1507" s="22">
        <v>157</v>
      </c>
      <c r="H1507" s="5" t="e">
        <f ca="1">_xlfn.FORMULATEXT(표1[[#This Row],[Q''ty]])</f>
        <v>#N/A</v>
      </c>
      <c r="I1507" s="28">
        <v>46132</v>
      </c>
      <c r="J1507" s="28">
        <v>46132</v>
      </c>
    </row>
    <row r="1508" spans="1:10" ht="15" customHeight="1" thickBot="1" x14ac:dyDescent="0.45">
      <c r="A1508" s="15">
        <v>2026</v>
      </c>
      <c r="B1508" s="15">
        <f t="shared" si="185"/>
        <v>16</v>
      </c>
      <c r="C1508" s="16" t="s">
        <v>24</v>
      </c>
      <c r="D1508" s="17" t="s">
        <v>12</v>
      </c>
      <c r="E1508" s="18" t="s">
        <v>17</v>
      </c>
      <c r="F1508" s="23">
        <v>152</v>
      </c>
      <c r="H1508" s="5" t="e">
        <f ca="1">_xlfn.FORMULATEXT(표1[[#This Row],[Q''ty]])</f>
        <v>#N/A</v>
      </c>
      <c r="I1508" s="28">
        <v>46132</v>
      </c>
      <c r="J1508" s="28">
        <v>46132</v>
      </c>
    </row>
    <row r="1509" spans="1:10" ht="15" hidden="1" customHeight="1" thickTop="1" x14ac:dyDescent="0.4">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4">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4">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4">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4">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4">
      <c r="A1514" s="6">
        <v>2026</v>
      </c>
      <c r="B1514" s="6">
        <f t="shared" si="185"/>
        <v>16</v>
      </c>
      <c r="C1514" s="13" t="s">
        <v>18</v>
      </c>
      <c r="D1514" s="2" t="s">
        <v>6</v>
      </c>
      <c r="E1514" s="14" t="str">
        <f t="shared" si="187"/>
        <v>C/W Machine</v>
      </c>
      <c r="F1514" s="22">
        <f t="shared" si="187"/>
        <v>3</v>
      </c>
      <c r="H1514" s="5" t="str">
        <f ca="1">_xlfn.FORMULATEXT(표1[[#This Row],[Q''ty]])</f>
        <v>=F1415</v>
      </c>
    </row>
    <row r="1515" spans="1:10" ht="15" customHeight="1" thickTop="1" x14ac:dyDescent="0.4">
      <c r="A1515" s="6">
        <v>2026</v>
      </c>
      <c r="B1515" s="6">
        <f t="shared" si="185"/>
        <v>16</v>
      </c>
      <c r="C1515" s="13" t="s">
        <v>18</v>
      </c>
      <c r="D1515" s="2" t="s">
        <v>12</v>
      </c>
      <c r="E1515" s="14" t="str">
        <f t="shared" ref="E1515:E1530" si="188">E1416</f>
        <v>BT GT</v>
      </c>
      <c r="F1515" s="22"/>
      <c r="H1515" s="5" t="e">
        <f ca="1">_xlfn.FORMULATEXT(표1[[#This Row],[Q''ty]])</f>
        <v>#N/A</v>
      </c>
    </row>
    <row r="1516" spans="1:10" ht="15" customHeight="1" x14ac:dyDescent="0.4">
      <c r="A1516" s="6">
        <v>2026</v>
      </c>
      <c r="B1516" s="6">
        <f t="shared" si="185"/>
        <v>16</v>
      </c>
      <c r="C1516" s="13" t="s">
        <v>18</v>
      </c>
      <c r="D1516" s="2" t="s">
        <v>12</v>
      </c>
      <c r="E1516" s="14" t="str">
        <f t="shared" si="188"/>
        <v>WT GT</v>
      </c>
      <c r="F1516" s="22"/>
      <c r="H1516" s="5" t="e">
        <f ca="1">_xlfn.FORMULATEXT(표1[[#This Row],[Q''ty]])</f>
        <v>#N/A</v>
      </c>
    </row>
    <row r="1517" spans="1:10" ht="15" customHeight="1" x14ac:dyDescent="0.4">
      <c r="A1517" s="6">
        <v>2026</v>
      </c>
      <c r="B1517" s="6">
        <f t="shared" si="185"/>
        <v>16</v>
      </c>
      <c r="C1517" s="13" t="s">
        <v>18</v>
      </c>
      <c r="D1517" s="2" t="s">
        <v>12</v>
      </c>
      <c r="E1517" s="14" t="str">
        <f t="shared" si="188"/>
        <v>Bending</v>
      </c>
      <c r="F1517" s="22"/>
      <c r="H1517" s="5" t="e">
        <f ca="1">_xlfn.FORMULATEXT(표1[[#This Row],[Q''ty]])</f>
        <v>#N/A</v>
      </c>
    </row>
    <row r="1518" spans="1:10" ht="15" customHeight="1" x14ac:dyDescent="0.4">
      <c r="A1518" s="6">
        <v>2026</v>
      </c>
      <c r="B1518" s="6">
        <f t="shared" si="185"/>
        <v>16</v>
      </c>
      <c r="C1518" s="13" t="s">
        <v>18</v>
      </c>
      <c r="D1518" s="2" t="s">
        <v>12</v>
      </c>
      <c r="E1518" s="14" t="str">
        <f t="shared" si="188"/>
        <v>L/W</v>
      </c>
      <c r="F1518" s="22"/>
      <c r="H1518" s="5" t="e">
        <f ca="1">_xlfn.FORMULATEXT(표1[[#This Row],[Q''ty]])</f>
        <v>#N/A</v>
      </c>
    </row>
    <row r="1519" spans="1:10" ht="15" customHeight="1" thickBot="1" x14ac:dyDescent="0.45">
      <c r="A1519" s="15">
        <v>2026</v>
      </c>
      <c r="B1519" s="15">
        <f t="shared" si="185"/>
        <v>16</v>
      </c>
      <c r="C1519" s="16" t="s">
        <v>18</v>
      </c>
      <c r="D1519" s="17" t="s">
        <v>12</v>
      </c>
      <c r="E1519" s="18" t="str">
        <f t="shared" si="188"/>
        <v>C/W</v>
      </c>
      <c r="F1519" s="23"/>
      <c r="H1519" s="5" t="e">
        <f ca="1">_xlfn.FORMULATEXT(표1[[#This Row],[Q''ty]])</f>
        <v>#N/A</v>
      </c>
    </row>
    <row r="1520" spans="1:10" ht="15" hidden="1" customHeight="1" thickTop="1" x14ac:dyDescent="0.4">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10" ht="15" hidden="1" customHeight="1" x14ac:dyDescent="0.4">
      <c r="A1521" s="6">
        <v>2026</v>
      </c>
      <c r="B1521" s="6">
        <f t="shared" si="185"/>
        <v>16</v>
      </c>
      <c r="C1521" s="13" t="s">
        <v>19</v>
      </c>
      <c r="D1521" s="2" t="s">
        <v>6</v>
      </c>
      <c r="E1521" s="14" t="str">
        <f t="shared" si="188"/>
        <v>Paint Booth</v>
      </c>
      <c r="F1521" s="22">
        <f t="shared" si="189"/>
        <v>22</v>
      </c>
      <c r="H1521" s="5" t="str">
        <f ca="1">_xlfn.FORMULATEXT(표1[[#This Row],[Q''ty]])</f>
        <v>=F1422</v>
      </c>
    </row>
    <row r="1522" spans="1:10" ht="15" hidden="1" customHeight="1" x14ac:dyDescent="0.4">
      <c r="A1522" s="6">
        <v>2026</v>
      </c>
      <c r="B1522" s="6">
        <f t="shared" si="185"/>
        <v>16</v>
      </c>
      <c r="C1522" s="13" t="s">
        <v>19</v>
      </c>
      <c r="D1522" s="2" t="s">
        <v>6</v>
      </c>
      <c r="E1522" s="14" t="str">
        <f t="shared" si="188"/>
        <v>Paint Line</v>
      </c>
      <c r="F1522" s="22">
        <f t="shared" si="189"/>
        <v>6</v>
      </c>
      <c r="H1522" s="5" t="str">
        <f ca="1">_xlfn.FORMULATEXT(표1[[#This Row],[Q''ty]])</f>
        <v>=F1423</v>
      </c>
    </row>
    <row r="1523" spans="1:10" ht="15" hidden="1" customHeight="1" x14ac:dyDescent="0.4">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10" ht="15" hidden="1" customHeight="1" x14ac:dyDescent="0.4">
      <c r="A1524" s="6">
        <v>2026</v>
      </c>
      <c r="B1524" s="6">
        <f t="shared" si="185"/>
        <v>16</v>
      </c>
      <c r="C1524" s="13" t="s">
        <v>19</v>
      </c>
      <c r="D1524" s="2" t="s">
        <v>6</v>
      </c>
      <c r="E1524" s="14" t="str">
        <f t="shared" si="188"/>
        <v>L/W Machine</v>
      </c>
      <c r="F1524" s="22">
        <f t="shared" si="189"/>
        <v>10</v>
      </c>
      <c r="H1524" s="5" t="str">
        <f ca="1">_xlfn.FORMULATEXT(표1[[#This Row],[Q''ty]])</f>
        <v>=F1425</v>
      </c>
    </row>
    <row r="1525" spans="1:10" ht="15" hidden="1" customHeight="1" x14ac:dyDescent="0.4">
      <c r="A1525" s="6">
        <v>2026</v>
      </c>
      <c r="B1525" s="6">
        <f t="shared" si="185"/>
        <v>16</v>
      </c>
      <c r="C1525" s="13" t="s">
        <v>19</v>
      </c>
      <c r="D1525" s="2" t="s">
        <v>6</v>
      </c>
      <c r="E1525" s="14" t="str">
        <f t="shared" si="188"/>
        <v>C/W Machine</v>
      </c>
      <c r="F1525" s="22">
        <f t="shared" si="189"/>
        <v>12</v>
      </c>
      <c r="H1525" s="5" t="str">
        <f ca="1">_xlfn.FORMULATEXT(표1[[#This Row],[Q''ty]])</f>
        <v>=F1426</v>
      </c>
    </row>
    <row r="1526" spans="1:10" ht="15" customHeight="1" thickTop="1" x14ac:dyDescent="0.4">
      <c r="A1526" s="6">
        <v>2026</v>
      </c>
      <c r="B1526" s="6">
        <f t="shared" si="185"/>
        <v>16</v>
      </c>
      <c r="C1526" s="13" t="s">
        <v>19</v>
      </c>
      <c r="D1526" s="2" t="s">
        <v>12</v>
      </c>
      <c r="E1526" s="14" t="str">
        <f t="shared" si="188"/>
        <v>BT GT</v>
      </c>
      <c r="F1526" s="22">
        <v>37</v>
      </c>
      <c r="H1526" s="5" t="e">
        <f ca="1">_xlfn.FORMULATEXT(표1[[#This Row],[Q''ty]])</f>
        <v>#N/A</v>
      </c>
      <c r="I1526" s="28">
        <v>46132</v>
      </c>
      <c r="J1526" s="28">
        <v>46132</v>
      </c>
    </row>
    <row r="1527" spans="1:10" ht="15" customHeight="1" x14ac:dyDescent="0.4">
      <c r="A1527" s="6">
        <v>2026</v>
      </c>
      <c r="B1527" s="6">
        <f t="shared" si="185"/>
        <v>16</v>
      </c>
      <c r="C1527" s="13" t="s">
        <v>19</v>
      </c>
      <c r="D1527" s="2" t="s">
        <v>12</v>
      </c>
      <c r="E1527" s="14" t="str">
        <f t="shared" si="188"/>
        <v>WT GT</v>
      </c>
      <c r="F1527" s="22">
        <v>34</v>
      </c>
      <c r="H1527" s="5" t="e">
        <f ca="1">_xlfn.FORMULATEXT(표1[[#This Row],[Q''ty]])</f>
        <v>#N/A</v>
      </c>
      <c r="I1527" s="28">
        <v>46132</v>
      </c>
      <c r="J1527" s="28">
        <v>46132</v>
      </c>
    </row>
    <row r="1528" spans="1:10" ht="15" customHeight="1" x14ac:dyDescent="0.4">
      <c r="A1528" s="6">
        <v>2026</v>
      </c>
      <c r="B1528" s="6">
        <f t="shared" si="185"/>
        <v>16</v>
      </c>
      <c r="C1528" s="13" t="s">
        <v>19</v>
      </c>
      <c r="D1528" s="2" t="s">
        <v>12</v>
      </c>
      <c r="E1528" s="14" t="str">
        <f t="shared" si="188"/>
        <v>Bending</v>
      </c>
      <c r="F1528" s="22">
        <v>289</v>
      </c>
      <c r="H1528" s="5" t="e">
        <f ca="1">_xlfn.FORMULATEXT(표1[[#This Row],[Q''ty]])</f>
        <v>#N/A</v>
      </c>
      <c r="I1528" s="28">
        <v>46132</v>
      </c>
      <c r="J1528" s="28">
        <v>46132</v>
      </c>
    </row>
    <row r="1529" spans="1:10" ht="15" customHeight="1" x14ac:dyDescent="0.4">
      <c r="A1529" s="6">
        <v>2026</v>
      </c>
      <c r="B1529" s="6">
        <f t="shared" si="185"/>
        <v>16</v>
      </c>
      <c r="C1529" s="13" t="s">
        <v>19</v>
      </c>
      <c r="D1529" s="2" t="s">
        <v>12</v>
      </c>
      <c r="E1529" s="14" t="str">
        <f t="shared" si="188"/>
        <v>L/W</v>
      </c>
      <c r="F1529" s="22">
        <v>289</v>
      </c>
      <c r="H1529" s="5" t="e">
        <f ca="1">_xlfn.FORMULATEXT(표1[[#This Row],[Q''ty]])</f>
        <v>#N/A</v>
      </c>
      <c r="I1529" s="28">
        <v>46132</v>
      </c>
      <c r="J1529" s="28">
        <v>46132</v>
      </c>
    </row>
    <row r="1530" spans="1:10" ht="15" customHeight="1" thickBot="1" x14ac:dyDescent="0.45">
      <c r="A1530" s="15">
        <v>2026</v>
      </c>
      <c r="B1530" s="15">
        <f t="shared" si="185"/>
        <v>16</v>
      </c>
      <c r="C1530" s="16" t="s">
        <v>19</v>
      </c>
      <c r="D1530" s="17" t="s">
        <v>12</v>
      </c>
      <c r="E1530" s="18" t="str">
        <f t="shared" si="188"/>
        <v>C/W</v>
      </c>
      <c r="F1530" s="23">
        <v>322</v>
      </c>
      <c r="H1530" s="5" t="e">
        <f ca="1">_xlfn.FORMULATEXT(표1[[#This Row],[Q''ty]])</f>
        <v>#N/A</v>
      </c>
      <c r="I1530" s="28">
        <v>46132</v>
      </c>
      <c r="J1530" s="28">
        <v>46132</v>
      </c>
    </row>
    <row r="1531" spans="1:10" ht="15" hidden="1" customHeight="1" thickTop="1" x14ac:dyDescent="0.4">
      <c r="A1531" s="6">
        <v>2026</v>
      </c>
      <c r="B1531" s="6">
        <f t="shared" si="185"/>
        <v>16</v>
      </c>
      <c r="C1531" s="13" t="s">
        <v>25</v>
      </c>
      <c r="D1531" s="2" t="s">
        <v>6</v>
      </c>
      <c r="E1531" s="14" t="s">
        <v>7</v>
      </c>
      <c r="F1531" s="22">
        <f t="shared" ref="F1531:F1536" si="190">F1432</f>
        <v>3</v>
      </c>
      <c r="H1531" s="5" t="str">
        <f ca="1">_xlfn.FORMULATEXT(표1[[#This Row],[Q''ty]])</f>
        <v>=F1432</v>
      </c>
    </row>
    <row r="1532" spans="1:10" ht="15" hidden="1" customHeight="1" x14ac:dyDescent="0.4">
      <c r="A1532" s="6">
        <v>2026</v>
      </c>
      <c r="B1532" s="6">
        <f t="shared" si="185"/>
        <v>16</v>
      </c>
      <c r="C1532" s="13" t="s">
        <v>25</v>
      </c>
      <c r="D1532" s="2" t="s">
        <v>6</v>
      </c>
      <c r="E1532" s="14" t="s">
        <v>8</v>
      </c>
      <c r="F1532" s="22">
        <f t="shared" si="190"/>
        <v>3</v>
      </c>
      <c r="H1532" s="5" t="str">
        <f ca="1">_xlfn.FORMULATEXT(표1[[#This Row],[Q''ty]])</f>
        <v>=F1433</v>
      </c>
    </row>
    <row r="1533" spans="1:10" ht="15" hidden="1" customHeight="1" x14ac:dyDescent="0.4">
      <c r="A1533" s="6">
        <v>2026</v>
      </c>
      <c r="B1533" s="6">
        <f t="shared" si="185"/>
        <v>16</v>
      </c>
      <c r="C1533" s="13" t="s">
        <v>25</v>
      </c>
      <c r="D1533" s="2" t="s">
        <v>6</v>
      </c>
      <c r="E1533" s="14" t="s">
        <v>9</v>
      </c>
      <c r="F1533" s="22">
        <f t="shared" si="190"/>
        <v>2</v>
      </c>
      <c r="H1533" s="5" t="str">
        <f ca="1">_xlfn.FORMULATEXT(표1[[#This Row],[Q''ty]])</f>
        <v>=F1434</v>
      </c>
    </row>
    <row r="1534" spans="1:10" ht="15" hidden="1" customHeight="1" x14ac:dyDescent="0.4">
      <c r="A1534" s="6">
        <v>2026</v>
      </c>
      <c r="B1534" s="6">
        <f t="shared" si="185"/>
        <v>16</v>
      </c>
      <c r="C1534" s="13" t="s">
        <v>25</v>
      </c>
      <c r="D1534" s="2" t="s">
        <v>6</v>
      </c>
      <c r="E1534" s="14" t="s">
        <v>27</v>
      </c>
      <c r="F1534" s="22">
        <f t="shared" si="190"/>
        <v>2</v>
      </c>
      <c r="H1534" s="5" t="str">
        <f ca="1">_xlfn.FORMULATEXT(표1[[#This Row],[Q''ty]])</f>
        <v>=F1435</v>
      </c>
    </row>
    <row r="1535" spans="1:10" ht="15" hidden="1" customHeight="1" x14ac:dyDescent="0.4">
      <c r="A1535" s="6">
        <v>2026</v>
      </c>
      <c r="B1535" s="6">
        <f t="shared" si="185"/>
        <v>16</v>
      </c>
      <c r="C1535" s="13" t="s">
        <v>25</v>
      </c>
      <c r="D1535" s="2" t="s">
        <v>6</v>
      </c>
      <c r="E1535" s="14" t="s">
        <v>10</v>
      </c>
      <c r="F1535" s="22">
        <f t="shared" si="190"/>
        <v>3</v>
      </c>
      <c r="H1535" s="5" t="str">
        <f ca="1">_xlfn.FORMULATEXT(표1[[#This Row],[Q''ty]])</f>
        <v>=F1436</v>
      </c>
    </row>
    <row r="1536" spans="1:10" ht="15" hidden="1" customHeight="1" x14ac:dyDescent="0.4">
      <c r="A1536" s="6">
        <v>2026</v>
      </c>
      <c r="B1536" s="6">
        <f t="shared" si="185"/>
        <v>16</v>
      </c>
      <c r="C1536" s="13" t="s">
        <v>25</v>
      </c>
      <c r="D1536" s="2" t="s">
        <v>6</v>
      </c>
      <c r="E1536" s="14" t="s">
        <v>11</v>
      </c>
      <c r="F1536" s="22">
        <f t="shared" si="190"/>
        <v>4</v>
      </c>
      <c r="H1536" s="5" t="str">
        <f ca="1">_xlfn.FORMULATEXT(표1[[#This Row],[Q''ty]])</f>
        <v>=F1437</v>
      </c>
    </row>
    <row r="1537" spans="1:10" ht="15" customHeight="1" thickTop="1" x14ac:dyDescent="0.4">
      <c r="A1537" s="6">
        <v>2026</v>
      </c>
      <c r="B1537" s="6">
        <f t="shared" si="185"/>
        <v>16</v>
      </c>
      <c r="C1537" s="13" t="s">
        <v>25</v>
      </c>
      <c r="D1537" s="2" t="s">
        <v>12</v>
      </c>
      <c r="E1537" s="14" t="s">
        <v>13</v>
      </c>
      <c r="F1537" s="22">
        <v>0</v>
      </c>
      <c r="H1537" s="5" t="e">
        <f ca="1">_xlfn.FORMULATEXT(표1[[#This Row],[Q''ty]])</f>
        <v>#N/A</v>
      </c>
    </row>
    <row r="1538" spans="1:10" ht="15" customHeight="1" x14ac:dyDescent="0.4">
      <c r="A1538" s="6">
        <v>2026</v>
      </c>
      <c r="B1538" s="6">
        <f t="shared" si="185"/>
        <v>16</v>
      </c>
      <c r="C1538" s="13" t="s">
        <v>25</v>
      </c>
      <c r="D1538" s="2" t="s">
        <v>12</v>
      </c>
      <c r="E1538" s="14" t="s">
        <v>14</v>
      </c>
      <c r="F1538" s="22">
        <v>0</v>
      </c>
      <c r="H1538" s="5" t="e">
        <f ca="1">_xlfn.FORMULATEXT(표1[[#This Row],[Q''ty]])</f>
        <v>#N/A</v>
      </c>
    </row>
    <row r="1539" spans="1:10" ht="15" customHeight="1" x14ac:dyDescent="0.4">
      <c r="A1539" s="6">
        <v>2026</v>
      </c>
      <c r="B1539" s="6">
        <f t="shared" si="185"/>
        <v>16</v>
      </c>
      <c r="C1539" s="13" t="s">
        <v>25</v>
      </c>
      <c r="D1539" s="2" t="s">
        <v>12</v>
      </c>
      <c r="E1539" s="14" t="s">
        <v>15</v>
      </c>
      <c r="F1539" s="22">
        <v>0</v>
      </c>
      <c r="H1539" s="5" t="e">
        <f ca="1">_xlfn.FORMULATEXT(표1[[#This Row],[Q''ty]])</f>
        <v>#N/A</v>
      </c>
    </row>
    <row r="1540" spans="1:10" ht="15" customHeight="1" x14ac:dyDescent="0.4">
      <c r="A1540" s="6">
        <v>2026</v>
      </c>
      <c r="B1540" s="6">
        <f t="shared" si="185"/>
        <v>16</v>
      </c>
      <c r="C1540" s="13" t="s">
        <v>25</v>
      </c>
      <c r="D1540" s="2" t="s">
        <v>12</v>
      </c>
      <c r="E1540" s="14" t="s">
        <v>16</v>
      </c>
      <c r="F1540" s="22">
        <v>0</v>
      </c>
      <c r="H1540" s="5" t="e">
        <f ca="1">_xlfn.FORMULATEXT(표1[[#This Row],[Q''ty]])</f>
        <v>#N/A</v>
      </c>
    </row>
    <row r="1541" spans="1:10" ht="15" customHeight="1" thickBot="1" x14ac:dyDescent="0.45">
      <c r="A1541" s="15">
        <v>2026</v>
      </c>
      <c r="B1541" s="15">
        <f t="shared" si="185"/>
        <v>16</v>
      </c>
      <c r="C1541" s="16" t="s">
        <v>25</v>
      </c>
      <c r="D1541" s="17" t="s">
        <v>12</v>
      </c>
      <c r="E1541" s="18" t="s">
        <v>17</v>
      </c>
      <c r="F1541" s="23">
        <v>0</v>
      </c>
      <c r="H1541" s="5" t="e">
        <f ca="1">_xlfn.FORMULATEXT(표1[[#This Row],[Q''ty]])</f>
        <v>#N/A</v>
      </c>
    </row>
    <row r="1542" spans="1:10" ht="15" hidden="1" customHeight="1" thickTop="1" x14ac:dyDescent="0.4">
      <c r="A1542" s="6">
        <v>2026</v>
      </c>
      <c r="B1542" s="6">
        <f t="shared" si="185"/>
        <v>16</v>
      </c>
      <c r="C1542" s="13" t="s">
        <v>26</v>
      </c>
      <c r="D1542" s="2" t="s">
        <v>6</v>
      </c>
      <c r="E1542" s="14" t="s">
        <v>7</v>
      </c>
      <c r="F1542" s="22">
        <f t="shared" ref="F1542:F1547" si="191">F1443</f>
        <v>6</v>
      </c>
      <c r="H1542" s="5" t="str">
        <f ca="1">_xlfn.FORMULATEXT(표1[[#This Row],[Q''ty]])</f>
        <v>=F1443</v>
      </c>
    </row>
    <row r="1543" spans="1:10" ht="15" hidden="1" customHeight="1" x14ac:dyDescent="0.4">
      <c r="A1543" s="6">
        <v>2026</v>
      </c>
      <c r="B1543" s="6">
        <f t="shared" si="185"/>
        <v>16</v>
      </c>
      <c r="C1543" s="13" t="s">
        <v>26</v>
      </c>
      <c r="D1543" s="2" t="s">
        <v>6</v>
      </c>
      <c r="E1543" s="14" t="s">
        <v>8</v>
      </c>
      <c r="F1543" s="22">
        <f t="shared" si="191"/>
        <v>4</v>
      </c>
      <c r="H1543" s="5" t="str">
        <f ca="1">_xlfn.FORMULATEXT(표1[[#This Row],[Q''ty]])</f>
        <v>=F1444</v>
      </c>
    </row>
    <row r="1544" spans="1:10" ht="15" hidden="1" customHeight="1" x14ac:dyDescent="0.4">
      <c r="A1544" s="6">
        <v>2026</v>
      </c>
      <c r="B1544" s="6">
        <f t="shared" si="185"/>
        <v>16</v>
      </c>
      <c r="C1544" s="13" t="s">
        <v>26</v>
      </c>
      <c r="D1544" s="2" t="s">
        <v>6</v>
      </c>
      <c r="E1544" s="14" t="s">
        <v>9</v>
      </c>
      <c r="F1544" s="22">
        <f t="shared" si="191"/>
        <v>2</v>
      </c>
      <c r="H1544" s="5" t="str">
        <f ca="1">_xlfn.FORMULATEXT(표1[[#This Row],[Q''ty]])</f>
        <v>=F1445</v>
      </c>
    </row>
    <row r="1545" spans="1:10" ht="15" hidden="1" customHeight="1" x14ac:dyDescent="0.4">
      <c r="A1545" s="6">
        <v>2026</v>
      </c>
      <c r="B1545" s="6">
        <f t="shared" si="185"/>
        <v>16</v>
      </c>
      <c r="C1545" s="13" t="s">
        <v>26</v>
      </c>
      <c r="D1545" s="2" t="s">
        <v>6</v>
      </c>
      <c r="E1545" s="14" t="s">
        <v>27</v>
      </c>
      <c r="F1545" s="22">
        <f t="shared" si="191"/>
        <v>3</v>
      </c>
      <c r="H1545" s="5" t="str">
        <f ca="1">_xlfn.FORMULATEXT(표1[[#This Row],[Q''ty]])</f>
        <v>=F1446</v>
      </c>
    </row>
    <row r="1546" spans="1:10" ht="15" hidden="1" customHeight="1" x14ac:dyDescent="0.4">
      <c r="A1546" s="6">
        <v>2026</v>
      </c>
      <c r="B1546" s="6">
        <f t="shared" si="185"/>
        <v>16</v>
      </c>
      <c r="C1546" s="13" t="s">
        <v>26</v>
      </c>
      <c r="D1546" s="2" t="s">
        <v>6</v>
      </c>
      <c r="E1546" s="14" t="s">
        <v>10</v>
      </c>
      <c r="F1546" s="22">
        <f t="shared" si="191"/>
        <v>4</v>
      </c>
      <c r="H1546" s="5" t="str">
        <f ca="1">_xlfn.FORMULATEXT(표1[[#This Row],[Q''ty]])</f>
        <v>=F1447</v>
      </c>
    </row>
    <row r="1547" spans="1:10" ht="15" hidden="1" customHeight="1" x14ac:dyDescent="0.4">
      <c r="A1547" s="6">
        <v>2026</v>
      </c>
      <c r="B1547" s="6">
        <f t="shared" si="185"/>
        <v>16</v>
      </c>
      <c r="C1547" s="13" t="s">
        <v>26</v>
      </c>
      <c r="D1547" s="2" t="s">
        <v>6</v>
      </c>
      <c r="E1547" s="14" t="s">
        <v>11</v>
      </c>
      <c r="F1547" s="22">
        <f t="shared" si="191"/>
        <v>6</v>
      </c>
      <c r="H1547" s="5" t="str">
        <f ca="1">_xlfn.FORMULATEXT(표1[[#This Row],[Q''ty]])</f>
        <v>=F1448</v>
      </c>
    </row>
    <row r="1548" spans="1:10" ht="15" customHeight="1" thickTop="1" x14ac:dyDescent="0.4">
      <c r="A1548" s="6">
        <v>2026</v>
      </c>
      <c r="B1548" s="6">
        <f t="shared" si="185"/>
        <v>16</v>
      </c>
      <c r="C1548" s="13" t="s">
        <v>26</v>
      </c>
      <c r="D1548" s="2" t="s">
        <v>12</v>
      </c>
      <c r="E1548" s="14" t="str">
        <f t="shared" ref="E1548:E1585" si="192">E1449</f>
        <v>BT GT</v>
      </c>
      <c r="F1548" s="22">
        <v>17</v>
      </c>
      <c r="H1548" s="5" t="e">
        <f ca="1">_xlfn.FORMULATEXT(표1[[#This Row],[Q''ty]])</f>
        <v>#N/A</v>
      </c>
      <c r="I1548" s="28">
        <v>46132</v>
      </c>
      <c r="J1548" s="28">
        <v>46129</v>
      </c>
    </row>
    <row r="1549" spans="1:10" ht="15" customHeight="1" x14ac:dyDescent="0.4">
      <c r="A1549" s="6">
        <v>2026</v>
      </c>
      <c r="B1549" s="6">
        <f t="shared" si="185"/>
        <v>16</v>
      </c>
      <c r="C1549" s="13" t="s">
        <v>26</v>
      </c>
      <c r="D1549" s="2" t="s">
        <v>12</v>
      </c>
      <c r="E1549" s="14" t="str">
        <f t="shared" si="192"/>
        <v>WT GT</v>
      </c>
      <c r="F1549" s="22">
        <v>18</v>
      </c>
      <c r="H1549" s="5" t="e">
        <f ca="1">_xlfn.FORMULATEXT(표1[[#This Row],[Q''ty]])</f>
        <v>#N/A</v>
      </c>
      <c r="I1549" s="28">
        <v>46132</v>
      </c>
      <c r="J1549" s="28">
        <v>46129</v>
      </c>
    </row>
    <row r="1550" spans="1:10" ht="15" customHeight="1" x14ac:dyDescent="0.4">
      <c r="A1550" s="6">
        <v>2026</v>
      </c>
      <c r="B1550" s="6">
        <f t="shared" si="185"/>
        <v>16</v>
      </c>
      <c r="C1550" s="13" t="s">
        <v>26</v>
      </c>
      <c r="D1550" s="2" t="s">
        <v>12</v>
      </c>
      <c r="E1550" s="14" t="str">
        <f t="shared" si="192"/>
        <v>Bending</v>
      </c>
      <c r="F1550" s="22">
        <v>149</v>
      </c>
      <c r="H1550" s="5" t="e">
        <f ca="1">_xlfn.FORMULATEXT(표1[[#This Row],[Q''ty]])</f>
        <v>#N/A</v>
      </c>
      <c r="I1550" s="28">
        <v>46132</v>
      </c>
      <c r="J1550" s="28">
        <v>46129</v>
      </c>
    </row>
    <row r="1551" spans="1:10" ht="15" customHeight="1" x14ac:dyDescent="0.4">
      <c r="A1551" s="6">
        <v>2026</v>
      </c>
      <c r="B1551" s="6">
        <f t="shared" si="185"/>
        <v>16</v>
      </c>
      <c r="C1551" s="13" t="s">
        <v>26</v>
      </c>
      <c r="D1551" s="2" t="s">
        <v>12</v>
      </c>
      <c r="E1551" s="14" t="str">
        <f t="shared" si="192"/>
        <v>L/W</v>
      </c>
      <c r="F1551" s="22">
        <v>142</v>
      </c>
      <c r="H1551" s="5" t="e">
        <f ca="1">_xlfn.FORMULATEXT(표1[[#This Row],[Q''ty]])</f>
        <v>#N/A</v>
      </c>
      <c r="I1551" s="28">
        <v>46132</v>
      </c>
      <c r="J1551" s="28">
        <v>46129</v>
      </c>
    </row>
    <row r="1552" spans="1:10" ht="15" customHeight="1" thickBot="1" x14ac:dyDescent="0.45">
      <c r="A1552" s="15">
        <v>2026</v>
      </c>
      <c r="B1552" s="15">
        <f t="shared" ref="B1552:B1585" si="193">B1453+1</f>
        <v>16</v>
      </c>
      <c r="C1552" s="16" t="s">
        <v>26</v>
      </c>
      <c r="D1552" s="17" t="s">
        <v>12</v>
      </c>
      <c r="E1552" s="18" t="str">
        <f t="shared" si="192"/>
        <v>C/W</v>
      </c>
      <c r="F1552" s="23">
        <v>153</v>
      </c>
      <c r="H1552" s="5" t="e">
        <f ca="1">_xlfn.FORMULATEXT(표1[[#This Row],[Q''ty]])</f>
        <v>#N/A</v>
      </c>
      <c r="I1552" s="28">
        <v>46132</v>
      </c>
      <c r="J1552" s="28">
        <v>46129</v>
      </c>
    </row>
    <row r="1553" spans="1:10" ht="15" hidden="1" customHeight="1" thickTop="1" x14ac:dyDescent="0.4">
      <c r="A1553" s="6">
        <v>2026</v>
      </c>
      <c r="B1553" s="6">
        <f t="shared" si="193"/>
        <v>16</v>
      </c>
      <c r="C1553" s="13" t="s">
        <v>20</v>
      </c>
      <c r="D1553" s="2" t="s">
        <v>6</v>
      </c>
      <c r="E1553" s="14" t="str">
        <f t="shared" si="192"/>
        <v>Growing Line</v>
      </c>
      <c r="F1553" s="22">
        <f t="shared" ref="F1553:F1558" si="194">F1454</f>
        <v>30</v>
      </c>
      <c r="H1553" s="5" t="str">
        <f ca="1">_xlfn.FORMULATEXT(표1[[#This Row],[Q''ty]])</f>
        <v>=F1454</v>
      </c>
    </row>
    <row r="1554" spans="1:10" ht="15" hidden="1" customHeight="1" x14ac:dyDescent="0.4">
      <c r="A1554" s="6">
        <v>2026</v>
      </c>
      <c r="B1554" s="6">
        <f t="shared" si="193"/>
        <v>16</v>
      </c>
      <c r="C1554" s="13" t="s">
        <v>20</v>
      </c>
      <c r="D1554" s="2" t="s">
        <v>6</v>
      </c>
      <c r="E1554" s="14" t="str">
        <f t="shared" si="192"/>
        <v>Paint Booth</v>
      </c>
      <c r="F1554" s="22">
        <f t="shared" si="194"/>
        <v>16</v>
      </c>
      <c r="H1554" s="5" t="str">
        <f ca="1">_xlfn.FORMULATEXT(표1[[#This Row],[Q''ty]])</f>
        <v>=F1455</v>
      </c>
    </row>
    <row r="1555" spans="1:10" ht="15" hidden="1" customHeight="1" x14ac:dyDescent="0.4">
      <c r="A1555" s="6">
        <v>2026</v>
      </c>
      <c r="B1555" s="6">
        <f t="shared" si="193"/>
        <v>16</v>
      </c>
      <c r="C1555" s="13" t="s">
        <v>20</v>
      </c>
      <c r="D1555" s="2" t="s">
        <v>6</v>
      </c>
      <c r="E1555" s="14" t="str">
        <f t="shared" si="192"/>
        <v>Paint Line</v>
      </c>
      <c r="F1555" s="22">
        <f t="shared" si="194"/>
        <v>8</v>
      </c>
      <c r="H1555" s="5" t="str">
        <f ca="1">_xlfn.FORMULATEXT(표1[[#This Row],[Q''ty]])</f>
        <v>=F1456</v>
      </c>
    </row>
    <row r="1556" spans="1:10" ht="15" hidden="1" customHeight="1" x14ac:dyDescent="0.4">
      <c r="A1556" s="6">
        <v>2026</v>
      </c>
      <c r="B1556" s="6">
        <f t="shared" si="193"/>
        <v>16</v>
      </c>
      <c r="C1556" s="13" t="s">
        <v>20</v>
      </c>
      <c r="D1556" s="2" t="s">
        <v>6</v>
      </c>
      <c r="E1556" s="14" t="str">
        <f t="shared" si="192"/>
        <v>Roll Bending Machine</v>
      </c>
      <c r="F1556" s="22">
        <f t="shared" si="194"/>
        <v>6</v>
      </c>
      <c r="H1556" s="5" t="str">
        <f ca="1">_xlfn.FORMULATEXT(표1[[#This Row],[Q''ty]])</f>
        <v>=F1457</v>
      </c>
    </row>
    <row r="1557" spans="1:10" ht="15" hidden="1" customHeight="1" x14ac:dyDescent="0.4">
      <c r="A1557" s="6">
        <v>2026</v>
      </c>
      <c r="B1557" s="6">
        <f t="shared" si="193"/>
        <v>16</v>
      </c>
      <c r="C1557" s="13" t="s">
        <v>20</v>
      </c>
      <c r="D1557" s="2" t="s">
        <v>6</v>
      </c>
      <c r="E1557" s="14" t="str">
        <f t="shared" si="192"/>
        <v>L/W Machine</v>
      </c>
      <c r="F1557" s="22">
        <f t="shared" si="194"/>
        <v>11</v>
      </c>
      <c r="H1557" s="5" t="str">
        <f ca="1">_xlfn.FORMULATEXT(표1[[#This Row],[Q''ty]])</f>
        <v>=F1458</v>
      </c>
    </row>
    <row r="1558" spans="1:10" ht="15" hidden="1" customHeight="1" x14ac:dyDescent="0.4">
      <c r="A1558" s="6">
        <v>2026</v>
      </c>
      <c r="B1558" s="6">
        <f t="shared" si="193"/>
        <v>16</v>
      </c>
      <c r="C1558" s="13" t="s">
        <v>20</v>
      </c>
      <c r="D1558" s="2" t="s">
        <v>6</v>
      </c>
      <c r="E1558" s="14" t="str">
        <f t="shared" si="192"/>
        <v>C/W Machine</v>
      </c>
      <c r="F1558" s="22">
        <f t="shared" si="194"/>
        <v>15</v>
      </c>
      <c r="H1558" s="5" t="str">
        <f ca="1">_xlfn.FORMULATEXT(표1[[#This Row],[Q''ty]])</f>
        <v>=F1459</v>
      </c>
    </row>
    <row r="1559" spans="1:10" ht="15" customHeight="1" thickTop="1" x14ac:dyDescent="0.4">
      <c r="A1559" s="6">
        <v>2026</v>
      </c>
      <c r="B1559" s="6">
        <f t="shared" si="193"/>
        <v>16</v>
      </c>
      <c r="C1559" s="13" t="s">
        <v>20</v>
      </c>
      <c r="D1559" s="2" t="s">
        <v>12</v>
      </c>
      <c r="E1559" s="14" t="str">
        <f t="shared" si="192"/>
        <v>BT GT</v>
      </c>
      <c r="F1559" s="22">
        <v>63</v>
      </c>
      <c r="H1559" s="5" t="e">
        <f ca="1">_xlfn.FORMULATEXT(표1[[#This Row],[Q''ty]])</f>
        <v>#N/A</v>
      </c>
      <c r="I1559" s="28">
        <v>46132</v>
      </c>
      <c r="J1559" s="28">
        <v>46132</v>
      </c>
    </row>
    <row r="1560" spans="1:10" ht="15" customHeight="1" x14ac:dyDescent="0.4">
      <c r="A1560" s="6">
        <v>2026</v>
      </c>
      <c r="B1560" s="6">
        <f t="shared" si="193"/>
        <v>16</v>
      </c>
      <c r="C1560" s="13" t="s">
        <v>20</v>
      </c>
      <c r="D1560" s="2" t="s">
        <v>12</v>
      </c>
      <c r="E1560" s="14" t="str">
        <f t="shared" si="192"/>
        <v>WT GT</v>
      </c>
      <c r="F1560" s="22">
        <v>54</v>
      </c>
      <c r="H1560" s="5" t="e">
        <f ca="1">_xlfn.FORMULATEXT(표1[[#This Row],[Q''ty]])</f>
        <v>#N/A</v>
      </c>
      <c r="I1560" s="28">
        <v>46132</v>
      </c>
      <c r="J1560" s="28">
        <v>46132</v>
      </c>
    </row>
    <row r="1561" spans="1:10" ht="15" customHeight="1" x14ac:dyDescent="0.4">
      <c r="A1561" s="6">
        <v>2026</v>
      </c>
      <c r="B1561" s="6">
        <f t="shared" si="193"/>
        <v>16</v>
      </c>
      <c r="C1561" s="13" t="s">
        <v>20</v>
      </c>
      <c r="D1561" s="2" t="s">
        <v>12</v>
      </c>
      <c r="E1561" s="14" t="str">
        <f t="shared" si="192"/>
        <v>Bending</v>
      </c>
      <c r="F1561" s="22">
        <v>570</v>
      </c>
      <c r="H1561" s="5" t="e">
        <f ca="1">_xlfn.FORMULATEXT(표1[[#This Row],[Q''ty]])</f>
        <v>#N/A</v>
      </c>
      <c r="I1561" s="28">
        <v>46132</v>
      </c>
      <c r="J1561" s="28">
        <v>46132</v>
      </c>
    </row>
    <row r="1562" spans="1:10" ht="15" customHeight="1" x14ac:dyDescent="0.4">
      <c r="A1562" s="6">
        <v>2026</v>
      </c>
      <c r="B1562" s="6">
        <f t="shared" si="193"/>
        <v>16</v>
      </c>
      <c r="C1562" s="13" t="s">
        <v>20</v>
      </c>
      <c r="D1562" s="2" t="s">
        <v>12</v>
      </c>
      <c r="E1562" s="14" t="str">
        <f t="shared" si="192"/>
        <v>L/W</v>
      </c>
      <c r="F1562" s="22">
        <v>562</v>
      </c>
      <c r="H1562" s="5" t="e">
        <f ca="1">_xlfn.FORMULATEXT(표1[[#This Row],[Q''ty]])</f>
        <v>#N/A</v>
      </c>
      <c r="I1562" s="28">
        <v>46132</v>
      </c>
      <c r="J1562" s="28">
        <v>46132</v>
      </c>
    </row>
    <row r="1563" spans="1:10" ht="15" customHeight="1" thickBot="1" x14ac:dyDescent="0.45">
      <c r="A1563" s="15">
        <v>2026</v>
      </c>
      <c r="B1563" s="15">
        <f t="shared" si="193"/>
        <v>16</v>
      </c>
      <c r="C1563" s="16" t="s">
        <v>20</v>
      </c>
      <c r="D1563" s="17" t="s">
        <v>12</v>
      </c>
      <c r="E1563" s="18" t="str">
        <f t="shared" si="192"/>
        <v>C/W</v>
      </c>
      <c r="F1563" s="23">
        <v>502</v>
      </c>
      <c r="H1563" s="5" t="e">
        <f ca="1">_xlfn.FORMULATEXT(표1[[#This Row],[Q''ty]])</f>
        <v>#N/A</v>
      </c>
      <c r="I1563" s="28">
        <v>46132</v>
      </c>
      <c r="J1563" s="28">
        <v>46132</v>
      </c>
    </row>
    <row r="1564" spans="1:10" ht="15" hidden="1" customHeight="1" thickTop="1" x14ac:dyDescent="0.4">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10" ht="15" hidden="1" customHeight="1" x14ac:dyDescent="0.4">
      <c r="A1565" s="6">
        <v>2026</v>
      </c>
      <c r="B1565" s="6">
        <f t="shared" si="193"/>
        <v>16</v>
      </c>
      <c r="C1565" s="13" t="s">
        <v>21</v>
      </c>
      <c r="D1565" s="2" t="s">
        <v>6</v>
      </c>
      <c r="E1565" s="14" t="str">
        <f t="shared" si="192"/>
        <v>Paint Booth</v>
      </c>
      <c r="F1565" s="22">
        <f t="shared" si="195"/>
        <v>4</v>
      </c>
      <c r="H1565" s="5" t="str">
        <f ca="1">_xlfn.FORMULATEXT(표1[[#This Row],[Q''ty]])</f>
        <v>=F1466</v>
      </c>
    </row>
    <row r="1566" spans="1:10" ht="15" hidden="1" customHeight="1" x14ac:dyDescent="0.4">
      <c r="A1566" s="6">
        <v>2026</v>
      </c>
      <c r="B1566" s="6">
        <f t="shared" si="193"/>
        <v>16</v>
      </c>
      <c r="C1566" s="13" t="s">
        <v>21</v>
      </c>
      <c r="D1566" s="2" t="s">
        <v>6</v>
      </c>
      <c r="E1566" s="14" t="str">
        <f t="shared" si="192"/>
        <v>Paint Line</v>
      </c>
      <c r="F1566" s="22">
        <f t="shared" si="195"/>
        <v>4</v>
      </c>
      <c r="H1566" s="5" t="str">
        <f ca="1">_xlfn.FORMULATEXT(표1[[#This Row],[Q''ty]])</f>
        <v>=F1467</v>
      </c>
    </row>
    <row r="1567" spans="1:10" ht="15" hidden="1" customHeight="1" x14ac:dyDescent="0.4">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10" ht="15" hidden="1" customHeight="1" x14ac:dyDescent="0.4">
      <c r="A1568" s="6">
        <v>2026</v>
      </c>
      <c r="B1568" s="6">
        <f t="shared" si="193"/>
        <v>16</v>
      </c>
      <c r="C1568" s="13" t="s">
        <v>21</v>
      </c>
      <c r="D1568" s="2" t="s">
        <v>6</v>
      </c>
      <c r="E1568" s="14" t="str">
        <f t="shared" si="192"/>
        <v>L/W Machine</v>
      </c>
      <c r="F1568" s="22">
        <f t="shared" si="195"/>
        <v>4</v>
      </c>
      <c r="H1568" s="5" t="str">
        <f ca="1">_xlfn.FORMULATEXT(표1[[#This Row],[Q''ty]])</f>
        <v>=F1469</v>
      </c>
    </row>
    <row r="1569" spans="1:10" ht="15" hidden="1" customHeight="1" x14ac:dyDescent="0.4">
      <c r="A1569" s="6">
        <v>2026</v>
      </c>
      <c r="B1569" s="6">
        <f t="shared" si="193"/>
        <v>16</v>
      </c>
      <c r="C1569" s="13" t="s">
        <v>21</v>
      </c>
      <c r="D1569" s="2" t="s">
        <v>6</v>
      </c>
      <c r="E1569" s="14" t="str">
        <f t="shared" si="192"/>
        <v>C/W Machine</v>
      </c>
      <c r="F1569" s="22">
        <f t="shared" si="195"/>
        <v>6.5</v>
      </c>
      <c r="H1569" s="5" t="str">
        <f ca="1">_xlfn.FORMULATEXT(표1[[#This Row],[Q''ty]])</f>
        <v>=F1470</v>
      </c>
    </row>
    <row r="1570" spans="1:10" ht="15" customHeight="1" thickTop="1" x14ac:dyDescent="0.4">
      <c r="A1570" s="6">
        <v>2026</v>
      </c>
      <c r="B1570" s="6">
        <f t="shared" si="193"/>
        <v>16</v>
      </c>
      <c r="C1570" s="13" t="s">
        <v>21</v>
      </c>
      <c r="D1570" s="2" t="s">
        <v>12</v>
      </c>
      <c r="E1570" s="14" t="str">
        <f t="shared" si="192"/>
        <v>BT GT</v>
      </c>
      <c r="F1570" s="22">
        <v>13</v>
      </c>
      <c r="H1570" s="5" t="e">
        <f ca="1">_xlfn.FORMULATEXT(표1[[#This Row],[Q''ty]])</f>
        <v>#N/A</v>
      </c>
      <c r="I1570" s="28">
        <v>46132</v>
      </c>
      <c r="J1570" s="28">
        <v>46129</v>
      </c>
    </row>
    <row r="1571" spans="1:10" ht="15" customHeight="1" x14ac:dyDescent="0.4">
      <c r="A1571" s="6">
        <v>2026</v>
      </c>
      <c r="B1571" s="6">
        <f t="shared" si="193"/>
        <v>16</v>
      </c>
      <c r="C1571" s="13" t="s">
        <v>21</v>
      </c>
      <c r="D1571" s="2" t="s">
        <v>12</v>
      </c>
      <c r="E1571" s="14" t="str">
        <f t="shared" si="192"/>
        <v>WT GT</v>
      </c>
      <c r="F1571" s="22">
        <v>12</v>
      </c>
      <c r="H1571" s="5" t="e">
        <f ca="1">_xlfn.FORMULATEXT(표1[[#This Row],[Q''ty]])</f>
        <v>#N/A</v>
      </c>
      <c r="I1571" s="28">
        <v>46132</v>
      </c>
      <c r="J1571" s="28">
        <v>46129</v>
      </c>
    </row>
    <row r="1572" spans="1:10" ht="15" customHeight="1" x14ac:dyDescent="0.4">
      <c r="A1572" s="6">
        <v>2026</v>
      </c>
      <c r="B1572" s="6">
        <f t="shared" si="193"/>
        <v>16</v>
      </c>
      <c r="C1572" s="13" t="s">
        <v>21</v>
      </c>
      <c r="D1572" s="2" t="s">
        <v>12</v>
      </c>
      <c r="E1572" s="14" t="str">
        <f t="shared" si="192"/>
        <v>Bending</v>
      </c>
      <c r="F1572" s="22">
        <v>70</v>
      </c>
      <c r="H1572" s="5" t="e">
        <f ca="1">_xlfn.FORMULATEXT(표1[[#This Row],[Q''ty]])</f>
        <v>#N/A</v>
      </c>
      <c r="I1572" s="28">
        <v>46132</v>
      </c>
      <c r="J1572" s="28">
        <v>46129</v>
      </c>
    </row>
    <row r="1573" spans="1:10" ht="15" customHeight="1" x14ac:dyDescent="0.4">
      <c r="A1573" s="6">
        <v>2026</v>
      </c>
      <c r="B1573" s="6">
        <f t="shared" si="193"/>
        <v>16</v>
      </c>
      <c r="C1573" s="13" t="s">
        <v>21</v>
      </c>
      <c r="D1573" s="2" t="s">
        <v>12</v>
      </c>
      <c r="E1573" s="14" t="str">
        <f t="shared" si="192"/>
        <v>L/W</v>
      </c>
      <c r="F1573" s="22">
        <v>78</v>
      </c>
      <c r="H1573" s="5" t="e">
        <f ca="1">_xlfn.FORMULATEXT(표1[[#This Row],[Q''ty]])</f>
        <v>#N/A</v>
      </c>
      <c r="I1573" s="28">
        <v>46132</v>
      </c>
      <c r="J1573" s="28">
        <v>46129</v>
      </c>
    </row>
    <row r="1574" spans="1:10" ht="15" customHeight="1" thickBot="1" x14ac:dyDescent="0.45">
      <c r="A1574" s="15">
        <v>2026</v>
      </c>
      <c r="B1574" s="15">
        <f t="shared" si="193"/>
        <v>16</v>
      </c>
      <c r="C1574" s="16" t="s">
        <v>21</v>
      </c>
      <c r="D1574" s="17" t="s">
        <v>12</v>
      </c>
      <c r="E1574" s="18" t="str">
        <f t="shared" si="192"/>
        <v>C/W</v>
      </c>
      <c r="F1574" s="23">
        <v>103</v>
      </c>
      <c r="H1574" s="5" t="e">
        <f ca="1">_xlfn.FORMULATEXT(표1[[#This Row],[Q''ty]])</f>
        <v>#N/A</v>
      </c>
      <c r="I1574" s="28">
        <v>46132</v>
      </c>
      <c r="J1574" s="28">
        <v>46129</v>
      </c>
    </row>
    <row r="1575" spans="1:10" ht="15" hidden="1" customHeight="1" thickTop="1" x14ac:dyDescent="0.4">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10" ht="15" hidden="1" customHeight="1" x14ac:dyDescent="0.4">
      <c r="A1576" s="6">
        <v>2026</v>
      </c>
      <c r="B1576" s="6">
        <f t="shared" si="193"/>
        <v>16</v>
      </c>
      <c r="C1576" s="13" t="s">
        <v>22</v>
      </c>
      <c r="D1576" s="2" t="s">
        <v>6</v>
      </c>
      <c r="E1576" s="14" t="str">
        <f t="shared" si="192"/>
        <v>Paint Booth</v>
      </c>
      <c r="F1576" s="22">
        <f t="shared" si="196"/>
        <v>6</v>
      </c>
      <c r="H1576" s="5" t="str">
        <f ca="1">_xlfn.FORMULATEXT(표1[[#This Row],[Q''ty]])</f>
        <v>=F1477</v>
      </c>
    </row>
    <row r="1577" spans="1:10" ht="15" hidden="1" customHeight="1" x14ac:dyDescent="0.4">
      <c r="A1577" s="6">
        <v>2026</v>
      </c>
      <c r="B1577" s="6">
        <f t="shared" si="193"/>
        <v>16</v>
      </c>
      <c r="C1577" s="13" t="s">
        <v>22</v>
      </c>
      <c r="D1577" s="2" t="s">
        <v>6</v>
      </c>
      <c r="E1577" s="14" t="str">
        <f t="shared" si="192"/>
        <v>Paint Line</v>
      </c>
      <c r="F1577" s="22">
        <f t="shared" si="196"/>
        <v>4</v>
      </c>
      <c r="H1577" s="5" t="str">
        <f ca="1">_xlfn.FORMULATEXT(표1[[#This Row],[Q''ty]])</f>
        <v>=F1478</v>
      </c>
    </row>
    <row r="1578" spans="1:10" ht="15" hidden="1" customHeight="1" x14ac:dyDescent="0.4">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10" ht="15" hidden="1" customHeight="1" x14ac:dyDescent="0.4">
      <c r="A1579" s="6">
        <v>2026</v>
      </c>
      <c r="B1579" s="6">
        <f t="shared" si="193"/>
        <v>16</v>
      </c>
      <c r="C1579" s="13" t="s">
        <v>22</v>
      </c>
      <c r="D1579" s="2" t="s">
        <v>6</v>
      </c>
      <c r="E1579" s="14" t="str">
        <f t="shared" si="192"/>
        <v>L/W Machine</v>
      </c>
      <c r="F1579" s="22">
        <f t="shared" si="196"/>
        <v>7</v>
      </c>
      <c r="H1579" s="5" t="str">
        <f ca="1">_xlfn.FORMULATEXT(표1[[#This Row],[Q''ty]])</f>
        <v>=F1480</v>
      </c>
    </row>
    <row r="1580" spans="1:10" ht="15" hidden="1" customHeight="1" x14ac:dyDescent="0.4">
      <c r="A1580" s="6">
        <v>2026</v>
      </c>
      <c r="B1580" s="6">
        <f t="shared" si="193"/>
        <v>16</v>
      </c>
      <c r="C1580" s="13" t="s">
        <v>22</v>
      </c>
      <c r="D1580" s="2" t="s">
        <v>6</v>
      </c>
      <c r="E1580" s="14" t="str">
        <f t="shared" si="192"/>
        <v>C/W Machine</v>
      </c>
      <c r="F1580" s="22">
        <f t="shared" si="196"/>
        <v>12.5</v>
      </c>
      <c r="H1580" s="5" t="str">
        <f ca="1">_xlfn.FORMULATEXT(표1[[#This Row],[Q''ty]])</f>
        <v>=F1481</v>
      </c>
    </row>
    <row r="1581" spans="1:10" ht="15" customHeight="1" thickTop="1" x14ac:dyDescent="0.4">
      <c r="A1581" s="6">
        <v>2026</v>
      </c>
      <c r="B1581" s="6">
        <f t="shared" si="193"/>
        <v>16</v>
      </c>
      <c r="C1581" s="13" t="s">
        <v>22</v>
      </c>
      <c r="D1581" s="2" t="s">
        <v>12</v>
      </c>
      <c r="E1581" s="14" t="str">
        <f t="shared" si="192"/>
        <v>BT GT</v>
      </c>
      <c r="F1581" s="22">
        <v>3</v>
      </c>
      <c r="H1581" s="5" t="e">
        <f ca="1">_xlfn.FORMULATEXT(표1[[#This Row],[Q''ty]])</f>
        <v>#N/A</v>
      </c>
      <c r="I1581" s="28">
        <v>46132</v>
      </c>
      <c r="J1581" s="28">
        <v>46129</v>
      </c>
    </row>
    <row r="1582" spans="1:10" ht="15" customHeight="1" x14ac:dyDescent="0.4">
      <c r="A1582" s="6">
        <v>2026</v>
      </c>
      <c r="B1582" s="6">
        <f t="shared" si="193"/>
        <v>16</v>
      </c>
      <c r="C1582" s="13" t="s">
        <v>22</v>
      </c>
      <c r="D1582" s="2" t="s">
        <v>12</v>
      </c>
      <c r="E1582" s="14" t="str">
        <f t="shared" si="192"/>
        <v>WT GT</v>
      </c>
      <c r="F1582" s="22">
        <v>4</v>
      </c>
      <c r="H1582" s="5" t="e">
        <f ca="1">_xlfn.FORMULATEXT(표1[[#This Row],[Q''ty]])</f>
        <v>#N/A</v>
      </c>
      <c r="I1582" s="28">
        <v>46132</v>
      </c>
      <c r="J1582" s="28">
        <v>46129</v>
      </c>
    </row>
    <row r="1583" spans="1:10" ht="15" customHeight="1" x14ac:dyDescent="0.4">
      <c r="A1583" s="6">
        <v>2026</v>
      </c>
      <c r="B1583" s="6">
        <f t="shared" si="193"/>
        <v>16</v>
      </c>
      <c r="C1583" s="13" t="s">
        <v>22</v>
      </c>
      <c r="D1583" s="2" t="s">
        <v>12</v>
      </c>
      <c r="E1583" s="14" t="str">
        <f t="shared" si="192"/>
        <v>Bending</v>
      </c>
      <c r="F1583" s="22">
        <f>45+33</f>
        <v>78</v>
      </c>
      <c r="H1583" s="5" t="str">
        <f ca="1">_xlfn.FORMULATEXT(표1[[#This Row],[Q''ty]])</f>
        <v>=45+33</v>
      </c>
      <c r="I1583" s="28">
        <v>46132</v>
      </c>
      <c r="J1583" s="28">
        <v>46129</v>
      </c>
    </row>
    <row r="1584" spans="1:10" ht="15" customHeight="1" x14ac:dyDescent="0.4">
      <c r="A1584" s="6">
        <v>2026</v>
      </c>
      <c r="B1584" s="6">
        <f t="shared" si="193"/>
        <v>16</v>
      </c>
      <c r="C1584" s="13" t="s">
        <v>22</v>
      </c>
      <c r="D1584" s="2" t="s">
        <v>12</v>
      </c>
      <c r="E1584" s="14" t="str">
        <f t="shared" si="192"/>
        <v>L/W</v>
      </c>
      <c r="F1584" s="22">
        <f>32+59</f>
        <v>91</v>
      </c>
      <c r="H1584" s="5" t="str">
        <f ca="1">_xlfn.FORMULATEXT(표1[[#This Row],[Q''ty]])</f>
        <v>=32+59</v>
      </c>
      <c r="I1584" s="28">
        <v>46132</v>
      </c>
      <c r="J1584" s="28">
        <v>46129</v>
      </c>
    </row>
    <row r="1585" spans="1:10" ht="15" customHeight="1" x14ac:dyDescent="0.4">
      <c r="A1585" s="6">
        <v>2026</v>
      </c>
      <c r="B1585" s="6">
        <f t="shared" si="193"/>
        <v>16</v>
      </c>
      <c r="C1585" s="13" t="s">
        <v>22</v>
      </c>
      <c r="D1585" s="2" t="s">
        <v>12</v>
      </c>
      <c r="E1585" s="14" t="str">
        <f t="shared" si="192"/>
        <v>C/W</v>
      </c>
      <c r="F1585" s="22">
        <f>27+42</f>
        <v>69</v>
      </c>
      <c r="H1585" s="5" t="str">
        <f ca="1">_xlfn.FORMULATEXT(표1[[#This Row],[Q''ty]])</f>
        <v>=27+42</v>
      </c>
      <c r="I1585" s="28">
        <v>46132</v>
      </c>
      <c r="J1585" s="28">
        <v>46129</v>
      </c>
    </row>
    <row r="1586" spans="1:10" ht="15" hidden="1" customHeight="1" thickTop="1" x14ac:dyDescent="0.4">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4">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4">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4">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4">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4">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4">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4">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4">
      <c r="A1594" s="6">
        <v>2026</v>
      </c>
      <c r="B1594" s="6">
        <f t="shared" si="198"/>
        <v>17</v>
      </c>
      <c r="C1594" s="13" t="s">
        <v>23</v>
      </c>
      <c r="D1594" s="2" t="s">
        <v>12</v>
      </c>
      <c r="E1594" s="14" t="s">
        <v>15</v>
      </c>
      <c r="F1594" s="22"/>
      <c r="H1594" s="5" t="e">
        <f ca="1">_xlfn.FORMULATEXT(표1[[#This Row],[Q''ty]])</f>
        <v>#N/A</v>
      </c>
    </row>
    <row r="1595" spans="1:10" ht="15" hidden="1" customHeight="1" x14ac:dyDescent="0.4">
      <c r="A1595" s="6">
        <v>2026</v>
      </c>
      <c r="B1595" s="6">
        <f t="shared" si="198"/>
        <v>17</v>
      </c>
      <c r="C1595" s="13" t="s">
        <v>23</v>
      </c>
      <c r="D1595" s="2" t="s">
        <v>12</v>
      </c>
      <c r="E1595" s="14" t="s">
        <v>16</v>
      </c>
      <c r="F1595" s="22"/>
      <c r="H1595" s="5" t="e">
        <f ca="1">_xlfn.FORMULATEXT(표1[[#This Row],[Q''ty]])</f>
        <v>#N/A</v>
      </c>
    </row>
    <row r="1596" spans="1:10" ht="15" hidden="1" customHeight="1" thickBot="1" x14ac:dyDescent="0.45">
      <c r="A1596" s="15">
        <v>2026</v>
      </c>
      <c r="B1596" s="15">
        <f t="shared" si="198"/>
        <v>17</v>
      </c>
      <c r="C1596" s="16" t="s">
        <v>23</v>
      </c>
      <c r="D1596" s="17" t="s">
        <v>12</v>
      </c>
      <c r="E1596" s="18" t="s">
        <v>17</v>
      </c>
      <c r="F1596" s="23"/>
      <c r="H1596" s="5" t="e">
        <f ca="1">_xlfn.FORMULATEXT(표1[[#This Row],[Q''ty]])</f>
        <v>#N/A</v>
      </c>
    </row>
    <row r="1597" spans="1:10" ht="15" hidden="1" customHeight="1" thickTop="1" x14ac:dyDescent="0.4">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4">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4">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4">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4">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4">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4">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4">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4">
      <c r="A1605" s="6">
        <v>2026</v>
      </c>
      <c r="B1605" s="6">
        <f t="shared" si="198"/>
        <v>17</v>
      </c>
      <c r="C1605" s="13" t="s">
        <v>24</v>
      </c>
      <c r="D1605" s="2" t="s">
        <v>12</v>
      </c>
      <c r="E1605" s="14" t="s">
        <v>15</v>
      </c>
      <c r="F1605" s="22"/>
      <c r="H1605" s="5" t="e">
        <f ca="1">_xlfn.FORMULATEXT(표1[[#This Row],[Q''ty]])</f>
        <v>#N/A</v>
      </c>
    </row>
    <row r="1606" spans="1:10" ht="15" hidden="1" customHeight="1" x14ac:dyDescent="0.4">
      <c r="A1606" s="6">
        <v>2026</v>
      </c>
      <c r="B1606" s="6">
        <f t="shared" si="198"/>
        <v>17</v>
      </c>
      <c r="C1606" s="13" t="s">
        <v>24</v>
      </c>
      <c r="D1606" s="2" t="s">
        <v>12</v>
      </c>
      <c r="E1606" s="14" t="s">
        <v>16</v>
      </c>
      <c r="F1606" s="22"/>
      <c r="H1606" s="5" t="e">
        <f ca="1">_xlfn.FORMULATEXT(표1[[#This Row],[Q''ty]])</f>
        <v>#N/A</v>
      </c>
    </row>
    <row r="1607" spans="1:10" ht="15" hidden="1" customHeight="1" thickBot="1" x14ac:dyDescent="0.45">
      <c r="A1607" s="15">
        <v>2026</v>
      </c>
      <c r="B1607" s="15">
        <f t="shared" si="198"/>
        <v>17</v>
      </c>
      <c r="C1607" s="16" t="s">
        <v>24</v>
      </c>
      <c r="D1607" s="17" t="s">
        <v>12</v>
      </c>
      <c r="E1607" s="18" t="s">
        <v>17</v>
      </c>
      <c r="F1607" s="23"/>
      <c r="H1607" s="5" t="e">
        <f ca="1">_xlfn.FORMULATEXT(표1[[#This Row],[Q''ty]])</f>
        <v>#N/A</v>
      </c>
    </row>
    <row r="1608" spans="1:10" ht="15" hidden="1" customHeight="1" thickTop="1" x14ac:dyDescent="0.4">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4">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4">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4">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4">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4">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4">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4">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4">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4">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4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4">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4">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4">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4">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4">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4">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4">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4">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4">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4">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4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4">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4">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4">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4">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4">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4">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4">
      <c r="A1636" s="6">
        <v>2026</v>
      </c>
      <c r="B1636" s="6">
        <f t="shared" si="198"/>
        <v>17</v>
      </c>
      <c r="C1636" s="13" t="s">
        <v>25</v>
      </c>
      <c r="D1636" s="2" t="s">
        <v>12</v>
      </c>
      <c r="E1636" s="14" t="s">
        <v>13</v>
      </c>
      <c r="F1636" s="22"/>
      <c r="H1636" s="5" t="e">
        <f ca="1">_xlfn.FORMULATEXT(표1[[#This Row],[Q''ty]])</f>
        <v>#N/A</v>
      </c>
    </row>
    <row r="1637" spans="1:8" ht="15" hidden="1" customHeight="1" x14ac:dyDescent="0.4">
      <c r="A1637" s="6">
        <v>2026</v>
      </c>
      <c r="B1637" s="6">
        <f t="shared" si="198"/>
        <v>17</v>
      </c>
      <c r="C1637" s="13" t="s">
        <v>25</v>
      </c>
      <c r="D1637" s="2" t="s">
        <v>12</v>
      </c>
      <c r="E1637" s="14" t="s">
        <v>14</v>
      </c>
      <c r="F1637" s="22"/>
      <c r="H1637" s="5" t="e">
        <f ca="1">_xlfn.FORMULATEXT(표1[[#This Row],[Q''ty]])</f>
        <v>#N/A</v>
      </c>
    </row>
    <row r="1638" spans="1:8" ht="15" hidden="1" customHeight="1" x14ac:dyDescent="0.4">
      <c r="A1638" s="6">
        <v>2026</v>
      </c>
      <c r="B1638" s="6">
        <f t="shared" si="198"/>
        <v>17</v>
      </c>
      <c r="C1638" s="13" t="s">
        <v>25</v>
      </c>
      <c r="D1638" s="2" t="s">
        <v>12</v>
      </c>
      <c r="E1638" s="14" t="s">
        <v>15</v>
      </c>
      <c r="F1638" s="22"/>
      <c r="H1638" s="5" t="e">
        <f ca="1">_xlfn.FORMULATEXT(표1[[#This Row],[Q''ty]])</f>
        <v>#N/A</v>
      </c>
    </row>
    <row r="1639" spans="1:8" ht="15" hidden="1" customHeight="1" x14ac:dyDescent="0.4">
      <c r="A1639" s="6">
        <v>2026</v>
      </c>
      <c r="B1639" s="6">
        <f t="shared" si="198"/>
        <v>17</v>
      </c>
      <c r="C1639" s="13" t="s">
        <v>25</v>
      </c>
      <c r="D1639" s="2" t="s">
        <v>12</v>
      </c>
      <c r="E1639" s="14" t="s">
        <v>16</v>
      </c>
      <c r="F1639" s="22"/>
      <c r="H1639" s="5" t="e">
        <f ca="1">_xlfn.FORMULATEXT(표1[[#This Row],[Q''ty]])</f>
        <v>#N/A</v>
      </c>
    </row>
    <row r="1640" spans="1:8" ht="15" hidden="1" customHeight="1" thickBot="1" x14ac:dyDescent="0.45">
      <c r="A1640" s="15">
        <v>2026</v>
      </c>
      <c r="B1640" s="15">
        <f t="shared" si="198"/>
        <v>17</v>
      </c>
      <c r="C1640" s="16" t="s">
        <v>25</v>
      </c>
      <c r="D1640" s="17" t="s">
        <v>12</v>
      </c>
      <c r="E1640" s="18" t="s">
        <v>17</v>
      </c>
      <c r="F1640" s="23"/>
      <c r="H1640" s="5" t="e">
        <f ca="1">_xlfn.FORMULATEXT(표1[[#This Row],[Q''ty]])</f>
        <v>#N/A</v>
      </c>
    </row>
    <row r="1641" spans="1:8" ht="15" hidden="1" customHeight="1" thickTop="1" x14ac:dyDescent="0.4">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4">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4">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4">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4">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4">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4">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4">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4">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4">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4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4">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4">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4">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4">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4">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4">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4">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4">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4">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4">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4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4">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4">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4">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4">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4">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4">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4">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4">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4">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4">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4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4">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4">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4">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4">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4">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4">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4">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4">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4">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4">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45">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4">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4">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4">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4">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4">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4">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4">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4">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4">
      <c r="A1693" s="6">
        <v>2026</v>
      </c>
      <c r="B1693" s="6">
        <f t="shared" si="211"/>
        <v>18</v>
      </c>
      <c r="C1693" s="13" t="s">
        <v>23</v>
      </c>
      <c r="D1693" s="2" t="s">
        <v>12</v>
      </c>
      <c r="E1693" s="14" t="s">
        <v>15</v>
      </c>
      <c r="F1693" s="22"/>
      <c r="H1693" s="5" t="e">
        <f ca="1">_xlfn.FORMULATEXT(표1[[#This Row],[Q''ty]])</f>
        <v>#N/A</v>
      </c>
    </row>
    <row r="1694" spans="1:10" ht="15" hidden="1" customHeight="1" x14ac:dyDescent="0.4">
      <c r="A1694" s="6">
        <v>2026</v>
      </c>
      <c r="B1694" s="6">
        <f t="shared" si="211"/>
        <v>18</v>
      </c>
      <c r="C1694" s="13" t="s">
        <v>23</v>
      </c>
      <c r="D1694" s="2" t="s">
        <v>12</v>
      </c>
      <c r="E1694" s="14" t="s">
        <v>16</v>
      </c>
      <c r="F1694" s="22"/>
      <c r="H1694" s="5" t="e">
        <f ca="1">_xlfn.FORMULATEXT(표1[[#This Row],[Q''ty]])</f>
        <v>#N/A</v>
      </c>
    </row>
    <row r="1695" spans="1:10" ht="15" hidden="1" customHeight="1" thickBot="1" x14ac:dyDescent="0.45">
      <c r="A1695" s="15">
        <v>2026</v>
      </c>
      <c r="B1695" s="15">
        <f t="shared" si="211"/>
        <v>18</v>
      </c>
      <c r="C1695" s="16" t="s">
        <v>23</v>
      </c>
      <c r="D1695" s="17" t="s">
        <v>12</v>
      </c>
      <c r="E1695" s="18" t="s">
        <v>17</v>
      </c>
      <c r="F1695" s="23"/>
      <c r="H1695" s="5" t="e">
        <f ca="1">_xlfn.FORMULATEXT(표1[[#This Row],[Q''ty]])</f>
        <v>#N/A</v>
      </c>
    </row>
    <row r="1696" spans="1:10" ht="15" hidden="1" customHeight="1" thickTop="1" x14ac:dyDescent="0.4">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4">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4">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4">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4">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4">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4">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4">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4">
      <c r="A1704" s="6">
        <v>2026</v>
      </c>
      <c r="B1704" s="6">
        <f t="shared" si="211"/>
        <v>18</v>
      </c>
      <c r="C1704" s="13" t="s">
        <v>24</v>
      </c>
      <c r="D1704" s="2" t="s">
        <v>12</v>
      </c>
      <c r="E1704" s="14" t="s">
        <v>15</v>
      </c>
      <c r="F1704" s="22"/>
      <c r="H1704" s="5" t="e">
        <f ca="1">_xlfn.FORMULATEXT(표1[[#This Row],[Q''ty]])</f>
        <v>#N/A</v>
      </c>
    </row>
    <row r="1705" spans="1:10" ht="15" hidden="1" customHeight="1" x14ac:dyDescent="0.4">
      <c r="A1705" s="6">
        <v>2026</v>
      </c>
      <c r="B1705" s="6">
        <f t="shared" si="211"/>
        <v>18</v>
      </c>
      <c r="C1705" s="13" t="s">
        <v>24</v>
      </c>
      <c r="D1705" s="2" t="s">
        <v>12</v>
      </c>
      <c r="E1705" s="14" t="s">
        <v>16</v>
      </c>
      <c r="F1705" s="22"/>
      <c r="H1705" s="5" t="e">
        <f ca="1">_xlfn.FORMULATEXT(표1[[#This Row],[Q''ty]])</f>
        <v>#N/A</v>
      </c>
    </row>
    <row r="1706" spans="1:10" ht="15" hidden="1" customHeight="1" thickBot="1" x14ac:dyDescent="0.45">
      <c r="A1706" s="15">
        <v>2026</v>
      </c>
      <c r="B1706" s="15">
        <f t="shared" si="211"/>
        <v>18</v>
      </c>
      <c r="C1706" s="16" t="s">
        <v>24</v>
      </c>
      <c r="D1706" s="17" t="s">
        <v>12</v>
      </c>
      <c r="E1706" s="18" t="s">
        <v>17</v>
      </c>
      <c r="F1706" s="23"/>
      <c r="H1706" s="5" t="e">
        <f ca="1">_xlfn.FORMULATEXT(표1[[#This Row],[Q''ty]])</f>
        <v>#N/A</v>
      </c>
    </row>
    <row r="1707" spans="1:10" ht="15" hidden="1" customHeight="1" thickTop="1" x14ac:dyDescent="0.4">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4">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4">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4">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4">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4">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4">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4">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4">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4">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4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4">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4">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4">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4">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4">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4">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4">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4">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4">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4">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4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4">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4">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4">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4">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4">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4">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4">
      <c r="A1735" s="6">
        <v>2026</v>
      </c>
      <c r="B1735" s="6">
        <f t="shared" si="211"/>
        <v>18</v>
      </c>
      <c r="C1735" s="13" t="s">
        <v>25</v>
      </c>
      <c r="D1735" s="2" t="s">
        <v>12</v>
      </c>
      <c r="E1735" s="14" t="s">
        <v>13</v>
      </c>
      <c r="F1735" s="22"/>
      <c r="H1735" s="5" t="e">
        <f ca="1">_xlfn.FORMULATEXT(표1[[#This Row],[Q''ty]])</f>
        <v>#N/A</v>
      </c>
    </row>
    <row r="1736" spans="1:8" ht="15" hidden="1" customHeight="1" x14ac:dyDescent="0.4">
      <c r="A1736" s="6">
        <v>2026</v>
      </c>
      <c r="B1736" s="6">
        <f t="shared" si="211"/>
        <v>18</v>
      </c>
      <c r="C1736" s="13" t="s">
        <v>25</v>
      </c>
      <c r="D1736" s="2" t="s">
        <v>12</v>
      </c>
      <c r="E1736" s="14" t="s">
        <v>14</v>
      </c>
      <c r="F1736" s="22"/>
      <c r="H1736" s="5" t="e">
        <f ca="1">_xlfn.FORMULATEXT(표1[[#This Row],[Q''ty]])</f>
        <v>#N/A</v>
      </c>
    </row>
    <row r="1737" spans="1:8" ht="15" hidden="1" customHeight="1" x14ac:dyDescent="0.4">
      <c r="A1737" s="6">
        <v>2026</v>
      </c>
      <c r="B1737" s="6">
        <f t="shared" si="211"/>
        <v>18</v>
      </c>
      <c r="C1737" s="13" t="s">
        <v>25</v>
      </c>
      <c r="D1737" s="2" t="s">
        <v>12</v>
      </c>
      <c r="E1737" s="14" t="s">
        <v>15</v>
      </c>
      <c r="F1737" s="22"/>
      <c r="H1737" s="5" t="e">
        <f ca="1">_xlfn.FORMULATEXT(표1[[#This Row],[Q''ty]])</f>
        <v>#N/A</v>
      </c>
    </row>
    <row r="1738" spans="1:8" ht="15" hidden="1" customHeight="1" x14ac:dyDescent="0.4">
      <c r="A1738" s="6">
        <v>2026</v>
      </c>
      <c r="B1738" s="6">
        <f t="shared" si="211"/>
        <v>18</v>
      </c>
      <c r="C1738" s="13" t="s">
        <v>25</v>
      </c>
      <c r="D1738" s="2" t="s">
        <v>12</v>
      </c>
      <c r="E1738" s="14" t="s">
        <v>16</v>
      </c>
      <c r="F1738" s="22"/>
      <c r="H1738" s="5" t="e">
        <f ca="1">_xlfn.FORMULATEXT(표1[[#This Row],[Q''ty]])</f>
        <v>#N/A</v>
      </c>
    </row>
    <row r="1739" spans="1:8" ht="15" hidden="1" customHeight="1" thickBot="1" x14ac:dyDescent="0.45">
      <c r="A1739" s="15">
        <v>2026</v>
      </c>
      <c r="B1739" s="15">
        <f t="shared" si="211"/>
        <v>18</v>
      </c>
      <c r="C1739" s="16" t="s">
        <v>25</v>
      </c>
      <c r="D1739" s="17" t="s">
        <v>12</v>
      </c>
      <c r="E1739" s="18" t="s">
        <v>17</v>
      </c>
      <c r="F1739" s="23"/>
      <c r="H1739" s="5" t="e">
        <f ca="1">_xlfn.FORMULATEXT(표1[[#This Row],[Q''ty]])</f>
        <v>#N/A</v>
      </c>
    </row>
    <row r="1740" spans="1:8" ht="15" hidden="1" customHeight="1" thickTop="1" x14ac:dyDescent="0.4">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4">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4">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4">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4">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4">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4">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4">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4">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4">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4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4">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4">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4">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4">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4">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4">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4">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4">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4">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4">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4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4">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4">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4">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4">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4">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4">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4">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4">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4">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4">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4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4">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4">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4">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4">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4">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4">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4">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4">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4">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4">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45">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4">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4">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4">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4">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4">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4">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4">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4">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4">
      <c r="A1792" s="6">
        <v>2026</v>
      </c>
      <c r="B1792" s="6">
        <f t="shared" si="224"/>
        <v>19</v>
      </c>
      <c r="C1792" s="13" t="s">
        <v>23</v>
      </c>
      <c r="D1792" s="2" t="s">
        <v>12</v>
      </c>
      <c r="E1792" s="14" t="s">
        <v>15</v>
      </c>
      <c r="F1792" s="22"/>
      <c r="H1792" s="5" t="e">
        <f ca="1">_xlfn.FORMULATEXT(표1[[#This Row],[Q''ty]])</f>
        <v>#N/A</v>
      </c>
    </row>
    <row r="1793" spans="1:10" ht="15" hidden="1" customHeight="1" x14ac:dyDescent="0.4">
      <c r="A1793" s="6">
        <v>2026</v>
      </c>
      <c r="B1793" s="6">
        <f t="shared" si="224"/>
        <v>19</v>
      </c>
      <c r="C1793" s="13" t="s">
        <v>23</v>
      </c>
      <c r="D1793" s="2" t="s">
        <v>12</v>
      </c>
      <c r="E1793" s="14" t="s">
        <v>16</v>
      </c>
      <c r="F1793" s="22"/>
      <c r="H1793" s="5" t="e">
        <f ca="1">_xlfn.FORMULATEXT(표1[[#This Row],[Q''ty]])</f>
        <v>#N/A</v>
      </c>
    </row>
    <row r="1794" spans="1:10" ht="15" hidden="1" customHeight="1" thickBot="1" x14ac:dyDescent="0.45">
      <c r="A1794" s="15">
        <v>2026</v>
      </c>
      <c r="B1794" s="15">
        <f t="shared" si="224"/>
        <v>19</v>
      </c>
      <c r="C1794" s="16" t="s">
        <v>23</v>
      </c>
      <c r="D1794" s="17" t="s">
        <v>12</v>
      </c>
      <c r="E1794" s="18" t="s">
        <v>17</v>
      </c>
      <c r="F1794" s="23"/>
      <c r="H1794" s="5" t="e">
        <f ca="1">_xlfn.FORMULATEXT(표1[[#This Row],[Q''ty]])</f>
        <v>#N/A</v>
      </c>
    </row>
    <row r="1795" spans="1:10" ht="15" hidden="1" customHeight="1" thickTop="1" x14ac:dyDescent="0.4">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4">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4">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4">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4">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4">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4">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4">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4">
      <c r="A1803" s="6">
        <v>2026</v>
      </c>
      <c r="B1803" s="6">
        <f t="shared" si="224"/>
        <v>19</v>
      </c>
      <c r="C1803" s="13" t="s">
        <v>24</v>
      </c>
      <c r="D1803" s="2" t="s">
        <v>12</v>
      </c>
      <c r="E1803" s="14" t="s">
        <v>15</v>
      </c>
      <c r="F1803" s="22"/>
      <c r="H1803" s="5" t="e">
        <f ca="1">_xlfn.FORMULATEXT(표1[[#This Row],[Q''ty]])</f>
        <v>#N/A</v>
      </c>
    </row>
    <row r="1804" spans="1:10" ht="15" hidden="1" customHeight="1" x14ac:dyDescent="0.4">
      <c r="A1804" s="6">
        <v>2026</v>
      </c>
      <c r="B1804" s="6">
        <f t="shared" si="224"/>
        <v>19</v>
      </c>
      <c r="C1804" s="13" t="s">
        <v>24</v>
      </c>
      <c r="D1804" s="2" t="s">
        <v>12</v>
      </c>
      <c r="E1804" s="14" t="s">
        <v>16</v>
      </c>
      <c r="F1804" s="22"/>
      <c r="H1804" s="5" t="e">
        <f ca="1">_xlfn.FORMULATEXT(표1[[#This Row],[Q''ty]])</f>
        <v>#N/A</v>
      </c>
    </row>
    <row r="1805" spans="1:10" ht="15" hidden="1" customHeight="1" thickBot="1" x14ac:dyDescent="0.45">
      <c r="A1805" s="15">
        <v>2026</v>
      </c>
      <c r="B1805" s="15">
        <f t="shared" si="224"/>
        <v>19</v>
      </c>
      <c r="C1805" s="16" t="s">
        <v>24</v>
      </c>
      <c r="D1805" s="17" t="s">
        <v>12</v>
      </c>
      <c r="E1805" s="18" t="s">
        <v>17</v>
      </c>
      <c r="F1805" s="23"/>
      <c r="H1805" s="5" t="e">
        <f ca="1">_xlfn.FORMULATEXT(표1[[#This Row],[Q''ty]])</f>
        <v>#N/A</v>
      </c>
    </row>
    <row r="1806" spans="1:10" ht="15" hidden="1" customHeight="1" thickTop="1" x14ac:dyDescent="0.4">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4">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4">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4">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4">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4">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4">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4">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4">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4">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4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4">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4">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4">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4">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4">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4">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4">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4">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4">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4">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4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4">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4">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4">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4">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4">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4">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4">
      <c r="A1834" s="6">
        <v>2026</v>
      </c>
      <c r="B1834" s="6">
        <f t="shared" si="224"/>
        <v>19</v>
      </c>
      <c r="C1834" s="13" t="s">
        <v>25</v>
      </c>
      <c r="D1834" s="2" t="s">
        <v>12</v>
      </c>
      <c r="E1834" s="14" t="s">
        <v>13</v>
      </c>
      <c r="F1834" s="22"/>
      <c r="H1834" s="5" t="e">
        <f ca="1">_xlfn.FORMULATEXT(표1[[#This Row],[Q''ty]])</f>
        <v>#N/A</v>
      </c>
    </row>
    <row r="1835" spans="1:8" ht="15" hidden="1" customHeight="1" x14ac:dyDescent="0.4">
      <c r="A1835" s="6">
        <v>2026</v>
      </c>
      <c r="B1835" s="6">
        <f t="shared" si="224"/>
        <v>19</v>
      </c>
      <c r="C1835" s="13" t="s">
        <v>25</v>
      </c>
      <c r="D1835" s="2" t="s">
        <v>12</v>
      </c>
      <c r="E1835" s="14" t="s">
        <v>14</v>
      </c>
      <c r="F1835" s="22"/>
      <c r="H1835" s="5" t="e">
        <f ca="1">_xlfn.FORMULATEXT(표1[[#This Row],[Q''ty]])</f>
        <v>#N/A</v>
      </c>
    </row>
    <row r="1836" spans="1:8" ht="15" hidden="1" customHeight="1" x14ac:dyDescent="0.4">
      <c r="A1836" s="6">
        <v>2026</v>
      </c>
      <c r="B1836" s="6">
        <f t="shared" si="224"/>
        <v>19</v>
      </c>
      <c r="C1836" s="13" t="s">
        <v>25</v>
      </c>
      <c r="D1836" s="2" t="s">
        <v>12</v>
      </c>
      <c r="E1836" s="14" t="s">
        <v>15</v>
      </c>
      <c r="F1836" s="22"/>
      <c r="H1836" s="5" t="e">
        <f ca="1">_xlfn.FORMULATEXT(표1[[#This Row],[Q''ty]])</f>
        <v>#N/A</v>
      </c>
    </row>
    <row r="1837" spans="1:8" ht="15" hidden="1" customHeight="1" x14ac:dyDescent="0.4">
      <c r="A1837" s="6">
        <v>2026</v>
      </c>
      <c r="B1837" s="6">
        <f t="shared" si="224"/>
        <v>19</v>
      </c>
      <c r="C1837" s="13" t="s">
        <v>25</v>
      </c>
      <c r="D1837" s="2" t="s">
        <v>12</v>
      </c>
      <c r="E1837" s="14" t="s">
        <v>16</v>
      </c>
      <c r="F1837" s="22"/>
      <c r="H1837" s="5" t="e">
        <f ca="1">_xlfn.FORMULATEXT(표1[[#This Row],[Q''ty]])</f>
        <v>#N/A</v>
      </c>
    </row>
    <row r="1838" spans="1:8" ht="15" hidden="1" customHeight="1" thickBot="1" x14ac:dyDescent="0.45">
      <c r="A1838" s="15">
        <v>2026</v>
      </c>
      <c r="B1838" s="15">
        <f t="shared" si="224"/>
        <v>19</v>
      </c>
      <c r="C1838" s="16" t="s">
        <v>25</v>
      </c>
      <c r="D1838" s="17" t="s">
        <v>12</v>
      </c>
      <c r="E1838" s="18" t="s">
        <v>17</v>
      </c>
      <c r="F1838" s="23"/>
      <c r="H1838" s="5" t="e">
        <f ca="1">_xlfn.FORMULATEXT(표1[[#This Row],[Q''ty]])</f>
        <v>#N/A</v>
      </c>
    </row>
    <row r="1839" spans="1:8" ht="15" hidden="1" customHeight="1" thickTop="1" x14ac:dyDescent="0.4">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4">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4">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4">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4">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4">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4">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4">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4">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4">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4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4">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4">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4">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4">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4">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4">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4">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4">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4">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4">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4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4">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4">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4">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4">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4">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4">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4">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4">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4">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4">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4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4">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4">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4">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4">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4">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4">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4">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4">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4">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4">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45">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4">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4">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4">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4">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4">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4">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4">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4">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4">
      <c r="A1891" s="6">
        <v>2026</v>
      </c>
      <c r="B1891" s="6">
        <f t="shared" si="237"/>
        <v>20</v>
      </c>
      <c r="C1891" s="13" t="s">
        <v>23</v>
      </c>
      <c r="D1891" s="2" t="s">
        <v>12</v>
      </c>
      <c r="E1891" s="14" t="s">
        <v>15</v>
      </c>
      <c r="F1891" s="22"/>
      <c r="H1891" s="5" t="e">
        <f ca="1">_xlfn.FORMULATEXT(표1[[#This Row],[Q''ty]])</f>
        <v>#N/A</v>
      </c>
    </row>
    <row r="1892" spans="1:10" ht="15" hidden="1" customHeight="1" x14ac:dyDescent="0.4">
      <c r="A1892" s="6">
        <v>2026</v>
      </c>
      <c r="B1892" s="6">
        <f t="shared" si="237"/>
        <v>20</v>
      </c>
      <c r="C1892" s="13" t="s">
        <v>23</v>
      </c>
      <c r="D1892" s="2" t="s">
        <v>12</v>
      </c>
      <c r="E1892" s="14" t="s">
        <v>16</v>
      </c>
      <c r="F1892" s="22"/>
      <c r="H1892" s="5" t="e">
        <f ca="1">_xlfn.FORMULATEXT(표1[[#This Row],[Q''ty]])</f>
        <v>#N/A</v>
      </c>
    </row>
    <row r="1893" spans="1:10" ht="15" hidden="1" customHeight="1" thickBot="1" x14ac:dyDescent="0.45">
      <c r="A1893" s="15">
        <v>2026</v>
      </c>
      <c r="B1893" s="15">
        <f t="shared" si="237"/>
        <v>20</v>
      </c>
      <c r="C1893" s="16" t="s">
        <v>23</v>
      </c>
      <c r="D1893" s="17" t="s">
        <v>12</v>
      </c>
      <c r="E1893" s="18" t="s">
        <v>17</v>
      </c>
      <c r="F1893" s="23"/>
      <c r="H1893" s="5" t="e">
        <f ca="1">_xlfn.FORMULATEXT(표1[[#This Row],[Q''ty]])</f>
        <v>#N/A</v>
      </c>
    </row>
    <row r="1894" spans="1:10" ht="15" hidden="1" customHeight="1" thickTop="1" x14ac:dyDescent="0.4">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4">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4">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4">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4">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4">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4">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4">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4">
      <c r="A1902" s="6">
        <v>2026</v>
      </c>
      <c r="B1902" s="6">
        <f t="shared" si="237"/>
        <v>20</v>
      </c>
      <c r="C1902" s="13" t="s">
        <v>24</v>
      </c>
      <c r="D1902" s="2" t="s">
        <v>12</v>
      </c>
      <c r="E1902" s="14" t="s">
        <v>15</v>
      </c>
      <c r="F1902" s="22"/>
      <c r="H1902" s="5" t="e">
        <f ca="1">_xlfn.FORMULATEXT(표1[[#This Row],[Q''ty]])</f>
        <v>#N/A</v>
      </c>
    </row>
    <row r="1903" spans="1:10" ht="15" hidden="1" customHeight="1" x14ac:dyDescent="0.4">
      <c r="A1903" s="6">
        <v>2026</v>
      </c>
      <c r="B1903" s="6">
        <f t="shared" si="237"/>
        <v>20</v>
      </c>
      <c r="C1903" s="13" t="s">
        <v>24</v>
      </c>
      <c r="D1903" s="2" t="s">
        <v>12</v>
      </c>
      <c r="E1903" s="14" t="s">
        <v>16</v>
      </c>
      <c r="F1903" s="22"/>
      <c r="H1903" s="5" t="e">
        <f ca="1">_xlfn.FORMULATEXT(표1[[#This Row],[Q''ty]])</f>
        <v>#N/A</v>
      </c>
    </row>
    <row r="1904" spans="1:10" ht="15" hidden="1" customHeight="1" thickBot="1" x14ac:dyDescent="0.45">
      <c r="A1904" s="15">
        <v>2026</v>
      </c>
      <c r="B1904" s="15">
        <f t="shared" si="237"/>
        <v>20</v>
      </c>
      <c r="C1904" s="16" t="s">
        <v>24</v>
      </c>
      <c r="D1904" s="17" t="s">
        <v>12</v>
      </c>
      <c r="E1904" s="18" t="s">
        <v>17</v>
      </c>
      <c r="F1904" s="23"/>
      <c r="H1904" s="5" t="e">
        <f ca="1">_xlfn.FORMULATEXT(표1[[#This Row],[Q''ty]])</f>
        <v>#N/A</v>
      </c>
    </row>
    <row r="1905" spans="1:8" ht="15" hidden="1" customHeight="1" thickTop="1" x14ac:dyDescent="0.4">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4">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4">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4">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4">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4">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4">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4">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4">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4">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4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4">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4">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4">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4">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4">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4">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4">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4">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4">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4">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4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4">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4">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4">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4">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4">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4">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4">
      <c r="A1933" s="6">
        <v>2026</v>
      </c>
      <c r="B1933" s="6">
        <f t="shared" si="237"/>
        <v>20</v>
      </c>
      <c r="C1933" s="13" t="s">
        <v>25</v>
      </c>
      <c r="D1933" s="2" t="s">
        <v>12</v>
      </c>
      <c r="E1933" s="14" t="s">
        <v>13</v>
      </c>
      <c r="F1933" s="22"/>
      <c r="H1933" s="5" t="e">
        <f ca="1">_xlfn.FORMULATEXT(표1[[#This Row],[Q''ty]])</f>
        <v>#N/A</v>
      </c>
    </row>
    <row r="1934" spans="1:8" ht="15" hidden="1" customHeight="1" x14ac:dyDescent="0.4">
      <c r="A1934" s="6">
        <v>2026</v>
      </c>
      <c r="B1934" s="6">
        <f t="shared" si="237"/>
        <v>20</v>
      </c>
      <c r="C1934" s="13" t="s">
        <v>25</v>
      </c>
      <c r="D1934" s="2" t="s">
        <v>12</v>
      </c>
      <c r="E1934" s="14" t="s">
        <v>14</v>
      </c>
      <c r="F1934" s="22"/>
      <c r="H1934" s="5" t="e">
        <f ca="1">_xlfn.FORMULATEXT(표1[[#This Row],[Q''ty]])</f>
        <v>#N/A</v>
      </c>
    </row>
    <row r="1935" spans="1:8" ht="15" hidden="1" customHeight="1" x14ac:dyDescent="0.4">
      <c r="A1935" s="6">
        <v>2026</v>
      </c>
      <c r="B1935" s="6">
        <f t="shared" si="237"/>
        <v>20</v>
      </c>
      <c r="C1935" s="13" t="s">
        <v>25</v>
      </c>
      <c r="D1935" s="2" t="s">
        <v>12</v>
      </c>
      <c r="E1935" s="14" t="s">
        <v>15</v>
      </c>
      <c r="F1935" s="22"/>
      <c r="H1935" s="5" t="e">
        <f ca="1">_xlfn.FORMULATEXT(표1[[#This Row],[Q''ty]])</f>
        <v>#N/A</v>
      </c>
    </row>
    <row r="1936" spans="1:8" ht="15" hidden="1" customHeight="1" x14ac:dyDescent="0.4">
      <c r="A1936" s="6">
        <v>2026</v>
      </c>
      <c r="B1936" s="6">
        <f t="shared" si="237"/>
        <v>20</v>
      </c>
      <c r="C1936" s="13" t="s">
        <v>25</v>
      </c>
      <c r="D1936" s="2" t="s">
        <v>12</v>
      </c>
      <c r="E1936" s="14" t="s">
        <v>16</v>
      </c>
      <c r="F1936" s="22"/>
      <c r="H1936" s="5" t="e">
        <f ca="1">_xlfn.FORMULATEXT(표1[[#This Row],[Q''ty]])</f>
        <v>#N/A</v>
      </c>
    </row>
    <row r="1937" spans="1:8" ht="15" hidden="1" customHeight="1" thickBot="1" x14ac:dyDescent="0.45">
      <c r="A1937" s="15">
        <v>2026</v>
      </c>
      <c r="B1937" s="15">
        <f t="shared" si="237"/>
        <v>20</v>
      </c>
      <c r="C1937" s="16" t="s">
        <v>25</v>
      </c>
      <c r="D1937" s="17" t="s">
        <v>12</v>
      </c>
      <c r="E1937" s="18" t="s">
        <v>17</v>
      </c>
      <c r="F1937" s="23"/>
      <c r="H1937" s="5" t="e">
        <f ca="1">_xlfn.FORMULATEXT(표1[[#This Row],[Q''ty]])</f>
        <v>#N/A</v>
      </c>
    </row>
    <row r="1938" spans="1:8" ht="15" hidden="1" customHeight="1" thickTop="1" x14ac:dyDescent="0.4">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4">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4">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4">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4">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4">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4">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4">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4">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4">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4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4">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4">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4">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4">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4">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4">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4">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4">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4">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4">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4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4">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4">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4">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4">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4">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4">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4">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4">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4">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4">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4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4">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4">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4">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4">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4">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4">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4">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4">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4">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4">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45">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4">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4">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4">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4">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4">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4">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4">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4">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4">
      <c r="A1990" s="6">
        <v>2026</v>
      </c>
      <c r="B1990" s="6">
        <f t="shared" si="250"/>
        <v>21</v>
      </c>
      <c r="C1990" s="13" t="s">
        <v>23</v>
      </c>
      <c r="D1990" s="2" t="s">
        <v>12</v>
      </c>
      <c r="E1990" s="14" t="s">
        <v>15</v>
      </c>
      <c r="F1990" s="22"/>
      <c r="H1990" s="5" t="e">
        <f ca="1">_xlfn.FORMULATEXT(표1[[#This Row],[Q''ty]])</f>
        <v>#N/A</v>
      </c>
    </row>
    <row r="1991" spans="1:10" ht="15" hidden="1" customHeight="1" x14ac:dyDescent="0.4">
      <c r="A1991" s="6">
        <v>2026</v>
      </c>
      <c r="B1991" s="6">
        <f t="shared" si="250"/>
        <v>21</v>
      </c>
      <c r="C1991" s="13" t="s">
        <v>23</v>
      </c>
      <c r="D1991" s="2" t="s">
        <v>12</v>
      </c>
      <c r="E1991" s="14" t="s">
        <v>16</v>
      </c>
      <c r="F1991" s="22"/>
      <c r="H1991" s="5" t="e">
        <f ca="1">_xlfn.FORMULATEXT(표1[[#This Row],[Q''ty]])</f>
        <v>#N/A</v>
      </c>
    </row>
    <row r="1992" spans="1:10" ht="15" hidden="1" customHeight="1" thickBot="1" x14ac:dyDescent="0.45">
      <c r="A1992" s="15">
        <v>2026</v>
      </c>
      <c r="B1992" s="15">
        <f t="shared" si="250"/>
        <v>21</v>
      </c>
      <c r="C1992" s="16" t="s">
        <v>23</v>
      </c>
      <c r="D1992" s="17" t="s">
        <v>12</v>
      </c>
      <c r="E1992" s="18" t="s">
        <v>17</v>
      </c>
      <c r="F1992" s="23"/>
      <c r="H1992" s="5" t="e">
        <f ca="1">_xlfn.FORMULATEXT(표1[[#This Row],[Q''ty]])</f>
        <v>#N/A</v>
      </c>
    </row>
    <row r="1993" spans="1:10" ht="15" hidden="1" customHeight="1" thickTop="1" x14ac:dyDescent="0.4">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4">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4">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4">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4">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4">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4">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4">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4">
      <c r="A2001" s="6">
        <v>2026</v>
      </c>
      <c r="B2001" s="6">
        <f t="shared" si="250"/>
        <v>21</v>
      </c>
      <c r="C2001" s="13" t="s">
        <v>24</v>
      </c>
      <c r="D2001" s="2" t="s">
        <v>12</v>
      </c>
      <c r="E2001" s="14" t="s">
        <v>15</v>
      </c>
      <c r="F2001" s="22"/>
      <c r="H2001" s="5" t="e">
        <f ca="1">_xlfn.FORMULATEXT(표1[[#This Row],[Q''ty]])</f>
        <v>#N/A</v>
      </c>
    </row>
    <row r="2002" spans="1:8" ht="15" hidden="1" customHeight="1" x14ac:dyDescent="0.4">
      <c r="A2002" s="6">
        <v>2026</v>
      </c>
      <c r="B2002" s="6">
        <f t="shared" si="250"/>
        <v>21</v>
      </c>
      <c r="C2002" s="13" t="s">
        <v>24</v>
      </c>
      <c r="D2002" s="2" t="s">
        <v>12</v>
      </c>
      <c r="E2002" s="14" t="s">
        <v>16</v>
      </c>
      <c r="F2002" s="22"/>
      <c r="H2002" s="5" t="e">
        <f ca="1">_xlfn.FORMULATEXT(표1[[#This Row],[Q''ty]])</f>
        <v>#N/A</v>
      </c>
    </row>
    <row r="2003" spans="1:8" ht="15" hidden="1" customHeight="1" thickBot="1" x14ac:dyDescent="0.45">
      <c r="A2003" s="15">
        <v>2026</v>
      </c>
      <c r="B2003" s="15">
        <f t="shared" si="250"/>
        <v>21</v>
      </c>
      <c r="C2003" s="16" t="s">
        <v>24</v>
      </c>
      <c r="D2003" s="17" t="s">
        <v>12</v>
      </c>
      <c r="E2003" s="18" t="s">
        <v>17</v>
      </c>
      <c r="F2003" s="23"/>
      <c r="H2003" s="5" t="e">
        <f ca="1">_xlfn.FORMULATEXT(표1[[#This Row],[Q''ty]])</f>
        <v>#N/A</v>
      </c>
    </row>
    <row r="2004" spans="1:8" ht="15" hidden="1" customHeight="1" thickTop="1" x14ac:dyDescent="0.4">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4">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4">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4">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4">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4">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4">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4">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4">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4">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4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4">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4">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4">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4">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4">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4">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4">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4">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4">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4">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4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4">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4">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4">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4">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4">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4">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4">
      <c r="A2032" s="6">
        <v>2026</v>
      </c>
      <c r="B2032" s="6">
        <f t="shared" si="250"/>
        <v>21</v>
      </c>
      <c r="C2032" s="13" t="s">
        <v>25</v>
      </c>
      <c r="D2032" s="2" t="s">
        <v>12</v>
      </c>
      <c r="E2032" s="14" t="s">
        <v>13</v>
      </c>
      <c r="F2032" s="22"/>
      <c r="H2032" s="5" t="e">
        <f ca="1">_xlfn.FORMULATEXT(표1[[#This Row],[Q''ty]])</f>
        <v>#N/A</v>
      </c>
    </row>
    <row r="2033" spans="1:8" ht="15" hidden="1" customHeight="1" x14ac:dyDescent="0.4">
      <c r="A2033" s="6">
        <v>2026</v>
      </c>
      <c r="B2033" s="6">
        <f t="shared" si="250"/>
        <v>21</v>
      </c>
      <c r="C2033" s="13" t="s">
        <v>25</v>
      </c>
      <c r="D2033" s="2" t="s">
        <v>12</v>
      </c>
      <c r="E2033" s="14" t="s">
        <v>14</v>
      </c>
      <c r="F2033" s="22"/>
      <c r="H2033" s="5" t="e">
        <f ca="1">_xlfn.FORMULATEXT(표1[[#This Row],[Q''ty]])</f>
        <v>#N/A</v>
      </c>
    </row>
    <row r="2034" spans="1:8" ht="15" hidden="1" customHeight="1" x14ac:dyDescent="0.4">
      <c r="A2034" s="6">
        <v>2026</v>
      </c>
      <c r="B2034" s="6">
        <f t="shared" si="250"/>
        <v>21</v>
      </c>
      <c r="C2034" s="13" t="s">
        <v>25</v>
      </c>
      <c r="D2034" s="2" t="s">
        <v>12</v>
      </c>
      <c r="E2034" s="14" t="s">
        <v>15</v>
      </c>
      <c r="F2034" s="22"/>
      <c r="H2034" s="5" t="e">
        <f ca="1">_xlfn.FORMULATEXT(표1[[#This Row],[Q''ty]])</f>
        <v>#N/A</v>
      </c>
    </row>
    <row r="2035" spans="1:8" ht="15" hidden="1" customHeight="1" x14ac:dyDescent="0.4">
      <c r="A2035" s="6">
        <v>2026</v>
      </c>
      <c r="B2035" s="6">
        <f t="shared" si="250"/>
        <v>21</v>
      </c>
      <c r="C2035" s="13" t="s">
        <v>25</v>
      </c>
      <c r="D2035" s="2" t="s">
        <v>12</v>
      </c>
      <c r="E2035" s="14" t="s">
        <v>16</v>
      </c>
      <c r="F2035" s="22"/>
      <c r="H2035" s="5" t="e">
        <f ca="1">_xlfn.FORMULATEXT(표1[[#This Row],[Q''ty]])</f>
        <v>#N/A</v>
      </c>
    </row>
    <row r="2036" spans="1:8" ht="15" hidden="1" customHeight="1" thickBot="1" x14ac:dyDescent="0.45">
      <c r="A2036" s="15">
        <v>2026</v>
      </c>
      <c r="B2036" s="15">
        <f t="shared" si="250"/>
        <v>21</v>
      </c>
      <c r="C2036" s="16" t="s">
        <v>25</v>
      </c>
      <c r="D2036" s="17" t="s">
        <v>12</v>
      </c>
      <c r="E2036" s="18" t="s">
        <v>17</v>
      </c>
      <c r="F2036" s="23"/>
      <c r="H2036" s="5" t="e">
        <f ca="1">_xlfn.FORMULATEXT(표1[[#This Row],[Q''ty]])</f>
        <v>#N/A</v>
      </c>
    </row>
    <row r="2037" spans="1:8" ht="15" hidden="1" customHeight="1" thickTop="1" x14ac:dyDescent="0.4">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4">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4">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4">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4">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4">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4">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4">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4">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4">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4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4">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4">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4">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4">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4">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4">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4">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4">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4">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4">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4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4">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4">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4">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4">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4">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4">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4">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4">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4">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4">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4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4">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4">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4">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4">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4">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4">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4">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4">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4">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4">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45">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4">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4">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4">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4">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4">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4">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4">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4">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4">
      <c r="A2089" s="6">
        <v>2026</v>
      </c>
      <c r="B2089" s="6">
        <f t="shared" si="263"/>
        <v>22</v>
      </c>
      <c r="C2089" s="13" t="s">
        <v>23</v>
      </c>
      <c r="D2089" s="2" t="s">
        <v>12</v>
      </c>
      <c r="E2089" s="14" t="s">
        <v>15</v>
      </c>
      <c r="F2089" s="22"/>
      <c r="H2089" s="5" t="e">
        <f ca="1">_xlfn.FORMULATEXT(표1[[#This Row],[Q''ty]])</f>
        <v>#N/A</v>
      </c>
    </row>
    <row r="2090" spans="1:10" ht="15" hidden="1" customHeight="1" x14ac:dyDescent="0.4">
      <c r="A2090" s="6">
        <v>2026</v>
      </c>
      <c r="B2090" s="6">
        <f t="shared" si="263"/>
        <v>22</v>
      </c>
      <c r="C2090" s="13" t="s">
        <v>23</v>
      </c>
      <c r="D2090" s="2" t="s">
        <v>12</v>
      </c>
      <c r="E2090" s="14" t="s">
        <v>16</v>
      </c>
      <c r="F2090" s="22"/>
      <c r="H2090" s="5" t="e">
        <f ca="1">_xlfn.FORMULATEXT(표1[[#This Row],[Q''ty]])</f>
        <v>#N/A</v>
      </c>
    </row>
    <row r="2091" spans="1:10" ht="15" hidden="1" customHeight="1" thickBot="1" x14ac:dyDescent="0.45">
      <c r="A2091" s="15">
        <v>2026</v>
      </c>
      <c r="B2091" s="15">
        <f t="shared" si="263"/>
        <v>22</v>
      </c>
      <c r="C2091" s="16" t="s">
        <v>23</v>
      </c>
      <c r="D2091" s="17" t="s">
        <v>12</v>
      </c>
      <c r="E2091" s="18" t="s">
        <v>17</v>
      </c>
      <c r="F2091" s="23"/>
      <c r="H2091" s="5" t="e">
        <f ca="1">_xlfn.FORMULATEXT(표1[[#This Row],[Q''ty]])</f>
        <v>#N/A</v>
      </c>
    </row>
    <row r="2092" spans="1:10" ht="15" hidden="1" customHeight="1" thickTop="1" x14ac:dyDescent="0.4">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4">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4">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4">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4">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4">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4">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4">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4">
      <c r="A2100" s="6">
        <v>2026</v>
      </c>
      <c r="B2100" s="6">
        <f t="shared" si="263"/>
        <v>22</v>
      </c>
      <c r="C2100" s="13" t="s">
        <v>24</v>
      </c>
      <c r="D2100" s="2" t="s">
        <v>12</v>
      </c>
      <c r="E2100" s="14" t="s">
        <v>15</v>
      </c>
      <c r="F2100" s="22"/>
      <c r="H2100" s="5" t="e">
        <f ca="1">_xlfn.FORMULATEXT(표1[[#This Row],[Q''ty]])</f>
        <v>#N/A</v>
      </c>
    </row>
    <row r="2101" spans="1:10" ht="15" hidden="1" customHeight="1" x14ac:dyDescent="0.4">
      <c r="A2101" s="6">
        <v>2026</v>
      </c>
      <c r="B2101" s="6">
        <f t="shared" si="263"/>
        <v>22</v>
      </c>
      <c r="C2101" s="13" t="s">
        <v>24</v>
      </c>
      <c r="D2101" s="2" t="s">
        <v>12</v>
      </c>
      <c r="E2101" s="14" t="s">
        <v>16</v>
      </c>
      <c r="F2101" s="22"/>
      <c r="H2101" s="5" t="e">
        <f ca="1">_xlfn.FORMULATEXT(표1[[#This Row],[Q''ty]])</f>
        <v>#N/A</v>
      </c>
    </row>
    <row r="2102" spans="1:10" ht="15" hidden="1" customHeight="1" thickBot="1" x14ac:dyDescent="0.45">
      <c r="A2102" s="15">
        <v>2026</v>
      </c>
      <c r="B2102" s="15">
        <f t="shared" si="263"/>
        <v>22</v>
      </c>
      <c r="C2102" s="16" t="s">
        <v>24</v>
      </c>
      <c r="D2102" s="17" t="s">
        <v>12</v>
      </c>
      <c r="E2102" s="18" t="s">
        <v>17</v>
      </c>
      <c r="F2102" s="23"/>
      <c r="H2102" s="5" t="e">
        <f ca="1">_xlfn.FORMULATEXT(표1[[#This Row],[Q''ty]])</f>
        <v>#N/A</v>
      </c>
    </row>
    <row r="2103" spans="1:10" ht="15" hidden="1" customHeight="1" thickTop="1" x14ac:dyDescent="0.4">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4">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4">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4">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4">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4">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4">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4">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4">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4">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4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4">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4">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4">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4">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4">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4">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4">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4">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4">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4">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4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4">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4">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4">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4">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4">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4">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4">
      <c r="A2131" s="6">
        <v>2026</v>
      </c>
      <c r="B2131" s="6">
        <f t="shared" si="263"/>
        <v>22</v>
      </c>
      <c r="C2131" s="13" t="s">
        <v>25</v>
      </c>
      <c r="D2131" s="2" t="s">
        <v>12</v>
      </c>
      <c r="E2131" s="14" t="s">
        <v>13</v>
      </c>
      <c r="F2131" s="22"/>
      <c r="H2131" s="5" t="e">
        <f ca="1">_xlfn.FORMULATEXT(표1[[#This Row],[Q''ty]])</f>
        <v>#N/A</v>
      </c>
    </row>
    <row r="2132" spans="1:8" ht="15" hidden="1" customHeight="1" x14ac:dyDescent="0.4">
      <c r="A2132" s="6">
        <v>2026</v>
      </c>
      <c r="B2132" s="6">
        <f t="shared" si="263"/>
        <v>22</v>
      </c>
      <c r="C2132" s="13" t="s">
        <v>25</v>
      </c>
      <c r="D2132" s="2" t="s">
        <v>12</v>
      </c>
      <c r="E2132" s="14" t="s">
        <v>14</v>
      </c>
      <c r="F2132" s="22"/>
      <c r="H2132" s="5" t="e">
        <f ca="1">_xlfn.FORMULATEXT(표1[[#This Row],[Q''ty]])</f>
        <v>#N/A</v>
      </c>
    </row>
    <row r="2133" spans="1:8" ht="15" hidden="1" customHeight="1" x14ac:dyDescent="0.4">
      <c r="A2133" s="6">
        <v>2026</v>
      </c>
      <c r="B2133" s="6">
        <f t="shared" si="263"/>
        <v>22</v>
      </c>
      <c r="C2133" s="13" t="s">
        <v>25</v>
      </c>
      <c r="D2133" s="2" t="s">
        <v>12</v>
      </c>
      <c r="E2133" s="14" t="s">
        <v>15</v>
      </c>
      <c r="F2133" s="22"/>
      <c r="H2133" s="5" t="e">
        <f ca="1">_xlfn.FORMULATEXT(표1[[#This Row],[Q''ty]])</f>
        <v>#N/A</v>
      </c>
    </row>
    <row r="2134" spans="1:8" ht="15" hidden="1" customHeight="1" x14ac:dyDescent="0.4">
      <c r="A2134" s="6">
        <v>2026</v>
      </c>
      <c r="B2134" s="6">
        <f t="shared" si="263"/>
        <v>22</v>
      </c>
      <c r="C2134" s="13" t="s">
        <v>25</v>
      </c>
      <c r="D2134" s="2" t="s">
        <v>12</v>
      </c>
      <c r="E2134" s="14" t="s">
        <v>16</v>
      </c>
      <c r="F2134" s="22"/>
      <c r="H2134" s="5" t="e">
        <f ca="1">_xlfn.FORMULATEXT(표1[[#This Row],[Q''ty]])</f>
        <v>#N/A</v>
      </c>
    </row>
    <row r="2135" spans="1:8" ht="15" hidden="1" customHeight="1" thickBot="1" x14ac:dyDescent="0.45">
      <c r="A2135" s="15">
        <v>2026</v>
      </c>
      <c r="B2135" s="15">
        <f t="shared" si="263"/>
        <v>22</v>
      </c>
      <c r="C2135" s="16" t="s">
        <v>25</v>
      </c>
      <c r="D2135" s="17" t="s">
        <v>12</v>
      </c>
      <c r="E2135" s="18" t="s">
        <v>17</v>
      </c>
      <c r="F2135" s="23"/>
      <c r="H2135" s="5" t="e">
        <f ca="1">_xlfn.FORMULATEXT(표1[[#This Row],[Q''ty]])</f>
        <v>#N/A</v>
      </c>
    </row>
    <row r="2136" spans="1:8" ht="15" hidden="1" customHeight="1" thickTop="1" x14ac:dyDescent="0.4">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4">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4">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4">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4">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4">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4">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4">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4">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4">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4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4">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4">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4">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4">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4">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4">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4">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4">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4">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4">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4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4">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4">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4">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4">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4">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4">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4">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4">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4">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4">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4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4">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4">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4">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4">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4">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4">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4">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4">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4">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4">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45">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4">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4">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4">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4">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4">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4">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4">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4">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4">
      <c r="A2188" s="6">
        <v>2026</v>
      </c>
      <c r="B2188" s="6">
        <f t="shared" si="276"/>
        <v>23</v>
      </c>
      <c r="C2188" s="13" t="s">
        <v>23</v>
      </c>
      <c r="D2188" s="2" t="s">
        <v>12</v>
      </c>
      <c r="E2188" s="14" t="s">
        <v>15</v>
      </c>
      <c r="F2188" s="22"/>
      <c r="H2188" s="5" t="e">
        <f ca="1">_xlfn.FORMULATEXT(표1[[#This Row],[Q''ty]])</f>
        <v>#N/A</v>
      </c>
    </row>
    <row r="2189" spans="1:10" ht="15" hidden="1" customHeight="1" x14ac:dyDescent="0.4">
      <c r="A2189" s="6">
        <v>2026</v>
      </c>
      <c r="B2189" s="6">
        <f t="shared" si="276"/>
        <v>23</v>
      </c>
      <c r="C2189" s="13" t="s">
        <v>23</v>
      </c>
      <c r="D2189" s="2" t="s">
        <v>12</v>
      </c>
      <c r="E2189" s="14" t="s">
        <v>16</v>
      </c>
      <c r="F2189" s="22"/>
      <c r="H2189" s="5" t="e">
        <f ca="1">_xlfn.FORMULATEXT(표1[[#This Row],[Q''ty]])</f>
        <v>#N/A</v>
      </c>
    </row>
    <row r="2190" spans="1:10" ht="15" hidden="1" customHeight="1" thickBot="1" x14ac:dyDescent="0.45">
      <c r="A2190" s="15">
        <v>2026</v>
      </c>
      <c r="B2190" s="15">
        <f t="shared" si="276"/>
        <v>23</v>
      </c>
      <c r="C2190" s="16" t="s">
        <v>23</v>
      </c>
      <c r="D2190" s="17" t="s">
        <v>12</v>
      </c>
      <c r="E2190" s="18" t="s">
        <v>17</v>
      </c>
      <c r="F2190" s="23"/>
      <c r="H2190" s="5" t="e">
        <f ca="1">_xlfn.FORMULATEXT(표1[[#This Row],[Q''ty]])</f>
        <v>#N/A</v>
      </c>
    </row>
    <row r="2191" spans="1:10" ht="15" hidden="1" customHeight="1" thickTop="1" x14ac:dyDescent="0.4">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4">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4">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4">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4">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4">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4">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4">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4">
      <c r="A2199" s="6">
        <v>2026</v>
      </c>
      <c r="B2199" s="6">
        <f t="shared" si="276"/>
        <v>23</v>
      </c>
      <c r="C2199" s="13" t="s">
        <v>24</v>
      </c>
      <c r="D2199" s="2" t="s">
        <v>12</v>
      </c>
      <c r="E2199" s="14" t="s">
        <v>15</v>
      </c>
      <c r="F2199" s="22"/>
      <c r="H2199" s="5" t="e">
        <f ca="1">_xlfn.FORMULATEXT(표1[[#This Row],[Q''ty]])</f>
        <v>#N/A</v>
      </c>
    </row>
    <row r="2200" spans="1:10" ht="15" hidden="1" customHeight="1" x14ac:dyDescent="0.4">
      <c r="A2200" s="6">
        <v>2026</v>
      </c>
      <c r="B2200" s="6">
        <f t="shared" si="276"/>
        <v>23</v>
      </c>
      <c r="C2200" s="13" t="s">
        <v>24</v>
      </c>
      <c r="D2200" s="2" t="s">
        <v>12</v>
      </c>
      <c r="E2200" s="14" t="s">
        <v>16</v>
      </c>
      <c r="F2200" s="22"/>
      <c r="H2200" s="5" t="e">
        <f ca="1">_xlfn.FORMULATEXT(표1[[#This Row],[Q''ty]])</f>
        <v>#N/A</v>
      </c>
    </row>
    <row r="2201" spans="1:10" ht="15" hidden="1" customHeight="1" thickBot="1" x14ac:dyDescent="0.45">
      <c r="A2201" s="15">
        <v>2026</v>
      </c>
      <c r="B2201" s="15">
        <f t="shared" si="276"/>
        <v>23</v>
      </c>
      <c r="C2201" s="16" t="s">
        <v>24</v>
      </c>
      <c r="D2201" s="17" t="s">
        <v>12</v>
      </c>
      <c r="E2201" s="18" t="s">
        <v>17</v>
      </c>
      <c r="F2201" s="23"/>
      <c r="H2201" s="5" t="e">
        <f ca="1">_xlfn.FORMULATEXT(표1[[#This Row],[Q''ty]])</f>
        <v>#N/A</v>
      </c>
    </row>
    <row r="2202" spans="1:10" ht="15" hidden="1" customHeight="1" thickTop="1" x14ac:dyDescent="0.4">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4">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4">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4">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4">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4">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4">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4">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4">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4">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4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4">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4">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4">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4">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4">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4">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4">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4">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4">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4">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4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4">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4">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4">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4">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4">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4">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4">
      <c r="A2230" s="6">
        <v>2026</v>
      </c>
      <c r="B2230" s="6">
        <f t="shared" si="276"/>
        <v>23</v>
      </c>
      <c r="C2230" s="13" t="s">
        <v>25</v>
      </c>
      <c r="D2230" s="2" t="s">
        <v>12</v>
      </c>
      <c r="E2230" s="14" t="s">
        <v>13</v>
      </c>
      <c r="F2230" s="22"/>
      <c r="H2230" s="5" t="e">
        <f ca="1">_xlfn.FORMULATEXT(표1[[#This Row],[Q''ty]])</f>
        <v>#N/A</v>
      </c>
    </row>
    <row r="2231" spans="1:8" ht="15" hidden="1" customHeight="1" x14ac:dyDescent="0.4">
      <c r="A2231" s="6">
        <v>2026</v>
      </c>
      <c r="B2231" s="6">
        <f t="shared" si="276"/>
        <v>23</v>
      </c>
      <c r="C2231" s="13" t="s">
        <v>25</v>
      </c>
      <c r="D2231" s="2" t="s">
        <v>12</v>
      </c>
      <c r="E2231" s="14" t="s">
        <v>14</v>
      </c>
      <c r="F2231" s="22"/>
      <c r="H2231" s="5" t="e">
        <f ca="1">_xlfn.FORMULATEXT(표1[[#This Row],[Q''ty]])</f>
        <v>#N/A</v>
      </c>
    </row>
    <row r="2232" spans="1:8" ht="15" hidden="1" customHeight="1" x14ac:dyDescent="0.4">
      <c r="A2232" s="6">
        <v>2026</v>
      </c>
      <c r="B2232" s="6">
        <f t="shared" si="276"/>
        <v>23</v>
      </c>
      <c r="C2232" s="13" t="s">
        <v>25</v>
      </c>
      <c r="D2232" s="2" t="s">
        <v>12</v>
      </c>
      <c r="E2232" s="14" t="s">
        <v>15</v>
      </c>
      <c r="F2232" s="22"/>
      <c r="H2232" s="5" t="e">
        <f ca="1">_xlfn.FORMULATEXT(표1[[#This Row],[Q''ty]])</f>
        <v>#N/A</v>
      </c>
    </row>
    <row r="2233" spans="1:8" ht="15" hidden="1" customHeight="1" x14ac:dyDescent="0.4">
      <c r="A2233" s="6">
        <v>2026</v>
      </c>
      <c r="B2233" s="6">
        <f t="shared" si="276"/>
        <v>23</v>
      </c>
      <c r="C2233" s="13" t="s">
        <v>25</v>
      </c>
      <c r="D2233" s="2" t="s">
        <v>12</v>
      </c>
      <c r="E2233" s="14" t="s">
        <v>16</v>
      </c>
      <c r="F2233" s="22"/>
      <c r="H2233" s="5" t="e">
        <f ca="1">_xlfn.FORMULATEXT(표1[[#This Row],[Q''ty]])</f>
        <v>#N/A</v>
      </c>
    </row>
    <row r="2234" spans="1:8" ht="15" hidden="1" customHeight="1" thickBot="1" x14ac:dyDescent="0.45">
      <c r="A2234" s="15">
        <v>2026</v>
      </c>
      <c r="B2234" s="15">
        <f t="shared" si="276"/>
        <v>23</v>
      </c>
      <c r="C2234" s="16" t="s">
        <v>25</v>
      </c>
      <c r="D2234" s="17" t="s">
        <v>12</v>
      </c>
      <c r="E2234" s="18" t="s">
        <v>17</v>
      </c>
      <c r="F2234" s="23"/>
      <c r="H2234" s="5" t="e">
        <f ca="1">_xlfn.FORMULATEXT(표1[[#This Row],[Q''ty]])</f>
        <v>#N/A</v>
      </c>
    </row>
    <row r="2235" spans="1:8" ht="15" hidden="1" customHeight="1" thickTop="1" x14ac:dyDescent="0.4">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4">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4">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4">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4">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4">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4">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4">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4">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4">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4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4">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4">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4">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4">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4">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4">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4">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4">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4">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4">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4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4">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4">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4">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4">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4">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4">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4">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4">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4">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4">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4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4">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4">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4">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4">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4">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4">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4">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4">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4">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4">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45">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4">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4">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4">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4">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4">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4">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4">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4">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4">
      <c r="A2287" s="6">
        <v>2026</v>
      </c>
      <c r="B2287" s="6">
        <f t="shared" si="289"/>
        <v>24</v>
      </c>
      <c r="C2287" s="13" t="s">
        <v>23</v>
      </c>
      <c r="D2287" s="2" t="s">
        <v>12</v>
      </c>
      <c r="E2287" s="14" t="s">
        <v>15</v>
      </c>
      <c r="F2287" s="22"/>
      <c r="H2287" s="5" t="e">
        <f ca="1">_xlfn.FORMULATEXT(표1[[#This Row],[Q''ty]])</f>
        <v>#N/A</v>
      </c>
    </row>
    <row r="2288" spans="1:10" ht="15" hidden="1" customHeight="1" x14ac:dyDescent="0.4">
      <c r="A2288" s="6">
        <v>2026</v>
      </c>
      <c r="B2288" s="6">
        <f t="shared" si="289"/>
        <v>24</v>
      </c>
      <c r="C2288" s="13" t="s">
        <v>23</v>
      </c>
      <c r="D2288" s="2" t="s">
        <v>12</v>
      </c>
      <c r="E2288" s="14" t="s">
        <v>16</v>
      </c>
      <c r="F2288" s="22"/>
      <c r="H2288" s="5" t="e">
        <f ca="1">_xlfn.FORMULATEXT(표1[[#This Row],[Q''ty]])</f>
        <v>#N/A</v>
      </c>
    </row>
    <row r="2289" spans="1:10" ht="15" hidden="1" customHeight="1" thickBot="1" x14ac:dyDescent="0.45">
      <c r="A2289" s="15">
        <v>2026</v>
      </c>
      <c r="B2289" s="15">
        <f t="shared" si="289"/>
        <v>24</v>
      </c>
      <c r="C2289" s="16" t="s">
        <v>23</v>
      </c>
      <c r="D2289" s="17" t="s">
        <v>12</v>
      </c>
      <c r="E2289" s="18" t="s">
        <v>17</v>
      </c>
      <c r="F2289" s="23"/>
      <c r="H2289" s="5" t="e">
        <f ca="1">_xlfn.FORMULATEXT(표1[[#This Row],[Q''ty]])</f>
        <v>#N/A</v>
      </c>
    </row>
    <row r="2290" spans="1:10" ht="15" hidden="1" customHeight="1" thickTop="1" x14ac:dyDescent="0.4">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4">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4">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4">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4">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4">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4">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4">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4">
      <c r="A2298" s="6">
        <v>2026</v>
      </c>
      <c r="B2298" s="6">
        <f t="shared" si="289"/>
        <v>24</v>
      </c>
      <c r="C2298" s="13" t="s">
        <v>24</v>
      </c>
      <c r="D2298" s="2" t="s">
        <v>12</v>
      </c>
      <c r="E2298" s="14" t="s">
        <v>15</v>
      </c>
      <c r="F2298" s="22"/>
      <c r="H2298" s="5" t="e">
        <f ca="1">_xlfn.FORMULATEXT(표1[[#This Row],[Q''ty]])</f>
        <v>#N/A</v>
      </c>
    </row>
    <row r="2299" spans="1:10" ht="15" hidden="1" customHeight="1" x14ac:dyDescent="0.4">
      <c r="A2299" s="6">
        <v>2026</v>
      </c>
      <c r="B2299" s="6">
        <f t="shared" si="289"/>
        <v>24</v>
      </c>
      <c r="C2299" s="13" t="s">
        <v>24</v>
      </c>
      <c r="D2299" s="2" t="s">
        <v>12</v>
      </c>
      <c r="E2299" s="14" t="s">
        <v>16</v>
      </c>
      <c r="F2299" s="22"/>
      <c r="H2299" s="5" t="e">
        <f ca="1">_xlfn.FORMULATEXT(표1[[#This Row],[Q''ty]])</f>
        <v>#N/A</v>
      </c>
    </row>
    <row r="2300" spans="1:10" ht="15" hidden="1" customHeight="1" thickBot="1" x14ac:dyDescent="0.45">
      <c r="A2300" s="15">
        <v>2026</v>
      </c>
      <c r="B2300" s="15">
        <f t="shared" si="289"/>
        <v>24</v>
      </c>
      <c r="C2300" s="16" t="s">
        <v>24</v>
      </c>
      <c r="D2300" s="17" t="s">
        <v>12</v>
      </c>
      <c r="E2300" s="18" t="s">
        <v>17</v>
      </c>
      <c r="F2300" s="23"/>
      <c r="H2300" s="5" t="e">
        <f ca="1">_xlfn.FORMULATEXT(표1[[#This Row],[Q''ty]])</f>
        <v>#N/A</v>
      </c>
    </row>
    <row r="2301" spans="1:10" ht="15" hidden="1" customHeight="1" thickTop="1" x14ac:dyDescent="0.4">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4">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4">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4">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4">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4">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4">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4">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4">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4">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4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4">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4">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4">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4">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4">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4">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4">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4">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4">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4">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4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4">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4">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4">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4">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4">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4">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4">
      <c r="A2329" s="6">
        <v>2026</v>
      </c>
      <c r="B2329" s="6">
        <f t="shared" si="289"/>
        <v>24</v>
      </c>
      <c r="C2329" s="13" t="s">
        <v>25</v>
      </c>
      <c r="D2329" s="2" t="s">
        <v>12</v>
      </c>
      <c r="E2329" s="14" t="s">
        <v>13</v>
      </c>
      <c r="F2329" s="22"/>
      <c r="H2329" s="5" t="e">
        <f ca="1">_xlfn.FORMULATEXT(표1[[#This Row],[Q''ty]])</f>
        <v>#N/A</v>
      </c>
    </row>
    <row r="2330" spans="1:8" ht="15" hidden="1" customHeight="1" x14ac:dyDescent="0.4">
      <c r="A2330" s="6">
        <v>2026</v>
      </c>
      <c r="B2330" s="6">
        <f t="shared" si="289"/>
        <v>24</v>
      </c>
      <c r="C2330" s="13" t="s">
        <v>25</v>
      </c>
      <c r="D2330" s="2" t="s">
        <v>12</v>
      </c>
      <c r="E2330" s="14" t="s">
        <v>14</v>
      </c>
      <c r="F2330" s="22"/>
      <c r="H2330" s="5" t="e">
        <f ca="1">_xlfn.FORMULATEXT(표1[[#This Row],[Q''ty]])</f>
        <v>#N/A</v>
      </c>
    </row>
    <row r="2331" spans="1:8" ht="15" hidden="1" customHeight="1" x14ac:dyDescent="0.4">
      <c r="A2331" s="6">
        <v>2026</v>
      </c>
      <c r="B2331" s="6">
        <f t="shared" si="289"/>
        <v>24</v>
      </c>
      <c r="C2331" s="13" t="s">
        <v>25</v>
      </c>
      <c r="D2331" s="2" t="s">
        <v>12</v>
      </c>
      <c r="E2331" s="14" t="s">
        <v>15</v>
      </c>
      <c r="F2331" s="22"/>
      <c r="H2331" s="5" t="e">
        <f ca="1">_xlfn.FORMULATEXT(표1[[#This Row],[Q''ty]])</f>
        <v>#N/A</v>
      </c>
    </row>
    <row r="2332" spans="1:8" ht="15" hidden="1" customHeight="1" x14ac:dyDescent="0.4">
      <c r="A2332" s="6">
        <v>2026</v>
      </c>
      <c r="B2332" s="6">
        <f t="shared" si="289"/>
        <v>24</v>
      </c>
      <c r="C2332" s="13" t="s">
        <v>25</v>
      </c>
      <c r="D2332" s="2" t="s">
        <v>12</v>
      </c>
      <c r="E2332" s="14" t="s">
        <v>16</v>
      </c>
      <c r="F2332" s="22"/>
      <c r="H2332" s="5" t="e">
        <f ca="1">_xlfn.FORMULATEXT(표1[[#This Row],[Q''ty]])</f>
        <v>#N/A</v>
      </c>
    </row>
    <row r="2333" spans="1:8" ht="15" hidden="1" customHeight="1" thickBot="1" x14ac:dyDescent="0.45">
      <c r="A2333" s="15">
        <v>2026</v>
      </c>
      <c r="B2333" s="15">
        <f t="shared" si="289"/>
        <v>24</v>
      </c>
      <c r="C2333" s="16" t="s">
        <v>25</v>
      </c>
      <c r="D2333" s="17" t="s">
        <v>12</v>
      </c>
      <c r="E2333" s="18" t="s">
        <v>17</v>
      </c>
      <c r="F2333" s="23"/>
      <c r="H2333" s="5" t="e">
        <f ca="1">_xlfn.FORMULATEXT(표1[[#This Row],[Q''ty]])</f>
        <v>#N/A</v>
      </c>
    </row>
    <row r="2334" spans="1:8" ht="15" hidden="1" customHeight="1" thickTop="1" x14ac:dyDescent="0.4">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4">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4">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4">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4">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4">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4">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4">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4">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4">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4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4">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4">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4">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4">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4">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4">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4">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4">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4">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4">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4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4">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4">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4">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4">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4">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4">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4">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4">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4">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4">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4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4">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4">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4">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4">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4">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4">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4">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4">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4">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4">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45">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4">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4">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4">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4">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4">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4">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4">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4">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4">
      <c r="A2386" s="6">
        <v>2026</v>
      </c>
      <c r="B2386" s="6">
        <f t="shared" si="302"/>
        <v>25</v>
      </c>
      <c r="C2386" s="13" t="s">
        <v>23</v>
      </c>
      <c r="D2386" s="2" t="s">
        <v>12</v>
      </c>
      <c r="E2386" s="14" t="s">
        <v>15</v>
      </c>
      <c r="F2386" s="22"/>
      <c r="H2386" s="5" t="e">
        <f ca="1">_xlfn.FORMULATEXT(표1[[#This Row],[Q''ty]])</f>
        <v>#N/A</v>
      </c>
    </row>
    <row r="2387" spans="1:10" ht="15" hidden="1" customHeight="1" x14ac:dyDescent="0.4">
      <c r="A2387" s="6">
        <v>2026</v>
      </c>
      <c r="B2387" s="6">
        <f t="shared" si="302"/>
        <v>25</v>
      </c>
      <c r="C2387" s="13" t="s">
        <v>23</v>
      </c>
      <c r="D2387" s="2" t="s">
        <v>12</v>
      </c>
      <c r="E2387" s="14" t="s">
        <v>16</v>
      </c>
      <c r="F2387" s="22"/>
      <c r="H2387" s="5" t="e">
        <f ca="1">_xlfn.FORMULATEXT(표1[[#This Row],[Q''ty]])</f>
        <v>#N/A</v>
      </c>
    </row>
    <row r="2388" spans="1:10" ht="15" hidden="1" customHeight="1" thickBot="1" x14ac:dyDescent="0.45">
      <c r="A2388" s="15">
        <v>2026</v>
      </c>
      <c r="B2388" s="15">
        <f t="shared" si="302"/>
        <v>25</v>
      </c>
      <c r="C2388" s="16" t="s">
        <v>23</v>
      </c>
      <c r="D2388" s="17" t="s">
        <v>12</v>
      </c>
      <c r="E2388" s="18" t="s">
        <v>17</v>
      </c>
      <c r="F2388" s="23"/>
      <c r="H2388" s="5" t="e">
        <f ca="1">_xlfn.FORMULATEXT(표1[[#This Row],[Q''ty]])</f>
        <v>#N/A</v>
      </c>
    </row>
    <row r="2389" spans="1:10" ht="15" hidden="1" customHeight="1" thickTop="1" x14ac:dyDescent="0.4">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4">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4">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4">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4">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4">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4">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4">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4">
      <c r="A2397" s="6">
        <v>2026</v>
      </c>
      <c r="B2397" s="6">
        <f t="shared" si="302"/>
        <v>25</v>
      </c>
      <c r="C2397" s="13" t="s">
        <v>24</v>
      </c>
      <c r="D2397" s="2" t="s">
        <v>12</v>
      </c>
      <c r="E2397" s="14" t="s">
        <v>15</v>
      </c>
      <c r="F2397" s="22"/>
      <c r="H2397" s="5" t="e">
        <f ca="1">_xlfn.FORMULATEXT(표1[[#This Row],[Q''ty]])</f>
        <v>#N/A</v>
      </c>
    </row>
    <row r="2398" spans="1:10" ht="15" hidden="1" customHeight="1" x14ac:dyDescent="0.4">
      <c r="A2398" s="6">
        <v>2026</v>
      </c>
      <c r="B2398" s="6">
        <f t="shared" si="302"/>
        <v>25</v>
      </c>
      <c r="C2398" s="13" t="s">
        <v>24</v>
      </c>
      <c r="D2398" s="2" t="s">
        <v>12</v>
      </c>
      <c r="E2398" s="14" t="s">
        <v>16</v>
      </c>
      <c r="F2398" s="22"/>
      <c r="H2398" s="5" t="e">
        <f ca="1">_xlfn.FORMULATEXT(표1[[#This Row],[Q''ty]])</f>
        <v>#N/A</v>
      </c>
    </row>
    <row r="2399" spans="1:10" ht="15" hidden="1" customHeight="1" thickBot="1" x14ac:dyDescent="0.45">
      <c r="A2399" s="15">
        <v>2026</v>
      </c>
      <c r="B2399" s="15">
        <f t="shared" si="302"/>
        <v>25</v>
      </c>
      <c r="C2399" s="16" t="s">
        <v>24</v>
      </c>
      <c r="D2399" s="17" t="s">
        <v>12</v>
      </c>
      <c r="E2399" s="18" t="s">
        <v>17</v>
      </c>
      <c r="F2399" s="23"/>
      <c r="H2399" s="5" t="e">
        <f ca="1">_xlfn.FORMULATEXT(표1[[#This Row],[Q''ty]])</f>
        <v>#N/A</v>
      </c>
    </row>
    <row r="2400" spans="1:10" ht="15" hidden="1" customHeight="1" thickTop="1" x14ac:dyDescent="0.4">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4">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4">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4">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4">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4">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4">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4">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4">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4">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4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4">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4">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4">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4">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4">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4">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4">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4">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4">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4">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4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4">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4">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4">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4">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4">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4">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4">
      <c r="A2428" s="6">
        <v>2026</v>
      </c>
      <c r="B2428" s="6">
        <f t="shared" si="302"/>
        <v>25</v>
      </c>
      <c r="C2428" s="13" t="s">
        <v>25</v>
      </c>
      <c r="D2428" s="2" t="s">
        <v>12</v>
      </c>
      <c r="E2428" s="14" t="s">
        <v>13</v>
      </c>
      <c r="F2428" s="22"/>
      <c r="H2428" s="5" t="e">
        <f ca="1">_xlfn.FORMULATEXT(표1[[#This Row],[Q''ty]])</f>
        <v>#N/A</v>
      </c>
    </row>
    <row r="2429" spans="1:8" ht="15" hidden="1" customHeight="1" x14ac:dyDescent="0.4">
      <c r="A2429" s="6">
        <v>2026</v>
      </c>
      <c r="B2429" s="6">
        <f t="shared" si="302"/>
        <v>25</v>
      </c>
      <c r="C2429" s="13" t="s">
        <v>25</v>
      </c>
      <c r="D2429" s="2" t="s">
        <v>12</v>
      </c>
      <c r="E2429" s="14" t="s">
        <v>14</v>
      </c>
      <c r="F2429" s="22"/>
      <c r="H2429" s="5" t="e">
        <f ca="1">_xlfn.FORMULATEXT(표1[[#This Row],[Q''ty]])</f>
        <v>#N/A</v>
      </c>
    </row>
    <row r="2430" spans="1:8" ht="15" hidden="1" customHeight="1" x14ac:dyDescent="0.4">
      <c r="A2430" s="6">
        <v>2026</v>
      </c>
      <c r="B2430" s="6">
        <f t="shared" si="302"/>
        <v>25</v>
      </c>
      <c r="C2430" s="13" t="s">
        <v>25</v>
      </c>
      <c r="D2430" s="2" t="s">
        <v>12</v>
      </c>
      <c r="E2430" s="14" t="s">
        <v>15</v>
      </c>
      <c r="F2430" s="22"/>
      <c r="H2430" s="5" t="e">
        <f ca="1">_xlfn.FORMULATEXT(표1[[#This Row],[Q''ty]])</f>
        <v>#N/A</v>
      </c>
    </row>
    <row r="2431" spans="1:8" ht="15" hidden="1" customHeight="1" x14ac:dyDescent="0.4">
      <c r="A2431" s="6">
        <v>2026</v>
      </c>
      <c r="B2431" s="6">
        <f t="shared" si="302"/>
        <v>25</v>
      </c>
      <c r="C2431" s="13" t="s">
        <v>25</v>
      </c>
      <c r="D2431" s="2" t="s">
        <v>12</v>
      </c>
      <c r="E2431" s="14" t="s">
        <v>16</v>
      </c>
      <c r="F2431" s="22"/>
      <c r="H2431" s="5" t="e">
        <f ca="1">_xlfn.FORMULATEXT(표1[[#This Row],[Q''ty]])</f>
        <v>#N/A</v>
      </c>
    </row>
    <row r="2432" spans="1:8" ht="15" hidden="1" customHeight="1" thickBot="1" x14ac:dyDescent="0.45">
      <c r="A2432" s="15">
        <v>2026</v>
      </c>
      <c r="B2432" s="15">
        <f t="shared" si="302"/>
        <v>25</v>
      </c>
      <c r="C2432" s="16" t="s">
        <v>25</v>
      </c>
      <c r="D2432" s="17" t="s">
        <v>12</v>
      </c>
      <c r="E2432" s="18" t="s">
        <v>17</v>
      </c>
      <c r="F2432" s="23"/>
      <c r="H2432" s="5" t="e">
        <f ca="1">_xlfn.FORMULATEXT(표1[[#This Row],[Q''ty]])</f>
        <v>#N/A</v>
      </c>
    </row>
    <row r="2433" spans="1:8" ht="15" hidden="1" customHeight="1" thickTop="1" x14ac:dyDescent="0.4">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4">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4">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4">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4">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4">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4">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4">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4">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4">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4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4">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4">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4">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4">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4">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4">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4">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4">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4">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4">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4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4">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4">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4">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4">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4">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4">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4">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4">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4">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4">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4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4">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4">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4">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4">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4">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4">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4">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4">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4">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4">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45">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4">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4">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4">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4">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4">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4">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4">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4">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4">
      <c r="A2485" s="6">
        <v>2026</v>
      </c>
      <c r="B2485" s="6">
        <f t="shared" si="315"/>
        <v>26</v>
      </c>
      <c r="C2485" s="13" t="s">
        <v>23</v>
      </c>
      <c r="D2485" s="2" t="s">
        <v>12</v>
      </c>
      <c r="E2485" s="14" t="s">
        <v>15</v>
      </c>
      <c r="F2485" s="22"/>
      <c r="H2485" s="5" t="e">
        <f ca="1">_xlfn.FORMULATEXT(표1[[#This Row],[Q''ty]])</f>
        <v>#N/A</v>
      </c>
    </row>
    <row r="2486" spans="1:10" ht="15" hidden="1" customHeight="1" x14ac:dyDescent="0.4">
      <c r="A2486" s="6">
        <v>2026</v>
      </c>
      <c r="B2486" s="6">
        <f t="shared" si="315"/>
        <v>26</v>
      </c>
      <c r="C2486" s="13" t="s">
        <v>23</v>
      </c>
      <c r="D2486" s="2" t="s">
        <v>12</v>
      </c>
      <c r="E2486" s="14" t="s">
        <v>16</v>
      </c>
      <c r="F2486" s="22"/>
      <c r="H2486" s="5" t="e">
        <f ca="1">_xlfn.FORMULATEXT(표1[[#This Row],[Q''ty]])</f>
        <v>#N/A</v>
      </c>
    </row>
    <row r="2487" spans="1:10" ht="15" hidden="1" customHeight="1" thickBot="1" x14ac:dyDescent="0.45">
      <c r="A2487" s="15">
        <v>2026</v>
      </c>
      <c r="B2487" s="15">
        <f t="shared" si="315"/>
        <v>26</v>
      </c>
      <c r="C2487" s="16" t="s">
        <v>23</v>
      </c>
      <c r="D2487" s="17" t="s">
        <v>12</v>
      </c>
      <c r="E2487" s="18" t="s">
        <v>17</v>
      </c>
      <c r="F2487" s="23"/>
      <c r="H2487" s="5" t="e">
        <f ca="1">_xlfn.FORMULATEXT(표1[[#This Row],[Q''ty]])</f>
        <v>#N/A</v>
      </c>
    </row>
    <row r="2488" spans="1:10" ht="15" hidden="1" customHeight="1" thickTop="1" x14ac:dyDescent="0.4">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4">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4">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4">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4">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4">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4">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4">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4">
      <c r="A2496" s="6">
        <v>2026</v>
      </c>
      <c r="B2496" s="6">
        <f t="shared" si="315"/>
        <v>26</v>
      </c>
      <c r="C2496" s="13" t="s">
        <v>24</v>
      </c>
      <c r="D2496" s="2" t="s">
        <v>12</v>
      </c>
      <c r="E2496" s="14" t="s">
        <v>15</v>
      </c>
      <c r="F2496" s="22"/>
      <c r="H2496" s="5" t="e">
        <f ca="1">_xlfn.FORMULATEXT(표1[[#This Row],[Q''ty]])</f>
        <v>#N/A</v>
      </c>
    </row>
    <row r="2497" spans="1:8" ht="15" hidden="1" customHeight="1" x14ac:dyDescent="0.4">
      <c r="A2497" s="6">
        <v>2026</v>
      </c>
      <c r="B2497" s="6">
        <f t="shared" si="315"/>
        <v>26</v>
      </c>
      <c r="C2497" s="13" t="s">
        <v>24</v>
      </c>
      <c r="D2497" s="2" t="s">
        <v>12</v>
      </c>
      <c r="E2497" s="14" t="s">
        <v>16</v>
      </c>
      <c r="F2497" s="22"/>
      <c r="H2497" s="5" t="e">
        <f ca="1">_xlfn.FORMULATEXT(표1[[#This Row],[Q''ty]])</f>
        <v>#N/A</v>
      </c>
    </row>
    <row r="2498" spans="1:8" ht="15" hidden="1" customHeight="1" thickBot="1" x14ac:dyDescent="0.45">
      <c r="A2498" s="15">
        <v>2026</v>
      </c>
      <c r="B2498" s="15">
        <f t="shared" si="315"/>
        <v>26</v>
      </c>
      <c r="C2498" s="16" t="s">
        <v>24</v>
      </c>
      <c r="D2498" s="17" t="s">
        <v>12</v>
      </c>
      <c r="E2498" s="18" t="s">
        <v>17</v>
      </c>
      <c r="F2498" s="23"/>
      <c r="H2498" s="5" t="e">
        <f ca="1">_xlfn.FORMULATEXT(표1[[#This Row],[Q''ty]])</f>
        <v>#N/A</v>
      </c>
    </row>
    <row r="2499" spans="1:8" ht="15" hidden="1" customHeight="1" thickTop="1" x14ac:dyDescent="0.4">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4">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4">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4">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4">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4">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4">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4">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4">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4">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4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4">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4">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4">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4">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4">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4">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4">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4">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4">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4">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4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4">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4">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4">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4">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4">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4">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4">
      <c r="A2527" s="6">
        <v>2026</v>
      </c>
      <c r="B2527" s="6">
        <f t="shared" si="315"/>
        <v>26</v>
      </c>
      <c r="C2527" s="13" t="s">
        <v>25</v>
      </c>
      <c r="D2527" s="2" t="s">
        <v>12</v>
      </c>
      <c r="E2527" s="14" t="s">
        <v>13</v>
      </c>
      <c r="F2527" s="22"/>
      <c r="H2527" s="5" t="e">
        <f ca="1">_xlfn.FORMULATEXT(표1[[#This Row],[Q''ty]])</f>
        <v>#N/A</v>
      </c>
    </row>
    <row r="2528" spans="1:8" ht="15" hidden="1" customHeight="1" x14ac:dyDescent="0.4">
      <c r="A2528" s="6">
        <v>2026</v>
      </c>
      <c r="B2528" s="6">
        <f t="shared" si="315"/>
        <v>26</v>
      </c>
      <c r="C2528" s="13" t="s">
        <v>25</v>
      </c>
      <c r="D2528" s="2" t="s">
        <v>12</v>
      </c>
      <c r="E2528" s="14" t="s">
        <v>14</v>
      </c>
      <c r="F2528" s="22"/>
      <c r="H2528" s="5" t="e">
        <f ca="1">_xlfn.FORMULATEXT(표1[[#This Row],[Q''ty]])</f>
        <v>#N/A</v>
      </c>
    </row>
    <row r="2529" spans="1:8" ht="15" hidden="1" customHeight="1" x14ac:dyDescent="0.4">
      <c r="A2529" s="6">
        <v>2026</v>
      </c>
      <c r="B2529" s="6">
        <f t="shared" si="315"/>
        <v>26</v>
      </c>
      <c r="C2529" s="13" t="s">
        <v>25</v>
      </c>
      <c r="D2529" s="2" t="s">
        <v>12</v>
      </c>
      <c r="E2529" s="14" t="s">
        <v>15</v>
      </c>
      <c r="F2529" s="22"/>
      <c r="H2529" s="5" t="e">
        <f ca="1">_xlfn.FORMULATEXT(표1[[#This Row],[Q''ty]])</f>
        <v>#N/A</v>
      </c>
    </row>
    <row r="2530" spans="1:8" ht="15" hidden="1" customHeight="1" x14ac:dyDescent="0.4">
      <c r="A2530" s="6">
        <v>2026</v>
      </c>
      <c r="B2530" s="6">
        <f t="shared" si="315"/>
        <v>26</v>
      </c>
      <c r="C2530" s="13" t="s">
        <v>25</v>
      </c>
      <c r="D2530" s="2" t="s">
        <v>12</v>
      </c>
      <c r="E2530" s="14" t="s">
        <v>16</v>
      </c>
      <c r="F2530" s="22"/>
      <c r="H2530" s="5" t="e">
        <f ca="1">_xlfn.FORMULATEXT(표1[[#This Row],[Q''ty]])</f>
        <v>#N/A</v>
      </c>
    </row>
    <row r="2531" spans="1:8" ht="15" hidden="1" customHeight="1" thickBot="1" x14ac:dyDescent="0.45">
      <c r="A2531" s="15">
        <v>2026</v>
      </c>
      <c r="B2531" s="15">
        <f t="shared" si="315"/>
        <v>26</v>
      </c>
      <c r="C2531" s="16" t="s">
        <v>25</v>
      </c>
      <c r="D2531" s="17" t="s">
        <v>12</v>
      </c>
      <c r="E2531" s="18" t="s">
        <v>17</v>
      </c>
      <c r="F2531" s="23"/>
      <c r="H2531" s="5" t="e">
        <f ca="1">_xlfn.FORMULATEXT(표1[[#This Row],[Q''ty]])</f>
        <v>#N/A</v>
      </c>
    </row>
    <row r="2532" spans="1:8" ht="15" hidden="1" customHeight="1" thickTop="1" x14ac:dyDescent="0.4">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4">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4">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4">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4">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4">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4">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4">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4">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4">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4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4">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4">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4">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4">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4">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4">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4">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4">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4">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4">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4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4">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4">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4">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4">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4">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4">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4">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4">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4">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4">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4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4">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4">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4">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4">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4">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4">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4">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4">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4">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4">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45">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4">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4">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4">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4">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4">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4">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4">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4">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4">
      <c r="A2584" s="6">
        <v>2026</v>
      </c>
      <c r="B2584" s="6">
        <f t="shared" si="328"/>
        <v>27</v>
      </c>
      <c r="C2584" s="13" t="s">
        <v>23</v>
      </c>
      <c r="D2584" s="2" t="s">
        <v>12</v>
      </c>
      <c r="E2584" s="14" t="s">
        <v>15</v>
      </c>
      <c r="F2584" s="22"/>
      <c r="H2584" s="5" t="e">
        <f ca="1">_xlfn.FORMULATEXT(표1[[#This Row],[Q''ty]])</f>
        <v>#N/A</v>
      </c>
    </row>
    <row r="2585" spans="1:10" ht="15" hidden="1" customHeight="1" x14ac:dyDescent="0.4">
      <c r="A2585" s="6">
        <v>2026</v>
      </c>
      <c r="B2585" s="6">
        <f t="shared" si="328"/>
        <v>27</v>
      </c>
      <c r="C2585" s="13" t="s">
        <v>23</v>
      </c>
      <c r="D2585" s="2" t="s">
        <v>12</v>
      </c>
      <c r="E2585" s="14" t="s">
        <v>16</v>
      </c>
      <c r="F2585" s="22"/>
      <c r="H2585" s="5" t="e">
        <f ca="1">_xlfn.FORMULATEXT(표1[[#This Row],[Q''ty]])</f>
        <v>#N/A</v>
      </c>
    </row>
    <row r="2586" spans="1:10" ht="15" hidden="1" customHeight="1" thickBot="1" x14ac:dyDescent="0.45">
      <c r="A2586" s="15">
        <v>2026</v>
      </c>
      <c r="B2586" s="15">
        <f t="shared" si="328"/>
        <v>27</v>
      </c>
      <c r="C2586" s="16" t="s">
        <v>23</v>
      </c>
      <c r="D2586" s="17" t="s">
        <v>12</v>
      </c>
      <c r="E2586" s="18" t="s">
        <v>17</v>
      </c>
      <c r="F2586" s="23"/>
      <c r="H2586" s="5" t="e">
        <f ca="1">_xlfn.FORMULATEXT(표1[[#This Row],[Q''ty]])</f>
        <v>#N/A</v>
      </c>
    </row>
    <row r="2587" spans="1:10" ht="15" hidden="1" customHeight="1" thickTop="1" x14ac:dyDescent="0.4">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4">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4">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4">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4">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4">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4">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4">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4">
      <c r="A2595" s="6">
        <v>2026</v>
      </c>
      <c r="B2595" s="6">
        <f t="shared" si="328"/>
        <v>27</v>
      </c>
      <c r="C2595" s="13" t="s">
        <v>24</v>
      </c>
      <c r="D2595" s="2" t="s">
        <v>12</v>
      </c>
      <c r="E2595" s="14" t="s">
        <v>15</v>
      </c>
      <c r="F2595" s="22"/>
      <c r="H2595" s="5" t="e">
        <f ca="1">_xlfn.FORMULATEXT(표1[[#This Row],[Q''ty]])</f>
        <v>#N/A</v>
      </c>
    </row>
    <row r="2596" spans="1:10" ht="15" hidden="1" customHeight="1" x14ac:dyDescent="0.4">
      <c r="A2596" s="6">
        <v>2026</v>
      </c>
      <c r="B2596" s="6">
        <f t="shared" si="328"/>
        <v>27</v>
      </c>
      <c r="C2596" s="13" t="s">
        <v>24</v>
      </c>
      <c r="D2596" s="2" t="s">
        <v>12</v>
      </c>
      <c r="E2596" s="14" t="s">
        <v>16</v>
      </c>
      <c r="F2596" s="22"/>
      <c r="H2596" s="5" t="e">
        <f ca="1">_xlfn.FORMULATEXT(표1[[#This Row],[Q''ty]])</f>
        <v>#N/A</v>
      </c>
    </row>
    <row r="2597" spans="1:10" ht="15" hidden="1" customHeight="1" thickBot="1" x14ac:dyDescent="0.45">
      <c r="A2597" s="15">
        <v>2026</v>
      </c>
      <c r="B2597" s="15">
        <f t="shared" si="328"/>
        <v>27</v>
      </c>
      <c r="C2597" s="16" t="s">
        <v>24</v>
      </c>
      <c r="D2597" s="17" t="s">
        <v>12</v>
      </c>
      <c r="E2597" s="18" t="s">
        <v>17</v>
      </c>
      <c r="F2597" s="23"/>
      <c r="H2597" s="5" t="e">
        <f ca="1">_xlfn.FORMULATEXT(표1[[#This Row],[Q''ty]])</f>
        <v>#N/A</v>
      </c>
    </row>
    <row r="2598" spans="1:10" ht="15" hidden="1" customHeight="1" thickTop="1" x14ac:dyDescent="0.4">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4">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4">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4">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4">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4">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4">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4">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4">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4">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4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4">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4">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4">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4">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4">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4">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4">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4">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4">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4">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4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4">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4">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4">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4">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4">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4">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4">
      <c r="A2626" s="6">
        <v>2026</v>
      </c>
      <c r="B2626" s="6">
        <f t="shared" si="328"/>
        <v>27</v>
      </c>
      <c r="C2626" s="13" t="s">
        <v>25</v>
      </c>
      <c r="D2626" s="2" t="s">
        <v>12</v>
      </c>
      <c r="E2626" s="14" t="s">
        <v>13</v>
      </c>
      <c r="F2626" s="22"/>
      <c r="H2626" s="5" t="e">
        <f ca="1">_xlfn.FORMULATEXT(표1[[#This Row],[Q''ty]])</f>
        <v>#N/A</v>
      </c>
    </row>
    <row r="2627" spans="1:8" ht="15" hidden="1" customHeight="1" x14ac:dyDescent="0.4">
      <c r="A2627" s="6">
        <v>2026</v>
      </c>
      <c r="B2627" s="6">
        <f t="shared" si="328"/>
        <v>27</v>
      </c>
      <c r="C2627" s="13" t="s">
        <v>25</v>
      </c>
      <c r="D2627" s="2" t="s">
        <v>12</v>
      </c>
      <c r="E2627" s="14" t="s">
        <v>14</v>
      </c>
      <c r="F2627" s="22"/>
      <c r="H2627" s="5" t="e">
        <f ca="1">_xlfn.FORMULATEXT(표1[[#This Row],[Q''ty]])</f>
        <v>#N/A</v>
      </c>
    </row>
    <row r="2628" spans="1:8" ht="15" hidden="1" customHeight="1" x14ac:dyDescent="0.4">
      <c r="A2628" s="6">
        <v>2026</v>
      </c>
      <c r="B2628" s="6">
        <f t="shared" si="328"/>
        <v>27</v>
      </c>
      <c r="C2628" s="13" t="s">
        <v>25</v>
      </c>
      <c r="D2628" s="2" t="s">
        <v>12</v>
      </c>
      <c r="E2628" s="14" t="s">
        <v>15</v>
      </c>
      <c r="F2628" s="22"/>
      <c r="H2628" s="5" t="e">
        <f ca="1">_xlfn.FORMULATEXT(표1[[#This Row],[Q''ty]])</f>
        <v>#N/A</v>
      </c>
    </row>
    <row r="2629" spans="1:8" ht="15" hidden="1" customHeight="1" x14ac:dyDescent="0.4">
      <c r="A2629" s="6">
        <v>2026</v>
      </c>
      <c r="B2629" s="6">
        <f t="shared" si="328"/>
        <v>27</v>
      </c>
      <c r="C2629" s="13" t="s">
        <v>25</v>
      </c>
      <c r="D2629" s="2" t="s">
        <v>12</v>
      </c>
      <c r="E2629" s="14" t="s">
        <v>16</v>
      </c>
      <c r="F2629" s="22"/>
      <c r="H2629" s="5" t="e">
        <f ca="1">_xlfn.FORMULATEXT(표1[[#This Row],[Q''ty]])</f>
        <v>#N/A</v>
      </c>
    </row>
    <row r="2630" spans="1:8" ht="15" hidden="1" customHeight="1" thickBot="1" x14ac:dyDescent="0.45">
      <c r="A2630" s="15">
        <v>2026</v>
      </c>
      <c r="B2630" s="15">
        <f t="shared" si="328"/>
        <v>27</v>
      </c>
      <c r="C2630" s="16" t="s">
        <v>25</v>
      </c>
      <c r="D2630" s="17" t="s">
        <v>12</v>
      </c>
      <c r="E2630" s="18" t="s">
        <v>17</v>
      </c>
      <c r="F2630" s="23"/>
      <c r="H2630" s="5" t="e">
        <f ca="1">_xlfn.FORMULATEXT(표1[[#This Row],[Q''ty]])</f>
        <v>#N/A</v>
      </c>
    </row>
    <row r="2631" spans="1:8" ht="15" hidden="1" customHeight="1" thickTop="1" x14ac:dyDescent="0.4">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4">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4">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4">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4">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4">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4">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4">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4">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4">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4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4">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4">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4">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4">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4">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4">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4">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4">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4">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4">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4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4">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4">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4">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4">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4">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4">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4">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4">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4">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4">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4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4">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4">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4">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4">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4">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4">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4">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4">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4">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4">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45">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4">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4">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4">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4">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4">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4">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4">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4">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4">
      <c r="A2683" s="6">
        <v>2026</v>
      </c>
      <c r="B2683" s="6">
        <f t="shared" si="341"/>
        <v>28</v>
      </c>
      <c r="C2683" s="13" t="s">
        <v>23</v>
      </c>
      <c r="D2683" s="2" t="s">
        <v>12</v>
      </c>
      <c r="E2683" s="14" t="s">
        <v>15</v>
      </c>
      <c r="F2683" s="22"/>
      <c r="H2683" s="5" t="e">
        <f ca="1">_xlfn.FORMULATEXT(표1[[#This Row],[Q''ty]])</f>
        <v>#N/A</v>
      </c>
    </row>
    <row r="2684" spans="1:10" ht="15" hidden="1" customHeight="1" x14ac:dyDescent="0.4">
      <c r="A2684" s="6">
        <v>2026</v>
      </c>
      <c r="B2684" s="6">
        <f t="shared" si="341"/>
        <v>28</v>
      </c>
      <c r="C2684" s="13" t="s">
        <v>23</v>
      </c>
      <c r="D2684" s="2" t="s">
        <v>12</v>
      </c>
      <c r="E2684" s="14" t="s">
        <v>16</v>
      </c>
      <c r="F2684" s="22"/>
      <c r="H2684" s="5" t="e">
        <f ca="1">_xlfn.FORMULATEXT(표1[[#This Row],[Q''ty]])</f>
        <v>#N/A</v>
      </c>
    </row>
    <row r="2685" spans="1:10" ht="15" hidden="1" customHeight="1" thickBot="1" x14ac:dyDescent="0.45">
      <c r="A2685" s="15">
        <v>2026</v>
      </c>
      <c r="B2685" s="15">
        <f t="shared" si="341"/>
        <v>28</v>
      </c>
      <c r="C2685" s="16" t="s">
        <v>23</v>
      </c>
      <c r="D2685" s="17" t="s">
        <v>12</v>
      </c>
      <c r="E2685" s="18" t="s">
        <v>17</v>
      </c>
      <c r="F2685" s="23"/>
      <c r="H2685" s="5" t="e">
        <f ca="1">_xlfn.FORMULATEXT(표1[[#This Row],[Q''ty]])</f>
        <v>#N/A</v>
      </c>
    </row>
    <row r="2686" spans="1:10" ht="15" hidden="1" customHeight="1" thickTop="1" x14ac:dyDescent="0.4">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4">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4">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4">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4">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4">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4">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4">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4">
      <c r="A2694" s="6">
        <v>2026</v>
      </c>
      <c r="B2694" s="6">
        <f t="shared" si="341"/>
        <v>28</v>
      </c>
      <c r="C2694" s="13" t="s">
        <v>24</v>
      </c>
      <c r="D2694" s="2" t="s">
        <v>12</v>
      </c>
      <c r="E2694" s="14" t="s">
        <v>15</v>
      </c>
      <c r="F2694" s="22"/>
      <c r="H2694" s="5" t="e">
        <f ca="1">_xlfn.FORMULATEXT(표1[[#This Row],[Q''ty]])</f>
        <v>#N/A</v>
      </c>
    </row>
    <row r="2695" spans="1:10" ht="15" hidden="1" customHeight="1" x14ac:dyDescent="0.4">
      <c r="A2695" s="6">
        <v>2026</v>
      </c>
      <c r="B2695" s="6">
        <f t="shared" si="341"/>
        <v>28</v>
      </c>
      <c r="C2695" s="13" t="s">
        <v>24</v>
      </c>
      <c r="D2695" s="2" t="s">
        <v>12</v>
      </c>
      <c r="E2695" s="14" t="s">
        <v>16</v>
      </c>
      <c r="F2695" s="22"/>
      <c r="H2695" s="5" t="e">
        <f ca="1">_xlfn.FORMULATEXT(표1[[#This Row],[Q''ty]])</f>
        <v>#N/A</v>
      </c>
    </row>
    <row r="2696" spans="1:10" ht="15" hidden="1" customHeight="1" thickBot="1" x14ac:dyDescent="0.45">
      <c r="A2696" s="15">
        <v>2026</v>
      </c>
      <c r="B2696" s="15">
        <f t="shared" si="341"/>
        <v>28</v>
      </c>
      <c r="C2696" s="16" t="s">
        <v>24</v>
      </c>
      <c r="D2696" s="17" t="s">
        <v>12</v>
      </c>
      <c r="E2696" s="18" t="s">
        <v>17</v>
      </c>
      <c r="F2696" s="23"/>
      <c r="H2696" s="5" t="e">
        <f ca="1">_xlfn.FORMULATEXT(표1[[#This Row],[Q''ty]])</f>
        <v>#N/A</v>
      </c>
    </row>
    <row r="2697" spans="1:10" ht="15" hidden="1" customHeight="1" thickTop="1" x14ac:dyDescent="0.4">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4">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4">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4">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4">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4">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4">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4">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4">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4">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4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4">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4">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4">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4">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4">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4">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4">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4">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4">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4">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4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4">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4">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4">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4">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4">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4">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4">
      <c r="A2725" s="6">
        <v>2026</v>
      </c>
      <c r="B2725" s="6">
        <f t="shared" si="341"/>
        <v>28</v>
      </c>
      <c r="C2725" s="13" t="s">
        <v>25</v>
      </c>
      <c r="D2725" s="2" t="s">
        <v>12</v>
      </c>
      <c r="E2725" s="14" t="s">
        <v>13</v>
      </c>
      <c r="F2725" s="22"/>
      <c r="H2725" s="5" t="e">
        <f ca="1">_xlfn.FORMULATEXT(표1[[#This Row],[Q''ty]])</f>
        <v>#N/A</v>
      </c>
    </row>
    <row r="2726" spans="1:8" ht="15" hidden="1" customHeight="1" x14ac:dyDescent="0.4">
      <c r="A2726" s="6">
        <v>2026</v>
      </c>
      <c r="B2726" s="6">
        <f t="shared" si="341"/>
        <v>28</v>
      </c>
      <c r="C2726" s="13" t="s">
        <v>25</v>
      </c>
      <c r="D2726" s="2" t="s">
        <v>12</v>
      </c>
      <c r="E2726" s="14" t="s">
        <v>14</v>
      </c>
      <c r="F2726" s="22"/>
      <c r="H2726" s="5" t="e">
        <f ca="1">_xlfn.FORMULATEXT(표1[[#This Row],[Q''ty]])</f>
        <v>#N/A</v>
      </c>
    </row>
    <row r="2727" spans="1:8" ht="15" hidden="1" customHeight="1" x14ac:dyDescent="0.4">
      <c r="A2727" s="6">
        <v>2026</v>
      </c>
      <c r="B2727" s="6">
        <f t="shared" si="341"/>
        <v>28</v>
      </c>
      <c r="C2727" s="13" t="s">
        <v>25</v>
      </c>
      <c r="D2727" s="2" t="s">
        <v>12</v>
      </c>
      <c r="E2727" s="14" t="s">
        <v>15</v>
      </c>
      <c r="F2727" s="22"/>
      <c r="H2727" s="5" t="e">
        <f ca="1">_xlfn.FORMULATEXT(표1[[#This Row],[Q''ty]])</f>
        <v>#N/A</v>
      </c>
    </row>
    <row r="2728" spans="1:8" ht="15" hidden="1" customHeight="1" x14ac:dyDescent="0.4">
      <c r="A2728" s="6">
        <v>2026</v>
      </c>
      <c r="B2728" s="6">
        <f t="shared" si="341"/>
        <v>28</v>
      </c>
      <c r="C2728" s="13" t="s">
        <v>25</v>
      </c>
      <c r="D2728" s="2" t="s">
        <v>12</v>
      </c>
      <c r="E2728" s="14" t="s">
        <v>16</v>
      </c>
      <c r="F2728" s="22"/>
      <c r="H2728" s="5" t="e">
        <f ca="1">_xlfn.FORMULATEXT(표1[[#This Row],[Q''ty]])</f>
        <v>#N/A</v>
      </c>
    </row>
    <row r="2729" spans="1:8" ht="15" hidden="1" customHeight="1" thickBot="1" x14ac:dyDescent="0.45">
      <c r="A2729" s="15">
        <v>2026</v>
      </c>
      <c r="B2729" s="15">
        <f t="shared" si="341"/>
        <v>28</v>
      </c>
      <c r="C2729" s="16" t="s">
        <v>25</v>
      </c>
      <c r="D2729" s="17" t="s">
        <v>12</v>
      </c>
      <c r="E2729" s="18" t="s">
        <v>17</v>
      </c>
      <c r="F2729" s="23"/>
      <c r="H2729" s="5" t="e">
        <f ca="1">_xlfn.FORMULATEXT(표1[[#This Row],[Q''ty]])</f>
        <v>#N/A</v>
      </c>
    </row>
    <row r="2730" spans="1:8" ht="15" hidden="1" customHeight="1" thickTop="1" x14ac:dyDescent="0.4">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4">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4">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4">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4">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4">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4">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4">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4">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4">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4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4">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4">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4">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4">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4">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4">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4">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4">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4">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4">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4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4">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4">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4">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4">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4">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4">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4">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4">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4">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4">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4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4">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4">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4">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4">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4">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4">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4">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4">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4">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4">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45">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4">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4">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4">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4">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4">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4">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4">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4">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4">
      <c r="A2782" s="6">
        <v>2026</v>
      </c>
      <c r="B2782" s="6">
        <f t="shared" si="354"/>
        <v>29</v>
      </c>
      <c r="C2782" s="13" t="s">
        <v>23</v>
      </c>
      <c r="D2782" s="2" t="s">
        <v>12</v>
      </c>
      <c r="E2782" s="14" t="s">
        <v>15</v>
      </c>
      <c r="F2782" s="22"/>
      <c r="H2782" s="5" t="e">
        <f ca="1">_xlfn.FORMULATEXT(표1[[#This Row],[Q''ty]])</f>
        <v>#N/A</v>
      </c>
    </row>
    <row r="2783" spans="1:10" ht="15" hidden="1" customHeight="1" x14ac:dyDescent="0.4">
      <c r="A2783" s="6">
        <v>2026</v>
      </c>
      <c r="B2783" s="6">
        <f t="shared" si="354"/>
        <v>29</v>
      </c>
      <c r="C2783" s="13" t="s">
        <v>23</v>
      </c>
      <c r="D2783" s="2" t="s">
        <v>12</v>
      </c>
      <c r="E2783" s="14" t="s">
        <v>16</v>
      </c>
      <c r="F2783" s="22"/>
      <c r="H2783" s="5" t="e">
        <f ca="1">_xlfn.FORMULATEXT(표1[[#This Row],[Q''ty]])</f>
        <v>#N/A</v>
      </c>
    </row>
    <row r="2784" spans="1:10" ht="15" hidden="1" customHeight="1" thickBot="1" x14ac:dyDescent="0.45">
      <c r="A2784" s="15">
        <v>2026</v>
      </c>
      <c r="B2784" s="15">
        <f t="shared" si="354"/>
        <v>29</v>
      </c>
      <c r="C2784" s="16" t="s">
        <v>23</v>
      </c>
      <c r="D2784" s="17" t="s">
        <v>12</v>
      </c>
      <c r="E2784" s="18" t="s">
        <v>17</v>
      </c>
      <c r="F2784" s="23"/>
      <c r="H2784" s="5" t="e">
        <f ca="1">_xlfn.FORMULATEXT(표1[[#This Row],[Q''ty]])</f>
        <v>#N/A</v>
      </c>
    </row>
    <row r="2785" spans="1:10" ht="15" hidden="1" customHeight="1" thickTop="1" x14ac:dyDescent="0.4">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4">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4">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4">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4">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4">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4">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4">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4">
      <c r="A2793" s="6">
        <v>2026</v>
      </c>
      <c r="B2793" s="6">
        <f t="shared" si="354"/>
        <v>29</v>
      </c>
      <c r="C2793" s="13" t="s">
        <v>24</v>
      </c>
      <c r="D2793" s="2" t="s">
        <v>12</v>
      </c>
      <c r="E2793" s="14" t="s">
        <v>15</v>
      </c>
      <c r="F2793" s="22"/>
      <c r="H2793" s="5" t="e">
        <f ca="1">_xlfn.FORMULATEXT(표1[[#This Row],[Q''ty]])</f>
        <v>#N/A</v>
      </c>
    </row>
    <row r="2794" spans="1:10" ht="15" hidden="1" customHeight="1" x14ac:dyDescent="0.4">
      <c r="A2794" s="6">
        <v>2026</v>
      </c>
      <c r="B2794" s="6">
        <f t="shared" si="354"/>
        <v>29</v>
      </c>
      <c r="C2794" s="13" t="s">
        <v>24</v>
      </c>
      <c r="D2794" s="2" t="s">
        <v>12</v>
      </c>
      <c r="E2794" s="14" t="s">
        <v>16</v>
      </c>
      <c r="F2794" s="22"/>
      <c r="H2794" s="5" t="e">
        <f ca="1">_xlfn.FORMULATEXT(표1[[#This Row],[Q''ty]])</f>
        <v>#N/A</v>
      </c>
    </row>
    <row r="2795" spans="1:10" ht="15" hidden="1" customHeight="1" thickBot="1" x14ac:dyDescent="0.45">
      <c r="A2795" s="15">
        <v>2026</v>
      </c>
      <c r="B2795" s="15">
        <f t="shared" si="354"/>
        <v>29</v>
      </c>
      <c r="C2795" s="16" t="s">
        <v>24</v>
      </c>
      <c r="D2795" s="17" t="s">
        <v>12</v>
      </c>
      <c r="E2795" s="18" t="s">
        <v>17</v>
      </c>
      <c r="F2795" s="23"/>
      <c r="H2795" s="5" t="e">
        <f ca="1">_xlfn.FORMULATEXT(표1[[#This Row],[Q''ty]])</f>
        <v>#N/A</v>
      </c>
    </row>
    <row r="2796" spans="1:10" ht="15" hidden="1" customHeight="1" thickTop="1" x14ac:dyDescent="0.4">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4">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4">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4">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4">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4">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4">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4">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4">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4">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4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4">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4">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4">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4">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4">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4">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4">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4">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4">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4">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4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4">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4">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4">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4">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4">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4">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4">
      <c r="A2824" s="6">
        <v>2026</v>
      </c>
      <c r="B2824" s="6">
        <f t="shared" si="354"/>
        <v>29</v>
      </c>
      <c r="C2824" s="13" t="s">
        <v>25</v>
      </c>
      <c r="D2824" s="2" t="s">
        <v>12</v>
      </c>
      <c r="E2824" s="14" t="s">
        <v>13</v>
      </c>
      <c r="F2824" s="22"/>
      <c r="H2824" s="5" t="e">
        <f ca="1">_xlfn.FORMULATEXT(표1[[#This Row],[Q''ty]])</f>
        <v>#N/A</v>
      </c>
    </row>
    <row r="2825" spans="1:8" ht="15" hidden="1" customHeight="1" x14ac:dyDescent="0.4">
      <c r="A2825" s="6">
        <v>2026</v>
      </c>
      <c r="B2825" s="6">
        <f t="shared" si="354"/>
        <v>29</v>
      </c>
      <c r="C2825" s="13" t="s">
        <v>25</v>
      </c>
      <c r="D2825" s="2" t="s">
        <v>12</v>
      </c>
      <c r="E2825" s="14" t="s">
        <v>14</v>
      </c>
      <c r="F2825" s="22"/>
      <c r="H2825" s="5" t="e">
        <f ca="1">_xlfn.FORMULATEXT(표1[[#This Row],[Q''ty]])</f>
        <v>#N/A</v>
      </c>
    </row>
    <row r="2826" spans="1:8" ht="15" hidden="1" customHeight="1" x14ac:dyDescent="0.4">
      <c r="A2826" s="6">
        <v>2026</v>
      </c>
      <c r="B2826" s="6">
        <f t="shared" si="354"/>
        <v>29</v>
      </c>
      <c r="C2826" s="13" t="s">
        <v>25</v>
      </c>
      <c r="D2826" s="2" t="s">
        <v>12</v>
      </c>
      <c r="E2826" s="14" t="s">
        <v>15</v>
      </c>
      <c r="F2826" s="22"/>
      <c r="H2826" s="5" t="e">
        <f ca="1">_xlfn.FORMULATEXT(표1[[#This Row],[Q''ty]])</f>
        <v>#N/A</v>
      </c>
    </row>
    <row r="2827" spans="1:8" ht="15" hidden="1" customHeight="1" x14ac:dyDescent="0.4">
      <c r="A2827" s="6">
        <v>2026</v>
      </c>
      <c r="B2827" s="6">
        <f t="shared" si="354"/>
        <v>29</v>
      </c>
      <c r="C2827" s="13" t="s">
        <v>25</v>
      </c>
      <c r="D2827" s="2" t="s">
        <v>12</v>
      </c>
      <c r="E2827" s="14" t="s">
        <v>16</v>
      </c>
      <c r="F2827" s="22"/>
      <c r="H2827" s="5" t="e">
        <f ca="1">_xlfn.FORMULATEXT(표1[[#This Row],[Q''ty]])</f>
        <v>#N/A</v>
      </c>
    </row>
    <row r="2828" spans="1:8" ht="15" hidden="1" customHeight="1" thickBot="1" x14ac:dyDescent="0.45">
      <c r="A2828" s="15">
        <v>2026</v>
      </c>
      <c r="B2828" s="15">
        <f t="shared" si="354"/>
        <v>29</v>
      </c>
      <c r="C2828" s="16" t="s">
        <v>25</v>
      </c>
      <c r="D2828" s="17" t="s">
        <v>12</v>
      </c>
      <c r="E2828" s="18" t="s">
        <v>17</v>
      </c>
      <c r="F2828" s="23"/>
      <c r="H2828" s="5" t="e">
        <f ca="1">_xlfn.FORMULATEXT(표1[[#This Row],[Q''ty]])</f>
        <v>#N/A</v>
      </c>
    </row>
    <row r="2829" spans="1:8" ht="15" hidden="1" customHeight="1" thickTop="1" x14ac:dyDescent="0.4">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4">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4">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4">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4">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4">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4">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4">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4">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4">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4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4">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4">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4">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4">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4">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4">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4">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4">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4">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4">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4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4">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4">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4">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4">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4">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4">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4">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4">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4">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4">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4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4">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4">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4">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4">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4">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4">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4">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4">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4">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4">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45">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4">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4">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4">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4">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4">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4">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4">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4">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4">
      <c r="A2881" s="6">
        <v>2026</v>
      </c>
      <c r="B2881" s="6">
        <f t="shared" si="367"/>
        <v>30</v>
      </c>
      <c r="C2881" s="13" t="s">
        <v>23</v>
      </c>
      <c r="D2881" s="2" t="s">
        <v>12</v>
      </c>
      <c r="E2881" s="14" t="s">
        <v>15</v>
      </c>
      <c r="F2881" s="22"/>
      <c r="H2881" s="5" t="e">
        <f ca="1">_xlfn.FORMULATEXT(표1[[#This Row],[Q''ty]])</f>
        <v>#N/A</v>
      </c>
    </row>
    <row r="2882" spans="1:10" ht="15" hidden="1" customHeight="1" x14ac:dyDescent="0.4">
      <c r="A2882" s="6">
        <v>2026</v>
      </c>
      <c r="B2882" s="6">
        <f t="shared" si="367"/>
        <v>30</v>
      </c>
      <c r="C2882" s="13" t="s">
        <v>23</v>
      </c>
      <c r="D2882" s="2" t="s">
        <v>12</v>
      </c>
      <c r="E2882" s="14" t="s">
        <v>16</v>
      </c>
      <c r="F2882" s="22"/>
      <c r="H2882" s="5" t="e">
        <f ca="1">_xlfn.FORMULATEXT(표1[[#This Row],[Q''ty]])</f>
        <v>#N/A</v>
      </c>
    </row>
    <row r="2883" spans="1:10" ht="15" hidden="1" customHeight="1" thickBot="1" x14ac:dyDescent="0.45">
      <c r="A2883" s="15">
        <v>2026</v>
      </c>
      <c r="B2883" s="15">
        <f t="shared" si="367"/>
        <v>30</v>
      </c>
      <c r="C2883" s="16" t="s">
        <v>23</v>
      </c>
      <c r="D2883" s="17" t="s">
        <v>12</v>
      </c>
      <c r="E2883" s="18" t="s">
        <v>17</v>
      </c>
      <c r="F2883" s="23"/>
      <c r="H2883" s="5" t="e">
        <f ca="1">_xlfn.FORMULATEXT(표1[[#This Row],[Q''ty]])</f>
        <v>#N/A</v>
      </c>
    </row>
    <row r="2884" spans="1:10" ht="15" hidden="1" customHeight="1" thickTop="1" x14ac:dyDescent="0.4">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4">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4">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4">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4">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4">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4">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4">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4">
      <c r="A2892" s="6">
        <v>2026</v>
      </c>
      <c r="B2892" s="6">
        <f t="shared" si="367"/>
        <v>30</v>
      </c>
      <c r="C2892" s="13" t="s">
        <v>24</v>
      </c>
      <c r="D2892" s="2" t="s">
        <v>12</v>
      </c>
      <c r="E2892" s="14" t="s">
        <v>15</v>
      </c>
      <c r="F2892" s="22"/>
      <c r="H2892" s="5" t="e">
        <f ca="1">_xlfn.FORMULATEXT(표1[[#This Row],[Q''ty]])</f>
        <v>#N/A</v>
      </c>
    </row>
    <row r="2893" spans="1:10" ht="15" hidden="1" customHeight="1" x14ac:dyDescent="0.4">
      <c r="A2893" s="6">
        <v>2026</v>
      </c>
      <c r="B2893" s="6">
        <f t="shared" si="367"/>
        <v>30</v>
      </c>
      <c r="C2893" s="13" t="s">
        <v>24</v>
      </c>
      <c r="D2893" s="2" t="s">
        <v>12</v>
      </c>
      <c r="E2893" s="14" t="s">
        <v>16</v>
      </c>
      <c r="F2893" s="22"/>
      <c r="H2893" s="5" t="e">
        <f ca="1">_xlfn.FORMULATEXT(표1[[#This Row],[Q''ty]])</f>
        <v>#N/A</v>
      </c>
    </row>
    <row r="2894" spans="1:10" ht="15" hidden="1" customHeight="1" thickBot="1" x14ac:dyDescent="0.45">
      <c r="A2894" s="15">
        <v>2026</v>
      </c>
      <c r="B2894" s="15">
        <f t="shared" si="367"/>
        <v>30</v>
      </c>
      <c r="C2894" s="16" t="s">
        <v>24</v>
      </c>
      <c r="D2894" s="17" t="s">
        <v>12</v>
      </c>
      <c r="E2894" s="18" t="s">
        <v>17</v>
      </c>
      <c r="F2894" s="23"/>
      <c r="H2894" s="5" t="e">
        <f ca="1">_xlfn.FORMULATEXT(표1[[#This Row],[Q''ty]])</f>
        <v>#N/A</v>
      </c>
    </row>
    <row r="2895" spans="1:10" ht="15" hidden="1" customHeight="1" thickTop="1" x14ac:dyDescent="0.4">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4">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4">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4">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4">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4">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4">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4">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4">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4">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4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4">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4">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4">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4">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4">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4">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4">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4">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4">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4">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4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4">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4">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4">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4">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4">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4">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4">
      <c r="A2923" s="6">
        <v>2026</v>
      </c>
      <c r="B2923" s="6">
        <f t="shared" si="367"/>
        <v>30</v>
      </c>
      <c r="C2923" s="13" t="s">
        <v>25</v>
      </c>
      <c r="D2923" s="2" t="s">
        <v>12</v>
      </c>
      <c r="E2923" s="14" t="s">
        <v>13</v>
      </c>
      <c r="F2923" s="22"/>
      <c r="H2923" s="5" t="e">
        <f ca="1">_xlfn.FORMULATEXT(표1[[#This Row],[Q''ty]])</f>
        <v>#N/A</v>
      </c>
    </row>
    <row r="2924" spans="1:8" ht="15" hidden="1" customHeight="1" x14ac:dyDescent="0.4">
      <c r="A2924" s="6">
        <v>2026</v>
      </c>
      <c r="B2924" s="6">
        <f t="shared" si="367"/>
        <v>30</v>
      </c>
      <c r="C2924" s="13" t="s">
        <v>25</v>
      </c>
      <c r="D2924" s="2" t="s">
        <v>12</v>
      </c>
      <c r="E2924" s="14" t="s">
        <v>14</v>
      </c>
      <c r="F2924" s="22"/>
      <c r="H2924" s="5" t="e">
        <f ca="1">_xlfn.FORMULATEXT(표1[[#This Row],[Q''ty]])</f>
        <v>#N/A</v>
      </c>
    </row>
    <row r="2925" spans="1:8" ht="15" hidden="1" customHeight="1" x14ac:dyDescent="0.4">
      <c r="A2925" s="6">
        <v>2026</v>
      </c>
      <c r="B2925" s="6">
        <f t="shared" si="367"/>
        <v>30</v>
      </c>
      <c r="C2925" s="13" t="s">
        <v>25</v>
      </c>
      <c r="D2925" s="2" t="s">
        <v>12</v>
      </c>
      <c r="E2925" s="14" t="s">
        <v>15</v>
      </c>
      <c r="F2925" s="22"/>
      <c r="H2925" s="5" t="e">
        <f ca="1">_xlfn.FORMULATEXT(표1[[#This Row],[Q''ty]])</f>
        <v>#N/A</v>
      </c>
    </row>
    <row r="2926" spans="1:8" ht="15" hidden="1" customHeight="1" x14ac:dyDescent="0.4">
      <c r="A2926" s="6">
        <v>2026</v>
      </c>
      <c r="B2926" s="6">
        <f t="shared" si="367"/>
        <v>30</v>
      </c>
      <c r="C2926" s="13" t="s">
        <v>25</v>
      </c>
      <c r="D2926" s="2" t="s">
        <v>12</v>
      </c>
      <c r="E2926" s="14" t="s">
        <v>16</v>
      </c>
      <c r="F2926" s="22"/>
      <c r="H2926" s="5" t="e">
        <f ca="1">_xlfn.FORMULATEXT(표1[[#This Row],[Q''ty]])</f>
        <v>#N/A</v>
      </c>
    </row>
    <row r="2927" spans="1:8" ht="15" hidden="1" customHeight="1" thickBot="1" x14ac:dyDescent="0.45">
      <c r="A2927" s="15">
        <v>2026</v>
      </c>
      <c r="B2927" s="15">
        <f t="shared" si="367"/>
        <v>30</v>
      </c>
      <c r="C2927" s="16" t="s">
        <v>25</v>
      </c>
      <c r="D2927" s="17" t="s">
        <v>12</v>
      </c>
      <c r="E2927" s="18" t="s">
        <v>17</v>
      </c>
      <c r="F2927" s="23"/>
      <c r="H2927" s="5" t="e">
        <f ca="1">_xlfn.FORMULATEXT(표1[[#This Row],[Q''ty]])</f>
        <v>#N/A</v>
      </c>
    </row>
    <row r="2928" spans="1:8" ht="15" hidden="1" customHeight="1" thickTop="1" x14ac:dyDescent="0.4">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4">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4">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4">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4">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4">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4">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4">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4">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4">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4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4">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4">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4">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4">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4">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4">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4">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4">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4">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4">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4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4">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4">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4">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4">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4">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4">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4">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4">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4">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4">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4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4">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4">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4">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4">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4">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4">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4">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4">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4">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4">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45">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4">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4">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4">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4">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4">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4">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4">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4">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4">
      <c r="A2980" s="6">
        <v>2026</v>
      </c>
      <c r="B2980" s="6">
        <f t="shared" si="380"/>
        <v>31</v>
      </c>
      <c r="C2980" s="13" t="s">
        <v>23</v>
      </c>
      <c r="D2980" s="2" t="s">
        <v>12</v>
      </c>
      <c r="E2980" s="14" t="s">
        <v>15</v>
      </c>
      <c r="F2980" s="22"/>
      <c r="H2980" s="5" t="e">
        <f ca="1">_xlfn.FORMULATEXT(표1[[#This Row],[Q''ty]])</f>
        <v>#N/A</v>
      </c>
    </row>
    <row r="2981" spans="1:10" ht="15" hidden="1" customHeight="1" x14ac:dyDescent="0.4">
      <c r="A2981" s="6">
        <v>2026</v>
      </c>
      <c r="B2981" s="6">
        <f t="shared" si="380"/>
        <v>31</v>
      </c>
      <c r="C2981" s="13" t="s">
        <v>23</v>
      </c>
      <c r="D2981" s="2" t="s">
        <v>12</v>
      </c>
      <c r="E2981" s="14" t="s">
        <v>16</v>
      </c>
      <c r="F2981" s="22"/>
      <c r="H2981" s="5" t="e">
        <f ca="1">_xlfn.FORMULATEXT(표1[[#This Row],[Q''ty]])</f>
        <v>#N/A</v>
      </c>
    </row>
    <row r="2982" spans="1:10" ht="15" hidden="1" customHeight="1" thickBot="1" x14ac:dyDescent="0.45">
      <c r="A2982" s="15">
        <v>2026</v>
      </c>
      <c r="B2982" s="15">
        <f t="shared" si="380"/>
        <v>31</v>
      </c>
      <c r="C2982" s="16" t="s">
        <v>23</v>
      </c>
      <c r="D2982" s="17" t="s">
        <v>12</v>
      </c>
      <c r="E2982" s="18" t="s">
        <v>17</v>
      </c>
      <c r="F2982" s="23"/>
      <c r="H2982" s="5" t="e">
        <f ca="1">_xlfn.FORMULATEXT(표1[[#This Row],[Q''ty]])</f>
        <v>#N/A</v>
      </c>
    </row>
    <row r="2983" spans="1:10" ht="15" hidden="1" customHeight="1" thickTop="1" x14ac:dyDescent="0.4">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4">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4">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4">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4">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4">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4">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4">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4">
      <c r="A2991" s="6">
        <v>2026</v>
      </c>
      <c r="B2991" s="6">
        <f t="shared" si="380"/>
        <v>31</v>
      </c>
      <c r="C2991" s="13" t="s">
        <v>24</v>
      </c>
      <c r="D2991" s="2" t="s">
        <v>12</v>
      </c>
      <c r="E2991" s="14" t="s">
        <v>15</v>
      </c>
      <c r="F2991" s="22"/>
      <c r="H2991" s="5" t="e">
        <f ca="1">_xlfn.FORMULATEXT(표1[[#This Row],[Q''ty]])</f>
        <v>#N/A</v>
      </c>
    </row>
    <row r="2992" spans="1:10" ht="15" hidden="1" customHeight="1" x14ac:dyDescent="0.4">
      <c r="A2992" s="6">
        <v>2026</v>
      </c>
      <c r="B2992" s="6">
        <f t="shared" si="380"/>
        <v>31</v>
      </c>
      <c r="C2992" s="13" t="s">
        <v>24</v>
      </c>
      <c r="D2992" s="2" t="s">
        <v>12</v>
      </c>
      <c r="E2992" s="14" t="s">
        <v>16</v>
      </c>
      <c r="F2992" s="22"/>
      <c r="H2992" s="5" t="e">
        <f ca="1">_xlfn.FORMULATEXT(표1[[#This Row],[Q''ty]])</f>
        <v>#N/A</v>
      </c>
    </row>
    <row r="2993" spans="1:8" ht="15" hidden="1" customHeight="1" thickBot="1" x14ac:dyDescent="0.45">
      <c r="A2993" s="15">
        <v>2026</v>
      </c>
      <c r="B2993" s="15">
        <f t="shared" si="380"/>
        <v>31</v>
      </c>
      <c r="C2993" s="16" t="s">
        <v>24</v>
      </c>
      <c r="D2993" s="17" t="s">
        <v>12</v>
      </c>
      <c r="E2993" s="18" t="s">
        <v>17</v>
      </c>
      <c r="F2993" s="23"/>
      <c r="H2993" s="5" t="e">
        <f ca="1">_xlfn.FORMULATEXT(표1[[#This Row],[Q''ty]])</f>
        <v>#N/A</v>
      </c>
    </row>
    <row r="2994" spans="1:8" ht="15" hidden="1" customHeight="1" thickTop="1" x14ac:dyDescent="0.4">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4">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4">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4">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4">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4">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4">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4">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4">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4">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4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4">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4">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4">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4">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4">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4">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4">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4">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4">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4">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4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4">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4">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4">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4">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4">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4">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4">
      <c r="A3022" s="6">
        <v>2026</v>
      </c>
      <c r="B3022" s="6">
        <f t="shared" si="380"/>
        <v>31</v>
      </c>
      <c r="C3022" s="13" t="s">
        <v>25</v>
      </c>
      <c r="D3022" s="2" t="s">
        <v>12</v>
      </c>
      <c r="E3022" s="14" t="s">
        <v>13</v>
      </c>
      <c r="F3022" s="22"/>
      <c r="H3022" s="5" t="e">
        <f ca="1">_xlfn.FORMULATEXT(표1[[#This Row],[Q''ty]])</f>
        <v>#N/A</v>
      </c>
    </row>
    <row r="3023" spans="1:8" ht="15" hidden="1" customHeight="1" x14ac:dyDescent="0.4">
      <c r="A3023" s="6">
        <v>2026</v>
      </c>
      <c r="B3023" s="6">
        <f t="shared" si="380"/>
        <v>31</v>
      </c>
      <c r="C3023" s="13" t="s">
        <v>25</v>
      </c>
      <c r="D3023" s="2" t="s">
        <v>12</v>
      </c>
      <c r="E3023" s="14" t="s">
        <v>14</v>
      </c>
      <c r="F3023" s="22"/>
      <c r="H3023" s="5" t="e">
        <f ca="1">_xlfn.FORMULATEXT(표1[[#This Row],[Q''ty]])</f>
        <v>#N/A</v>
      </c>
    </row>
    <row r="3024" spans="1:8" ht="15" hidden="1" customHeight="1" x14ac:dyDescent="0.4">
      <c r="A3024" s="6">
        <v>2026</v>
      </c>
      <c r="B3024" s="6">
        <f t="shared" si="380"/>
        <v>31</v>
      </c>
      <c r="C3024" s="13" t="s">
        <v>25</v>
      </c>
      <c r="D3024" s="2" t="s">
        <v>12</v>
      </c>
      <c r="E3024" s="14" t="s">
        <v>15</v>
      </c>
      <c r="F3024" s="22"/>
      <c r="H3024" s="5" t="e">
        <f ca="1">_xlfn.FORMULATEXT(표1[[#This Row],[Q''ty]])</f>
        <v>#N/A</v>
      </c>
    </row>
    <row r="3025" spans="1:8" ht="15" hidden="1" customHeight="1" x14ac:dyDescent="0.4">
      <c r="A3025" s="6">
        <v>2026</v>
      </c>
      <c r="B3025" s="6">
        <f t="shared" si="380"/>
        <v>31</v>
      </c>
      <c r="C3025" s="13" t="s">
        <v>25</v>
      </c>
      <c r="D3025" s="2" t="s">
        <v>12</v>
      </c>
      <c r="E3025" s="14" t="s">
        <v>16</v>
      </c>
      <c r="F3025" s="22"/>
      <c r="H3025" s="5" t="e">
        <f ca="1">_xlfn.FORMULATEXT(표1[[#This Row],[Q''ty]])</f>
        <v>#N/A</v>
      </c>
    </row>
    <row r="3026" spans="1:8" ht="15" hidden="1" customHeight="1" thickBot="1" x14ac:dyDescent="0.45">
      <c r="A3026" s="15">
        <v>2026</v>
      </c>
      <c r="B3026" s="15">
        <f t="shared" si="380"/>
        <v>31</v>
      </c>
      <c r="C3026" s="16" t="s">
        <v>25</v>
      </c>
      <c r="D3026" s="17" t="s">
        <v>12</v>
      </c>
      <c r="E3026" s="18" t="s">
        <v>17</v>
      </c>
      <c r="F3026" s="23"/>
      <c r="H3026" s="5" t="e">
        <f ca="1">_xlfn.FORMULATEXT(표1[[#This Row],[Q''ty]])</f>
        <v>#N/A</v>
      </c>
    </row>
    <row r="3027" spans="1:8" ht="15" hidden="1" customHeight="1" thickTop="1" x14ac:dyDescent="0.4">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4">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4">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4">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4">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4">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4">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4">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4">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4">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4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4">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4">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4">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4">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4">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4">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4">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4">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4">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4">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4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4">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4">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4">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4">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4">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4">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4">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4">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4">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4">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4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4">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4">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4">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4">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4">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4">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4">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4">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4">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4">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45">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4">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4">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4">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4">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4">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4">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4">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4">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4">
      <c r="A3079" s="6">
        <v>2026</v>
      </c>
      <c r="B3079" s="6">
        <f t="shared" si="393"/>
        <v>32</v>
      </c>
      <c r="C3079" s="13" t="s">
        <v>23</v>
      </c>
      <c r="D3079" s="2" t="s">
        <v>12</v>
      </c>
      <c r="E3079" s="14" t="s">
        <v>15</v>
      </c>
      <c r="F3079" s="22"/>
      <c r="H3079" s="5" t="e">
        <f ca="1">_xlfn.FORMULATEXT(표1[[#This Row],[Q''ty]])</f>
        <v>#N/A</v>
      </c>
    </row>
    <row r="3080" spans="1:10" ht="15" hidden="1" customHeight="1" x14ac:dyDescent="0.4">
      <c r="A3080" s="6">
        <v>2026</v>
      </c>
      <c r="B3080" s="6">
        <f t="shared" si="393"/>
        <v>32</v>
      </c>
      <c r="C3080" s="13" t="s">
        <v>23</v>
      </c>
      <c r="D3080" s="2" t="s">
        <v>12</v>
      </c>
      <c r="E3080" s="14" t="s">
        <v>16</v>
      </c>
      <c r="F3080" s="22"/>
      <c r="H3080" s="5" t="e">
        <f ca="1">_xlfn.FORMULATEXT(표1[[#This Row],[Q''ty]])</f>
        <v>#N/A</v>
      </c>
    </row>
    <row r="3081" spans="1:10" ht="15" hidden="1" customHeight="1" thickBot="1" x14ac:dyDescent="0.45">
      <c r="A3081" s="15">
        <v>2026</v>
      </c>
      <c r="B3081" s="15">
        <f t="shared" si="393"/>
        <v>32</v>
      </c>
      <c r="C3081" s="16" t="s">
        <v>23</v>
      </c>
      <c r="D3081" s="17" t="s">
        <v>12</v>
      </c>
      <c r="E3081" s="18" t="s">
        <v>17</v>
      </c>
      <c r="F3081" s="23"/>
      <c r="H3081" s="5" t="e">
        <f ca="1">_xlfn.FORMULATEXT(표1[[#This Row],[Q''ty]])</f>
        <v>#N/A</v>
      </c>
    </row>
    <row r="3082" spans="1:10" ht="15" hidden="1" customHeight="1" thickTop="1" x14ac:dyDescent="0.4">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4">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4">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4">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4">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4">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4">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4">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4">
      <c r="A3090" s="6">
        <v>2026</v>
      </c>
      <c r="B3090" s="6">
        <f t="shared" si="393"/>
        <v>32</v>
      </c>
      <c r="C3090" s="13" t="s">
        <v>24</v>
      </c>
      <c r="D3090" s="2" t="s">
        <v>12</v>
      </c>
      <c r="E3090" s="14" t="s">
        <v>15</v>
      </c>
      <c r="F3090" s="22"/>
      <c r="H3090" s="5" t="e">
        <f ca="1">_xlfn.FORMULATEXT(표1[[#This Row],[Q''ty]])</f>
        <v>#N/A</v>
      </c>
    </row>
    <row r="3091" spans="1:10" ht="15" hidden="1" customHeight="1" x14ac:dyDescent="0.4">
      <c r="A3091" s="6">
        <v>2026</v>
      </c>
      <c r="B3091" s="6">
        <f t="shared" si="393"/>
        <v>32</v>
      </c>
      <c r="C3091" s="13" t="s">
        <v>24</v>
      </c>
      <c r="D3091" s="2" t="s">
        <v>12</v>
      </c>
      <c r="E3091" s="14" t="s">
        <v>16</v>
      </c>
      <c r="F3091" s="22"/>
      <c r="H3091" s="5" t="e">
        <f ca="1">_xlfn.FORMULATEXT(표1[[#This Row],[Q''ty]])</f>
        <v>#N/A</v>
      </c>
    </row>
    <row r="3092" spans="1:10" ht="15" hidden="1" customHeight="1" thickBot="1" x14ac:dyDescent="0.45">
      <c r="A3092" s="15">
        <v>2026</v>
      </c>
      <c r="B3092" s="15">
        <f t="shared" si="393"/>
        <v>32</v>
      </c>
      <c r="C3092" s="16" t="s">
        <v>24</v>
      </c>
      <c r="D3092" s="17" t="s">
        <v>12</v>
      </c>
      <c r="E3092" s="18" t="s">
        <v>17</v>
      </c>
      <c r="F3092" s="23"/>
      <c r="H3092" s="5" t="e">
        <f ca="1">_xlfn.FORMULATEXT(표1[[#This Row],[Q''ty]])</f>
        <v>#N/A</v>
      </c>
    </row>
    <row r="3093" spans="1:10" ht="15" hidden="1" customHeight="1" thickTop="1" x14ac:dyDescent="0.4">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4">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4">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4">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4">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4">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4">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4">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4">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4">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4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4">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4">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4">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4">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4">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4">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4">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4">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4">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4">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4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4">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4">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4">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4">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4">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4">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4">
      <c r="A3121" s="6">
        <v>2026</v>
      </c>
      <c r="B3121" s="6">
        <f t="shared" si="393"/>
        <v>32</v>
      </c>
      <c r="C3121" s="13" t="s">
        <v>25</v>
      </c>
      <c r="D3121" s="2" t="s">
        <v>12</v>
      </c>
      <c r="E3121" s="14" t="s">
        <v>13</v>
      </c>
      <c r="F3121" s="22"/>
      <c r="H3121" s="5" t="e">
        <f ca="1">_xlfn.FORMULATEXT(표1[[#This Row],[Q''ty]])</f>
        <v>#N/A</v>
      </c>
    </row>
    <row r="3122" spans="1:8" ht="15" hidden="1" customHeight="1" x14ac:dyDescent="0.4">
      <c r="A3122" s="6">
        <v>2026</v>
      </c>
      <c r="B3122" s="6">
        <f t="shared" si="393"/>
        <v>32</v>
      </c>
      <c r="C3122" s="13" t="s">
        <v>25</v>
      </c>
      <c r="D3122" s="2" t="s">
        <v>12</v>
      </c>
      <c r="E3122" s="14" t="s">
        <v>14</v>
      </c>
      <c r="F3122" s="22"/>
      <c r="H3122" s="5" t="e">
        <f ca="1">_xlfn.FORMULATEXT(표1[[#This Row],[Q''ty]])</f>
        <v>#N/A</v>
      </c>
    </row>
    <row r="3123" spans="1:8" ht="15" hidden="1" customHeight="1" x14ac:dyDescent="0.4">
      <c r="A3123" s="6">
        <v>2026</v>
      </c>
      <c r="B3123" s="6">
        <f t="shared" si="393"/>
        <v>32</v>
      </c>
      <c r="C3123" s="13" t="s">
        <v>25</v>
      </c>
      <c r="D3123" s="2" t="s">
        <v>12</v>
      </c>
      <c r="E3123" s="14" t="s">
        <v>15</v>
      </c>
      <c r="F3123" s="22"/>
      <c r="H3123" s="5" t="e">
        <f ca="1">_xlfn.FORMULATEXT(표1[[#This Row],[Q''ty]])</f>
        <v>#N/A</v>
      </c>
    </row>
    <row r="3124" spans="1:8" ht="15" hidden="1" customHeight="1" x14ac:dyDescent="0.4">
      <c r="A3124" s="6">
        <v>2026</v>
      </c>
      <c r="B3124" s="6">
        <f t="shared" si="393"/>
        <v>32</v>
      </c>
      <c r="C3124" s="13" t="s">
        <v>25</v>
      </c>
      <c r="D3124" s="2" t="s">
        <v>12</v>
      </c>
      <c r="E3124" s="14" t="s">
        <v>16</v>
      </c>
      <c r="F3124" s="22"/>
      <c r="H3124" s="5" t="e">
        <f ca="1">_xlfn.FORMULATEXT(표1[[#This Row],[Q''ty]])</f>
        <v>#N/A</v>
      </c>
    </row>
    <row r="3125" spans="1:8" ht="15" hidden="1" customHeight="1" thickBot="1" x14ac:dyDescent="0.45">
      <c r="A3125" s="15">
        <v>2026</v>
      </c>
      <c r="B3125" s="15">
        <f t="shared" si="393"/>
        <v>32</v>
      </c>
      <c r="C3125" s="16" t="s">
        <v>25</v>
      </c>
      <c r="D3125" s="17" t="s">
        <v>12</v>
      </c>
      <c r="E3125" s="18" t="s">
        <v>17</v>
      </c>
      <c r="F3125" s="23"/>
      <c r="H3125" s="5" t="e">
        <f ca="1">_xlfn.FORMULATEXT(표1[[#This Row],[Q''ty]])</f>
        <v>#N/A</v>
      </c>
    </row>
    <row r="3126" spans="1:8" ht="15" hidden="1" customHeight="1" thickTop="1" x14ac:dyDescent="0.4">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4">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4">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4">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4">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4">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4">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4">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4">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4">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4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4">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4">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4">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4">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4">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4">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4">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4">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4">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4">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4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4">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4">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4">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4">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4">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4">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4">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4">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4">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4">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4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4">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4">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4">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4">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4">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4">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4">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4">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4">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4">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45">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4">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4">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4">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4">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4">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4">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4">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4">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4">
      <c r="A3178" s="6">
        <v>2026</v>
      </c>
      <c r="B3178" s="6">
        <f t="shared" si="406"/>
        <v>33</v>
      </c>
      <c r="C3178" s="13" t="s">
        <v>23</v>
      </c>
      <c r="D3178" s="2" t="s">
        <v>12</v>
      </c>
      <c r="E3178" s="14" t="s">
        <v>15</v>
      </c>
      <c r="F3178" s="22"/>
      <c r="H3178" s="5" t="e">
        <f ca="1">_xlfn.FORMULATEXT(표1[[#This Row],[Q''ty]])</f>
        <v>#N/A</v>
      </c>
    </row>
    <row r="3179" spans="1:10" ht="15" hidden="1" customHeight="1" x14ac:dyDescent="0.4">
      <c r="A3179" s="6">
        <v>2026</v>
      </c>
      <c r="B3179" s="6">
        <f t="shared" si="406"/>
        <v>33</v>
      </c>
      <c r="C3179" s="13" t="s">
        <v>23</v>
      </c>
      <c r="D3179" s="2" t="s">
        <v>12</v>
      </c>
      <c r="E3179" s="14" t="s">
        <v>16</v>
      </c>
      <c r="F3179" s="22"/>
      <c r="H3179" s="5" t="e">
        <f ca="1">_xlfn.FORMULATEXT(표1[[#This Row],[Q''ty]])</f>
        <v>#N/A</v>
      </c>
    </row>
    <row r="3180" spans="1:10" ht="15" hidden="1" customHeight="1" thickBot="1" x14ac:dyDescent="0.45">
      <c r="A3180" s="15">
        <v>2026</v>
      </c>
      <c r="B3180" s="15">
        <f t="shared" si="406"/>
        <v>33</v>
      </c>
      <c r="C3180" s="16" t="s">
        <v>23</v>
      </c>
      <c r="D3180" s="17" t="s">
        <v>12</v>
      </c>
      <c r="E3180" s="18" t="s">
        <v>17</v>
      </c>
      <c r="F3180" s="23"/>
      <c r="H3180" s="5" t="e">
        <f ca="1">_xlfn.FORMULATEXT(표1[[#This Row],[Q''ty]])</f>
        <v>#N/A</v>
      </c>
    </row>
    <row r="3181" spans="1:10" ht="15" hidden="1" customHeight="1" thickTop="1" x14ac:dyDescent="0.4">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4">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4">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4">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4">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4">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4">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4">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4">
      <c r="A3189" s="6">
        <v>2026</v>
      </c>
      <c r="B3189" s="6">
        <f t="shared" si="406"/>
        <v>33</v>
      </c>
      <c r="C3189" s="13" t="s">
        <v>24</v>
      </c>
      <c r="D3189" s="2" t="s">
        <v>12</v>
      </c>
      <c r="E3189" s="14" t="s">
        <v>15</v>
      </c>
      <c r="F3189" s="22"/>
      <c r="H3189" s="5" t="e">
        <f ca="1">_xlfn.FORMULATEXT(표1[[#This Row],[Q''ty]])</f>
        <v>#N/A</v>
      </c>
    </row>
    <row r="3190" spans="1:10" ht="15" hidden="1" customHeight="1" x14ac:dyDescent="0.4">
      <c r="A3190" s="6">
        <v>2026</v>
      </c>
      <c r="B3190" s="6">
        <f t="shared" si="406"/>
        <v>33</v>
      </c>
      <c r="C3190" s="13" t="s">
        <v>24</v>
      </c>
      <c r="D3190" s="2" t="s">
        <v>12</v>
      </c>
      <c r="E3190" s="14" t="s">
        <v>16</v>
      </c>
      <c r="F3190" s="22"/>
      <c r="H3190" s="5" t="e">
        <f ca="1">_xlfn.FORMULATEXT(표1[[#This Row],[Q''ty]])</f>
        <v>#N/A</v>
      </c>
    </row>
    <row r="3191" spans="1:10" ht="15" hidden="1" customHeight="1" thickBot="1" x14ac:dyDescent="0.45">
      <c r="A3191" s="15">
        <v>2026</v>
      </c>
      <c r="B3191" s="15">
        <f t="shared" si="406"/>
        <v>33</v>
      </c>
      <c r="C3191" s="16" t="s">
        <v>24</v>
      </c>
      <c r="D3191" s="17" t="s">
        <v>12</v>
      </c>
      <c r="E3191" s="18" t="s">
        <v>17</v>
      </c>
      <c r="F3191" s="23"/>
      <c r="H3191" s="5" t="e">
        <f ca="1">_xlfn.FORMULATEXT(표1[[#This Row],[Q''ty]])</f>
        <v>#N/A</v>
      </c>
    </row>
    <row r="3192" spans="1:10" ht="15" hidden="1" customHeight="1" thickTop="1" x14ac:dyDescent="0.4">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4">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4">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4">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4">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4">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4">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4">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4">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4">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4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4">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4">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4">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4">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4">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4">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4">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4">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4">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4">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4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4">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4">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4">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4">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4">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4">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4">
      <c r="A3220" s="6">
        <v>2026</v>
      </c>
      <c r="B3220" s="6">
        <f t="shared" si="406"/>
        <v>33</v>
      </c>
      <c r="C3220" s="13" t="s">
        <v>25</v>
      </c>
      <c r="D3220" s="2" t="s">
        <v>12</v>
      </c>
      <c r="E3220" s="14" t="s">
        <v>13</v>
      </c>
      <c r="F3220" s="22"/>
      <c r="H3220" s="5" t="e">
        <f ca="1">_xlfn.FORMULATEXT(표1[[#This Row],[Q''ty]])</f>
        <v>#N/A</v>
      </c>
    </row>
    <row r="3221" spans="1:8" ht="15" hidden="1" customHeight="1" x14ac:dyDescent="0.4">
      <c r="A3221" s="6">
        <v>2026</v>
      </c>
      <c r="B3221" s="6">
        <f t="shared" si="406"/>
        <v>33</v>
      </c>
      <c r="C3221" s="13" t="s">
        <v>25</v>
      </c>
      <c r="D3221" s="2" t="s">
        <v>12</v>
      </c>
      <c r="E3221" s="14" t="s">
        <v>14</v>
      </c>
      <c r="F3221" s="22"/>
      <c r="H3221" s="5" t="e">
        <f ca="1">_xlfn.FORMULATEXT(표1[[#This Row],[Q''ty]])</f>
        <v>#N/A</v>
      </c>
    </row>
    <row r="3222" spans="1:8" ht="15" hidden="1" customHeight="1" x14ac:dyDescent="0.4">
      <c r="A3222" s="6">
        <v>2026</v>
      </c>
      <c r="B3222" s="6">
        <f t="shared" si="406"/>
        <v>33</v>
      </c>
      <c r="C3222" s="13" t="s">
        <v>25</v>
      </c>
      <c r="D3222" s="2" t="s">
        <v>12</v>
      </c>
      <c r="E3222" s="14" t="s">
        <v>15</v>
      </c>
      <c r="F3222" s="22"/>
      <c r="H3222" s="5" t="e">
        <f ca="1">_xlfn.FORMULATEXT(표1[[#This Row],[Q''ty]])</f>
        <v>#N/A</v>
      </c>
    </row>
    <row r="3223" spans="1:8" ht="15" hidden="1" customHeight="1" x14ac:dyDescent="0.4">
      <c r="A3223" s="6">
        <v>2026</v>
      </c>
      <c r="B3223" s="6">
        <f t="shared" si="406"/>
        <v>33</v>
      </c>
      <c r="C3223" s="13" t="s">
        <v>25</v>
      </c>
      <c r="D3223" s="2" t="s">
        <v>12</v>
      </c>
      <c r="E3223" s="14" t="s">
        <v>16</v>
      </c>
      <c r="F3223" s="22"/>
      <c r="H3223" s="5" t="e">
        <f ca="1">_xlfn.FORMULATEXT(표1[[#This Row],[Q''ty]])</f>
        <v>#N/A</v>
      </c>
    </row>
    <row r="3224" spans="1:8" ht="15" hidden="1" customHeight="1" thickBot="1" x14ac:dyDescent="0.45">
      <c r="A3224" s="15">
        <v>2026</v>
      </c>
      <c r="B3224" s="15">
        <f t="shared" si="406"/>
        <v>33</v>
      </c>
      <c r="C3224" s="16" t="s">
        <v>25</v>
      </c>
      <c r="D3224" s="17" t="s">
        <v>12</v>
      </c>
      <c r="E3224" s="18" t="s">
        <v>17</v>
      </c>
      <c r="F3224" s="23"/>
      <c r="H3224" s="5" t="e">
        <f ca="1">_xlfn.FORMULATEXT(표1[[#This Row],[Q''ty]])</f>
        <v>#N/A</v>
      </c>
    </row>
    <row r="3225" spans="1:8" ht="15" hidden="1" customHeight="1" thickTop="1" x14ac:dyDescent="0.4">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4">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4">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4">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4">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4">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4">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4">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4">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4">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4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4">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4">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4">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4">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4">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4">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4">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4">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4">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4">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4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4">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4">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4">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4">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4">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4">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4">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4">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4">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4">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4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4">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4">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4">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4">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4">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4">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4">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4">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4">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4">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45">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4">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4">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4">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4">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4">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4">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4">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4">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4">
      <c r="A3277" s="6">
        <v>2026</v>
      </c>
      <c r="B3277" s="6">
        <f t="shared" si="419"/>
        <v>34</v>
      </c>
      <c r="C3277" s="13" t="s">
        <v>23</v>
      </c>
      <c r="D3277" s="2" t="s">
        <v>12</v>
      </c>
      <c r="E3277" s="14" t="s">
        <v>15</v>
      </c>
      <c r="F3277" s="22"/>
      <c r="H3277" s="5" t="e">
        <f ca="1">_xlfn.FORMULATEXT(표1[[#This Row],[Q''ty]])</f>
        <v>#N/A</v>
      </c>
    </row>
    <row r="3278" spans="1:10" ht="15" hidden="1" customHeight="1" x14ac:dyDescent="0.4">
      <c r="A3278" s="6">
        <v>2026</v>
      </c>
      <c r="B3278" s="6">
        <f t="shared" si="419"/>
        <v>34</v>
      </c>
      <c r="C3278" s="13" t="s">
        <v>23</v>
      </c>
      <c r="D3278" s="2" t="s">
        <v>12</v>
      </c>
      <c r="E3278" s="14" t="s">
        <v>16</v>
      </c>
      <c r="F3278" s="22"/>
      <c r="H3278" s="5" t="e">
        <f ca="1">_xlfn.FORMULATEXT(표1[[#This Row],[Q''ty]])</f>
        <v>#N/A</v>
      </c>
    </row>
    <row r="3279" spans="1:10" ht="15" hidden="1" customHeight="1" thickBot="1" x14ac:dyDescent="0.45">
      <c r="A3279" s="15">
        <v>2026</v>
      </c>
      <c r="B3279" s="15">
        <f t="shared" si="419"/>
        <v>34</v>
      </c>
      <c r="C3279" s="16" t="s">
        <v>23</v>
      </c>
      <c r="D3279" s="17" t="s">
        <v>12</v>
      </c>
      <c r="E3279" s="18" t="s">
        <v>17</v>
      </c>
      <c r="F3279" s="23"/>
      <c r="H3279" s="5" t="e">
        <f ca="1">_xlfn.FORMULATEXT(표1[[#This Row],[Q''ty]])</f>
        <v>#N/A</v>
      </c>
    </row>
    <row r="3280" spans="1:10" ht="15" hidden="1" customHeight="1" thickTop="1" x14ac:dyDescent="0.4">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4">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4">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4">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4">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4">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4">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4">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4">
      <c r="A3288" s="6">
        <v>2026</v>
      </c>
      <c r="B3288" s="6">
        <f t="shared" si="419"/>
        <v>34</v>
      </c>
      <c r="C3288" s="13" t="s">
        <v>24</v>
      </c>
      <c r="D3288" s="2" t="s">
        <v>12</v>
      </c>
      <c r="E3288" s="14" t="s">
        <v>15</v>
      </c>
      <c r="F3288" s="22"/>
      <c r="H3288" s="5" t="e">
        <f ca="1">_xlfn.FORMULATEXT(표1[[#This Row],[Q''ty]])</f>
        <v>#N/A</v>
      </c>
    </row>
    <row r="3289" spans="1:10" ht="15" hidden="1" customHeight="1" x14ac:dyDescent="0.4">
      <c r="A3289" s="6">
        <v>2026</v>
      </c>
      <c r="B3289" s="6">
        <f t="shared" si="419"/>
        <v>34</v>
      </c>
      <c r="C3289" s="13" t="s">
        <v>24</v>
      </c>
      <c r="D3289" s="2" t="s">
        <v>12</v>
      </c>
      <c r="E3289" s="14" t="s">
        <v>16</v>
      </c>
      <c r="F3289" s="22"/>
      <c r="H3289" s="5" t="e">
        <f ca="1">_xlfn.FORMULATEXT(표1[[#This Row],[Q''ty]])</f>
        <v>#N/A</v>
      </c>
    </row>
    <row r="3290" spans="1:10" ht="15" hidden="1" customHeight="1" thickBot="1" x14ac:dyDescent="0.45">
      <c r="A3290" s="15">
        <v>2026</v>
      </c>
      <c r="B3290" s="15">
        <f t="shared" si="419"/>
        <v>34</v>
      </c>
      <c r="C3290" s="16" t="s">
        <v>24</v>
      </c>
      <c r="D3290" s="17" t="s">
        <v>12</v>
      </c>
      <c r="E3290" s="18" t="s">
        <v>17</v>
      </c>
      <c r="F3290" s="23"/>
      <c r="H3290" s="5" t="e">
        <f ca="1">_xlfn.FORMULATEXT(표1[[#This Row],[Q''ty]])</f>
        <v>#N/A</v>
      </c>
    </row>
    <row r="3291" spans="1:10" ht="15" hidden="1" customHeight="1" thickTop="1" x14ac:dyDescent="0.4">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4">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4">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4">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4">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4">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4">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4">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4">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4">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4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4">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4">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4">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4">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4">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4">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4">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4">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4">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4">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4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4">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4">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4">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4">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4">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4">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4">
      <c r="A3319" s="6">
        <v>2026</v>
      </c>
      <c r="B3319" s="6">
        <f t="shared" si="419"/>
        <v>34</v>
      </c>
      <c r="C3319" s="13" t="s">
        <v>25</v>
      </c>
      <c r="D3319" s="2" t="s">
        <v>12</v>
      </c>
      <c r="E3319" s="14" t="s">
        <v>13</v>
      </c>
      <c r="F3319" s="22"/>
      <c r="H3319" s="5" t="e">
        <f ca="1">_xlfn.FORMULATEXT(표1[[#This Row],[Q''ty]])</f>
        <v>#N/A</v>
      </c>
    </row>
    <row r="3320" spans="1:8" ht="15" hidden="1" customHeight="1" x14ac:dyDescent="0.4">
      <c r="A3320" s="6">
        <v>2026</v>
      </c>
      <c r="B3320" s="6">
        <f t="shared" si="419"/>
        <v>34</v>
      </c>
      <c r="C3320" s="13" t="s">
        <v>25</v>
      </c>
      <c r="D3320" s="2" t="s">
        <v>12</v>
      </c>
      <c r="E3320" s="14" t="s">
        <v>14</v>
      </c>
      <c r="F3320" s="22"/>
      <c r="H3320" s="5" t="e">
        <f ca="1">_xlfn.FORMULATEXT(표1[[#This Row],[Q''ty]])</f>
        <v>#N/A</v>
      </c>
    </row>
    <row r="3321" spans="1:8" ht="15" hidden="1" customHeight="1" x14ac:dyDescent="0.4">
      <c r="A3321" s="6">
        <v>2026</v>
      </c>
      <c r="B3321" s="6">
        <f t="shared" si="419"/>
        <v>34</v>
      </c>
      <c r="C3321" s="13" t="s">
        <v>25</v>
      </c>
      <c r="D3321" s="2" t="s">
        <v>12</v>
      </c>
      <c r="E3321" s="14" t="s">
        <v>15</v>
      </c>
      <c r="F3321" s="22"/>
      <c r="H3321" s="5" t="e">
        <f ca="1">_xlfn.FORMULATEXT(표1[[#This Row],[Q''ty]])</f>
        <v>#N/A</v>
      </c>
    </row>
    <row r="3322" spans="1:8" ht="15" hidden="1" customHeight="1" x14ac:dyDescent="0.4">
      <c r="A3322" s="6">
        <v>2026</v>
      </c>
      <c r="B3322" s="6">
        <f t="shared" si="419"/>
        <v>34</v>
      </c>
      <c r="C3322" s="13" t="s">
        <v>25</v>
      </c>
      <c r="D3322" s="2" t="s">
        <v>12</v>
      </c>
      <c r="E3322" s="14" t="s">
        <v>16</v>
      </c>
      <c r="F3322" s="22"/>
      <c r="H3322" s="5" t="e">
        <f ca="1">_xlfn.FORMULATEXT(표1[[#This Row],[Q''ty]])</f>
        <v>#N/A</v>
      </c>
    </row>
    <row r="3323" spans="1:8" ht="15" hidden="1" customHeight="1" thickBot="1" x14ac:dyDescent="0.45">
      <c r="A3323" s="15">
        <v>2026</v>
      </c>
      <c r="B3323" s="15">
        <f t="shared" si="419"/>
        <v>34</v>
      </c>
      <c r="C3323" s="16" t="s">
        <v>25</v>
      </c>
      <c r="D3323" s="17" t="s">
        <v>12</v>
      </c>
      <c r="E3323" s="18" t="s">
        <v>17</v>
      </c>
      <c r="F3323" s="23"/>
      <c r="H3323" s="5" t="e">
        <f ca="1">_xlfn.FORMULATEXT(표1[[#This Row],[Q''ty]])</f>
        <v>#N/A</v>
      </c>
    </row>
    <row r="3324" spans="1:8" ht="15" hidden="1" customHeight="1" thickTop="1" x14ac:dyDescent="0.4">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4">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4">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4">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4">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4">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4">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4">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4">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4">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4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4">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4">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4">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4">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4">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4">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4">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4">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4">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4">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4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4">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4">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4">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4">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4">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4">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4">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4">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4">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4">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4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4">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4">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4">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4">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4">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4">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4">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4">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4">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4">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45">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4">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4">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4">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4">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4">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4">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4">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4">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4">
      <c r="A3376" s="6">
        <v>2026</v>
      </c>
      <c r="B3376" s="6">
        <f t="shared" si="432"/>
        <v>35</v>
      </c>
      <c r="C3376" s="13" t="s">
        <v>23</v>
      </c>
      <c r="D3376" s="2" t="s">
        <v>12</v>
      </c>
      <c r="E3376" s="14" t="s">
        <v>15</v>
      </c>
      <c r="F3376" s="22"/>
      <c r="H3376" s="5" t="e">
        <f ca="1">_xlfn.FORMULATEXT(표1[[#This Row],[Q''ty]])</f>
        <v>#N/A</v>
      </c>
    </row>
    <row r="3377" spans="1:10" ht="15" hidden="1" customHeight="1" x14ac:dyDescent="0.4">
      <c r="A3377" s="6">
        <v>2026</v>
      </c>
      <c r="B3377" s="6">
        <f t="shared" si="432"/>
        <v>35</v>
      </c>
      <c r="C3377" s="13" t="s">
        <v>23</v>
      </c>
      <c r="D3377" s="2" t="s">
        <v>12</v>
      </c>
      <c r="E3377" s="14" t="s">
        <v>16</v>
      </c>
      <c r="F3377" s="22"/>
      <c r="H3377" s="5" t="e">
        <f ca="1">_xlfn.FORMULATEXT(표1[[#This Row],[Q''ty]])</f>
        <v>#N/A</v>
      </c>
    </row>
    <row r="3378" spans="1:10" ht="15" hidden="1" customHeight="1" thickBot="1" x14ac:dyDescent="0.45">
      <c r="A3378" s="15">
        <v>2026</v>
      </c>
      <c r="B3378" s="15">
        <f t="shared" si="432"/>
        <v>35</v>
      </c>
      <c r="C3378" s="16" t="s">
        <v>23</v>
      </c>
      <c r="D3378" s="17" t="s">
        <v>12</v>
      </c>
      <c r="E3378" s="18" t="s">
        <v>17</v>
      </c>
      <c r="F3378" s="23"/>
      <c r="H3378" s="5" t="e">
        <f ca="1">_xlfn.FORMULATEXT(표1[[#This Row],[Q''ty]])</f>
        <v>#N/A</v>
      </c>
    </row>
    <row r="3379" spans="1:10" ht="15" hidden="1" customHeight="1" thickTop="1" x14ac:dyDescent="0.4">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4">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4">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4">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4">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4">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4">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4">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4">
      <c r="A3387" s="6">
        <v>2026</v>
      </c>
      <c r="B3387" s="6">
        <f t="shared" si="432"/>
        <v>35</v>
      </c>
      <c r="C3387" s="13" t="s">
        <v>24</v>
      </c>
      <c r="D3387" s="2" t="s">
        <v>12</v>
      </c>
      <c r="E3387" s="14" t="s">
        <v>15</v>
      </c>
      <c r="F3387" s="22"/>
      <c r="H3387" s="5" t="e">
        <f ca="1">_xlfn.FORMULATEXT(표1[[#This Row],[Q''ty]])</f>
        <v>#N/A</v>
      </c>
    </row>
    <row r="3388" spans="1:10" ht="15" hidden="1" customHeight="1" x14ac:dyDescent="0.4">
      <c r="A3388" s="6">
        <v>2026</v>
      </c>
      <c r="B3388" s="6">
        <f t="shared" si="432"/>
        <v>35</v>
      </c>
      <c r="C3388" s="13" t="s">
        <v>24</v>
      </c>
      <c r="D3388" s="2" t="s">
        <v>12</v>
      </c>
      <c r="E3388" s="14" t="s">
        <v>16</v>
      </c>
      <c r="F3388" s="22"/>
      <c r="H3388" s="5" t="e">
        <f ca="1">_xlfn.FORMULATEXT(표1[[#This Row],[Q''ty]])</f>
        <v>#N/A</v>
      </c>
    </row>
    <row r="3389" spans="1:10" ht="15" hidden="1" customHeight="1" thickBot="1" x14ac:dyDescent="0.45">
      <c r="A3389" s="15">
        <v>2026</v>
      </c>
      <c r="B3389" s="15">
        <f t="shared" si="432"/>
        <v>35</v>
      </c>
      <c r="C3389" s="16" t="s">
        <v>24</v>
      </c>
      <c r="D3389" s="17" t="s">
        <v>12</v>
      </c>
      <c r="E3389" s="18" t="s">
        <v>17</v>
      </c>
      <c r="F3389" s="23"/>
      <c r="H3389" s="5" t="e">
        <f ca="1">_xlfn.FORMULATEXT(표1[[#This Row],[Q''ty]])</f>
        <v>#N/A</v>
      </c>
    </row>
    <row r="3390" spans="1:10" ht="15" hidden="1" customHeight="1" thickTop="1" x14ac:dyDescent="0.4">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4">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4">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4">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4">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4">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4">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4">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4">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4">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4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4">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4">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4">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4">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4">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4">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4">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4">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4">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4">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4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4">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4">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4">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4">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4">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4">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4">
      <c r="A3418" s="6">
        <v>2026</v>
      </c>
      <c r="B3418" s="6">
        <f t="shared" si="432"/>
        <v>35</v>
      </c>
      <c r="C3418" s="13" t="s">
        <v>25</v>
      </c>
      <c r="D3418" s="2" t="s">
        <v>12</v>
      </c>
      <c r="E3418" s="14" t="s">
        <v>13</v>
      </c>
      <c r="F3418" s="22"/>
      <c r="H3418" s="5" t="e">
        <f ca="1">_xlfn.FORMULATEXT(표1[[#This Row],[Q''ty]])</f>
        <v>#N/A</v>
      </c>
    </row>
    <row r="3419" spans="1:8" ht="15" hidden="1" customHeight="1" x14ac:dyDescent="0.4">
      <c r="A3419" s="6">
        <v>2026</v>
      </c>
      <c r="B3419" s="6">
        <f t="shared" si="432"/>
        <v>35</v>
      </c>
      <c r="C3419" s="13" t="s">
        <v>25</v>
      </c>
      <c r="D3419" s="2" t="s">
        <v>12</v>
      </c>
      <c r="E3419" s="14" t="s">
        <v>14</v>
      </c>
      <c r="F3419" s="22"/>
      <c r="H3419" s="5" t="e">
        <f ca="1">_xlfn.FORMULATEXT(표1[[#This Row],[Q''ty]])</f>
        <v>#N/A</v>
      </c>
    </row>
    <row r="3420" spans="1:8" ht="15" hidden="1" customHeight="1" x14ac:dyDescent="0.4">
      <c r="A3420" s="6">
        <v>2026</v>
      </c>
      <c r="B3420" s="6">
        <f t="shared" si="432"/>
        <v>35</v>
      </c>
      <c r="C3420" s="13" t="s">
        <v>25</v>
      </c>
      <c r="D3420" s="2" t="s">
        <v>12</v>
      </c>
      <c r="E3420" s="14" t="s">
        <v>15</v>
      </c>
      <c r="F3420" s="22"/>
      <c r="H3420" s="5" t="e">
        <f ca="1">_xlfn.FORMULATEXT(표1[[#This Row],[Q''ty]])</f>
        <v>#N/A</v>
      </c>
    </row>
    <row r="3421" spans="1:8" ht="15" hidden="1" customHeight="1" x14ac:dyDescent="0.4">
      <c r="A3421" s="6">
        <v>2026</v>
      </c>
      <c r="B3421" s="6">
        <f t="shared" si="432"/>
        <v>35</v>
      </c>
      <c r="C3421" s="13" t="s">
        <v>25</v>
      </c>
      <c r="D3421" s="2" t="s">
        <v>12</v>
      </c>
      <c r="E3421" s="14" t="s">
        <v>16</v>
      </c>
      <c r="F3421" s="22"/>
      <c r="H3421" s="5" t="e">
        <f ca="1">_xlfn.FORMULATEXT(표1[[#This Row],[Q''ty]])</f>
        <v>#N/A</v>
      </c>
    </row>
    <row r="3422" spans="1:8" ht="15" hidden="1" customHeight="1" thickBot="1" x14ac:dyDescent="0.45">
      <c r="A3422" s="15">
        <v>2026</v>
      </c>
      <c r="B3422" s="15">
        <f t="shared" si="432"/>
        <v>35</v>
      </c>
      <c r="C3422" s="16" t="s">
        <v>25</v>
      </c>
      <c r="D3422" s="17" t="s">
        <v>12</v>
      </c>
      <c r="E3422" s="18" t="s">
        <v>17</v>
      </c>
      <c r="F3422" s="23"/>
      <c r="H3422" s="5" t="e">
        <f ca="1">_xlfn.FORMULATEXT(표1[[#This Row],[Q''ty]])</f>
        <v>#N/A</v>
      </c>
    </row>
    <row r="3423" spans="1:8" ht="15" hidden="1" customHeight="1" thickTop="1" x14ac:dyDescent="0.4">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4">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4">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4">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4">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4">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4">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4">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4">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4">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4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4">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4">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4">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4">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4">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4">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4">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4">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4">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4">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4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4">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4">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4">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4">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4">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4">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4">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4">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4">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4">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4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4">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4">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4">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4">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4">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4">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4">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4">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4">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4">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45">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4">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4">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4">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4">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4">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4">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4">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4">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4">
      <c r="A3475" s="6">
        <v>2026</v>
      </c>
      <c r="B3475" s="6">
        <f t="shared" si="445"/>
        <v>36</v>
      </c>
      <c r="C3475" s="13" t="s">
        <v>23</v>
      </c>
      <c r="D3475" s="2" t="s">
        <v>12</v>
      </c>
      <c r="E3475" s="14" t="s">
        <v>15</v>
      </c>
      <c r="F3475" s="22"/>
      <c r="H3475" s="5" t="e">
        <f ca="1">_xlfn.FORMULATEXT(표1[[#This Row],[Q''ty]])</f>
        <v>#N/A</v>
      </c>
    </row>
    <row r="3476" spans="1:10" ht="15" hidden="1" customHeight="1" x14ac:dyDescent="0.4">
      <c r="A3476" s="6">
        <v>2026</v>
      </c>
      <c r="B3476" s="6">
        <f t="shared" si="445"/>
        <v>36</v>
      </c>
      <c r="C3476" s="13" t="s">
        <v>23</v>
      </c>
      <c r="D3476" s="2" t="s">
        <v>12</v>
      </c>
      <c r="E3476" s="14" t="s">
        <v>16</v>
      </c>
      <c r="F3476" s="22"/>
      <c r="H3476" s="5" t="e">
        <f ca="1">_xlfn.FORMULATEXT(표1[[#This Row],[Q''ty]])</f>
        <v>#N/A</v>
      </c>
    </row>
    <row r="3477" spans="1:10" ht="15" hidden="1" customHeight="1" thickBot="1" x14ac:dyDescent="0.45">
      <c r="A3477" s="15">
        <v>2026</v>
      </c>
      <c r="B3477" s="15">
        <f t="shared" si="445"/>
        <v>36</v>
      </c>
      <c r="C3477" s="16" t="s">
        <v>23</v>
      </c>
      <c r="D3477" s="17" t="s">
        <v>12</v>
      </c>
      <c r="E3477" s="18" t="s">
        <v>17</v>
      </c>
      <c r="F3477" s="23"/>
      <c r="H3477" s="5" t="e">
        <f ca="1">_xlfn.FORMULATEXT(표1[[#This Row],[Q''ty]])</f>
        <v>#N/A</v>
      </c>
    </row>
    <row r="3478" spans="1:10" ht="15" hidden="1" customHeight="1" thickTop="1" x14ac:dyDescent="0.4">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4">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4">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4">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4">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4">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4">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4">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4">
      <c r="A3486" s="6">
        <v>2026</v>
      </c>
      <c r="B3486" s="6">
        <f t="shared" si="445"/>
        <v>36</v>
      </c>
      <c r="C3486" s="13" t="s">
        <v>24</v>
      </c>
      <c r="D3486" s="2" t="s">
        <v>12</v>
      </c>
      <c r="E3486" s="14" t="s">
        <v>15</v>
      </c>
      <c r="F3486" s="22"/>
      <c r="H3486" s="5" t="e">
        <f ca="1">_xlfn.FORMULATEXT(표1[[#This Row],[Q''ty]])</f>
        <v>#N/A</v>
      </c>
    </row>
    <row r="3487" spans="1:10" ht="15" hidden="1" customHeight="1" x14ac:dyDescent="0.4">
      <c r="A3487" s="6">
        <v>2026</v>
      </c>
      <c r="B3487" s="6">
        <f t="shared" si="445"/>
        <v>36</v>
      </c>
      <c r="C3487" s="13" t="s">
        <v>24</v>
      </c>
      <c r="D3487" s="2" t="s">
        <v>12</v>
      </c>
      <c r="E3487" s="14" t="s">
        <v>16</v>
      </c>
      <c r="F3487" s="22"/>
      <c r="H3487" s="5" t="e">
        <f ca="1">_xlfn.FORMULATEXT(표1[[#This Row],[Q''ty]])</f>
        <v>#N/A</v>
      </c>
    </row>
    <row r="3488" spans="1:10" ht="15" hidden="1" customHeight="1" thickBot="1" x14ac:dyDescent="0.45">
      <c r="A3488" s="15">
        <v>2026</v>
      </c>
      <c r="B3488" s="15">
        <f t="shared" si="445"/>
        <v>36</v>
      </c>
      <c r="C3488" s="16" t="s">
        <v>24</v>
      </c>
      <c r="D3488" s="17" t="s">
        <v>12</v>
      </c>
      <c r="E3488" s="18" t="s">
        <v>17</v>
      </c>
      <c r="F3488" s="23"/>
      <c r="H3488" s="5" t="e">
        <f ca="1">_xlfn.FORMULATEXT(표1[[#This Row],[Q''ty]])</f>
        <v>#N/A</v>
      </c>
    </row>
    <row r="3489" spans="1:8" ht="15" hidden="1" customHeight="1" thickTop="1" x14ac:dyDescent="0.4">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4">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4">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4">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4">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4">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4">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4">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4">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4">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4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4">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4">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4">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4">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4">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4">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4">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4">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4">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4">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4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4">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4">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4">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4">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4">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4">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4">
      <c r="A3517" s="6">
        <v>2026</v>
      </c>
      <c r="B3517" s="6">
        <f t="shared" si="445"/>
        <v>36</v>
      </c>
      <c r="C3517" s="13" t="s">
        <v>25</v>
      </c>
      <c r="D3517" s="2" t="s">
        <v>12</v>
      </c>
      <c r="E3517" s="14" t="s">
        <v>13</v>
      </c>
      <c r="F3517" s="22"/>
      <c r="H3517" s="5" t="e">
        <f ca="1">_xlfn.FORMULATEXT(표1[[#This Row],[Q''ty]])</f>
        <v>#N/A</v>
      </c>
    </row>
    <row r="3518" spans="1:8" ht="15" hidden="1" customHeight="1" x14ac:dyDescent="0.4">
      <c r="A3518" s="6">
        <v>2026</v>
      </c>
      <c r="B3518" s="6">
        <f t="shared" si="445"/>
        <v>36</v>
      </c>
      <c r="C3518" s="13" t="s">
        <v>25</v>
      </c>
      <c r="D3518" s="2" t="s">
        <v>12</v>
      </c>
      <c r="E3518" s="14" t="s">
        <v>14</v>
      </c>
      <c r="F3518" s="22"/>
      <c r="H3518" s="5" t="e">
        <f ca="1">_xlfn.FORMULATEXT(표1[[#This Row],[Q''ty]])</f>
        <v>#N/A</v>
      </c>
    </row>
    <row r="3519" spans="1:8" ht="15" hidden="1" customHeight="1" x14ac:dyDescent="0.4">
      <c r="A3519" s="6">
        <v>2026</v>
      </c>
      <c r="B3519" s="6">
        <f t="shared" si="445"/>
        <v>36</v>
      </c>
      <c r="C3519" s="13" t="s">
        <v>25</v>
      </c>
      <c r="D3519" s="2" t="s">
        <v>12</v>
      </c>
      <c r="E3519" s="14" t="s">
        <v>15</v>
      </c>
      <c r="F3519" s="22"/>
      <c r="H3519" s="5" t="e">
        <f ca="1">_xlfn.FORMULATEXT(표1[[#This Row],[Q''ty]])</f>
        <v>#N/A</v>
      </c>
    </row>
    <row r="3520" spans="1:8" ht="15" hidden="1" customHeight="1" x14ac:dyDescent="0.4">
      <c r="A3520" s="6">
        <v>2026</v>
      </c>
      <c r="B3520" s="6">
        <f t="shared" si="445"/>
        <v>36</v>
      </c>
      <c r="C3520" s="13" t="s">
        <v>25</v>
      </c>
      <c r="D3520" s="2" t="s">
        <v>12</v>
      </c>
      <c r="E3520" s="14" t="s">
        <v>16</v>
      </c>
      <c r="F3520" s="22"/>
      <c r="H3520" s="5" t="e">
        <f ca="1">_xlfn.FORMULATEXT(표1[[#This Row],[Q''ty]])</f>
        <v>#N/A</v>
      </c>
    </row>
    <row r="3521" spans="1:8" ht="15" hidden="1" customHeight="1" thickBot="1" x14ac:dyDescent="0.45">
      <c r="A3521" s="15">
        <v>2026</v>
      </c>
      <c r="B3521" s="15">
        <f t="shared" si="445"/>
        <v>36</v>
      </c>
      <c r="C3521" s="16" t="s">
        <v>25</v>
      </c>
      <c r="D3521" s="17" t="s">
        <v>12</v>
      </c>
      <c r="E3521" s="18" t="s">
        <v>17</v>
      </c>
      <c r="F3521" s="23"/>
      <c r="H3521" s="5" t="e">
        <f ca="1">_xlfn.FORMULATEXT(표1[[#This Row],[Q''ty]])</f>
        <v>#N/A</v>
      </c>
    </row>
    <row r="3522" spans="1:8" ht="15" hidden="1" customHeight="1" thickTop="1" x14ac:dyDescent="0.4">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4">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4">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4">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4">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4">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4">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4">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4">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4">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4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4">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4">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4">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4">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4">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4">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4">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4">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4">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4">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4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4">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4">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4">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4">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4">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4">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4">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4">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4">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4">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4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4">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4">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4">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4">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4">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4">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4">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4">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4">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4">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45">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4">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4">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4">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4">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4">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4">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4">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4">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4">
      <c r="A3574" s="6">
        <v>2026</v>
      </c>
      <c r="B3574" s="6">
        <f t="shared" si="458"/>
        <v>37</v>
      </c>
      <c r="C3574" s="13" t="s">
        <v>23</v>
      </c>
      <c r="D3574" s="2" t="s">
        <v>12</v>
      </c>
      <c r="E3574" s="14" t="s">
        <v>15</v>
      </c>
      <c r="F3574" s="22"/>
      <c r="H3574" s="5" t="e">
        <f ca="1">_xlfn.FORMULATEXT(표1[[#This Row],[Q''ty]])</f>
        <v>#N/A</v>
      </c>
    </row>
    <row r="3575" spans="1:10" ht="15" hidden="1" customHeight="1" x14ac:dyDescent="0.4">
      <c r="A3575" s="6">
        <v>2026</v>
      </c>
      <c r="B3575" s="6">
        <f t="shared" si="458"/>
        <v>37</v>
      </c>
      <c r="C3575" s="13" t="s">
        <v>23</v>
      </c>
      <c r="D3575" s="2" t="s">
        <v>12</v>
      </c>
      <c r="E3575" s="14" t="s">
        <v>16</v>
      </c>
      <c r="F3575" s="22"/>
      <c r="H3575" s="5" t="e">
        <f ca="1">_xlfn.FORMULATEXT(표1[[#This Row],[Q''ty]])</f>
        <v>#N/A</v>
      </c>
    </row>
    <row r="3576" spans="1:10" ht="15" hidden="1" customHeight="1" thickBot="1" x14ac:dyDescent="0.45">
      <c r="A3576" s="15">
        <v>2026</v>
      </c>
      <c r="B3576" s="15">
        <f t="shared" si="458"/>
        <v>37</v>
      </c>
      <c r="C3576" s="16" t="s">
        <v>23</v>
      </c>
      <c r="D3576" s="17" t="s">
        <v>12</v>
      </c>
      <c r="E3576" s="18" t="s">
        <v>17</v>
      </c>
      <c r="F3576" s="23"/>
      <c r="H3576" s="5" t="e">
        <f ca="1">_xlfn.FORMULATEXT(표1[[#This Row],[Q''ty]])</f>
        <v>#N/A</v>
      </c>
    </row>
    <row r="3577" spans="1:10" ht="15" hidden="1" customHeight="1" thickTop="1" x14ac:dyDescent="0.4">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4">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4">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4">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4">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4">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4">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4">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4">
      <c r="A3585" s="6">
        <v>2026</v>
      </c>
      <c r="B3585" s="6">
        <f t="shared" si="458"/>
        <v>37</v>
      </c>
      <c r="C3585" s="13" t="s">
        <v>24</v>
      </c>
      <c r="D3585" s="2" t="s">
        <v>12</v>
      </c>
      <c r="E3585" s="14" t="s">
        <v>15</v>
      </c>
      <c r="F3585" s="22"/>
      <c r="H3585" s="5" t="e">
        <f ca="1">_xlfn.FORMULATEXT(표1[[#This Row],[Q''ty]])</f>
        <v>#N/A</v>
      </c>
    </row>
    <row r="3586" spans="1:8" ht="15" hidden="1" customHeight="1" x14ac:dyDescent="0.4">
      <c r="A3586" s="6">
        <v>2026</v>
      </c>
      <c r="B3586" s="6">
        <f t="shared" si="458"/>
        <v>37</v>
      </c>
      <c r="C3586" s="13" t="s">
        <v>24</v>
      </c>
      <c r="D3586" s="2" t="s">
        <v>12</v>
      </c>
      <c r="E3586" s="14" t="s">
        <v>16</v>
      </c>
      <c r="F3586" s="22"/>
      <c r="H3586" s="5" t="e">
        <f ca="1">_xlfn.FORMULATEXT(표1[[#This Row],[Q''ty]])</f>
        <v>#N/A</v>
      </c>
    </row>
    <row r="3587" spans="1:8" ht="15" hidden="1" customHeight="1" thickBot="1" x14ac:dyDescent="0.45">
      <c r="A3587" s="15">
        <v>2026</v>
      </c>
      <c r="B3587" s="15">
        <f t="shared" si="458"/>
        <v>37</v>
      </c>
      <c r="C3587" s="16" t="s">
        <v>24</v>
      </c>
      <c r="D3587" s="17" t="s">
        <v>12</v>
      </c>
      <c r="E3587" s="18" t="s">
        <v>17</v>
      </c>
      <c r="F3587" s="23"/>
      <c r="H3587" s="5" t="e">
        <f ca="1">_xlfn.FORMULATEXT(표1[[#This Row],[Q''ty]])</f>
        <v>#N/A</v>
      </c>
    </row>
    <row r="3588" spans="1:8" ht="15" hidden="1" customHeight="1" thickTop="1" x14ac:dyDescent="0.4">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4">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4">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4">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4">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4">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4">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4">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4">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4">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4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4">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4">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4">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4">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4">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4">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4">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4">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4">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4">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4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4">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4">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4">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4">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4">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4">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4">
      <c r="A3616" s="6">
        <v>2026</v>
      </c>
      <c r="B3616" s="6">
        <f t="shared" si="458"/>
        <v>37</v>
      </c>
      <c r="C3616" s="13" t="s">
        <v>25</v>
      </c>
      <c r="D3616" s="2" t="s">
        <v>12</v>
      </c>
      <c r="E3616" s="14" t="s">
        <v>13</v>
      </c>
      <c r="F3616" s="22"/>
      <c r="H3616" s="5" t="e">
        <f ca="1">_xlfn.FORMULATEXT(표1[[#This Row],[Q''ty]])</f>
        <v>#N/A</v>
      </c>
    </row>
    <row r="3617" spans="1:8" ht="15" hidden="1" customHeight="1" x14ac:dyDescent="0.4">
      <c r="A3617" s="6">
        <v>2026</v>
      </c>
      <c r="B3617" s="6">
        <f t="shared" si="458"/>
        <v>37</v>
      </c>
      <c r="C3617" s="13" t="s">
        <v>25</v>
      </c>
      <c r="D3617" s="2" t="s">
        <v>12</v>
      </c>
      <c r="E3617" s="14" t="s">
        <v>14</v>
      </c>
      <c r="F3617" s="22"/>
      <c r="H3617" s="5" t="e">
        <f ca="1">_xlfn.FORMULATEXT(표1[[#This Row],[Q''ty]])</f>
        <v>#N/A</v>
      </c>
    </row>
    <row r="3618" spans="1:8" ht="15" hidden="1" customHeight="1" x14ac:dyDescent="0.4">
      <c r="A3618" s="6">
        <v>2026</v>
      </c>
      <c r="B3618" s="6">
        <f t="shared" si="458"/>
        <v>37</v>
      </c>
      <c r="C3618" s="13" t="s">
        <v>25</v>
      </c>
      <c r="D3618" s="2" t="s">
        <v>12</v>
      </c>
      <c r="E3618" s="14" t="s">
        <v>15</v>
      </c>
      <c r="F3618" s="22"/>
      <c r="H3618" s="5" t="e">
        <f ca="1">_xlfn.FORMULATEXT(표1[[#This Row],[Q''ty]])</f>
        <v>#N/A</v>
      </c>
    </row>
    <row r="3619" spans="1:8" ht="15" hidden="1" customHeight="1" x14ac:dyDescent="0.4">
      <c r="A3619" s="6">
        <v>2026</v>
      </c>
      <c r="B3619" s="6">
        <f t="shared" si="458"/>
        <v>37</v>
      </c>
      <c r="C3619" s="13" t="s">
        <v>25</v>
      </c>
      <c r="D3619" s="2" t="s">
        <v>12</v>
      </c>
      <c r="E3619" s="14" t="s">
        <v>16</v>
      </c>
      <c r="F3619" s="22"/>
      <c r="H3619" s="5" t="e">
        <f ca="1">_xlfn.FORMULATEXT(표1[[#This Row],[Q''ty]])</f>
        <v>#N/A</v>
      </c>
    </row>
    <row r="3620" spans="1:8" ht="15" hidden="1" customHeight="1" thickBot="1" x14ac:dyDescent="0.45">
      <c r="A3620" s="15">
        <v>2026</v>
      </c>
      <c r="B3620" s="15">
        <f t="shared" si="458"/>
        <v>37</v>
      </c>
      <c r="C3620" s="16" t="s">
        <v>25</v>
      </c>
      <c r="D3620" s="17" t="s">
        <v>12</v>
      </c>
      <c r="E3620" s="18" t="s">
        <v>17</v>
      </c>
      <c r="F3620" s="23"/>
      <c r="H3620" s="5" t="e">
        <f ca="1">_xlfn.FORMULATEXT(표1[[#This Row],[Q''ty]])</f>
        <v>#N/A</v>
      </c>
    </row>
    <row r="3621" spans="1:8" ht="15" hidden="1" customHeight="1" thickTop="1" x14ac:dyDescent="0.4">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4">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4">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4">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4">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4">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4">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4">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4">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4">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4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4">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4">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4">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4">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4">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4">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4">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4">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4">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4">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4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4">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4">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4">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4">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4">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4">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4">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4">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4">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4">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4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4">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4">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4">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4">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4">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4">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4">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4">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4">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4">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45">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4">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4">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4">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4">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4">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4">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4">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4">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4">
      <c r="A3673" s="6">
        <v>2026</v>
      </c>
      <c r="B3673" s="6">
        <f t="shared" si="471"/>
        <v>38</v>
      </c>
      <c r="C3673" s="13" t="s">
        <v>23</v>
      </c>
      <c r="D3673" s="2" t="s">
        <v>12</v>
      </c>
      <c r="E3673" s="14" t="s">
        <v>15</v>
      </c>
      <c r="F3673" s="22"/>
      <c r="H3673" s="5" t="e">
        <f ca="1">_xlfn.FORMULATEXT(표1[[#This Row],[Q''ty]])</f>
        <v>#N/A</v>
      </c>
    </row>
    <row r="3674" spans="1:10" ht="15" hidden="1" customHeight="1" x14ac:dyDescent="0.4">
      <c r="A3674" s="6">
        <v>2026</v>
      </c>
      <c r="B3674" s="6">
        <f t="shared" si="471"/>
        <v>38</v>
      </c>
      <c r="C3674" s="13" t="s">
        <v>23</v>
      </c>
      <c r="D3674" s="2" t="s">
        <v>12</v>
      </c>
      <c r="E3674" s="14" t="s">
        <v>16</v>
      </c>
      <c r="F3674" s="22"/>
      <c r="H3674" s="5" t="e">
        <f ca="1">_xlfn.FORMULATEXT(표1[[#This Row],[Q''ty]])</f>
        <v>#N/A</v>
      </c>
    </row>
    <row r="3675" spans="1:10" ht="15" hidden="1" customHeight="1" thickBot="1" x14ac:dyDescent="0.45">
      <c r="A3675" s="15">
        <v>2026</v>
      </c>
      <c r="B3675" s="15">
        <f t="shared" si="471"/>
        <v>38</v>
      </c>
      <c r="C3675" s="16" t="s">
        <v>23</v>
      </c>
      <c r="D3675" s="17" t="s">
        <v>12</v>
      </c>
      <c r="E3675" s="18" t="s">
        <v>17</v>
      </c>
      <c r="F3675" s="23"/>
      <c r="H3675" s="5" t="e">
        <f ca="1">_xlfn.FORMULATEXT(표1[[#This Row],[Q''ty]])</f>
        <v>#N/A</v>
      </c>
    </row>
    <row r="3676" spans="1:10" ht="15" hidden="1" customHeight="1" thickTop="1" x14ac:dyDescent="0.4">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4">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4">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4">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4">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4">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4">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4">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4">
      <c r="A3684" s="6">
        <v>2026</v>
      </c>
      <c r="B3684" s="6">
        <f t="shared" si="471"/>
        <v>38</v>
      </c>
      <c r="C3684" s="13" t="s">
        <v>24</v>
      </c>
      <c r="D3684" s="2" t="s">
        <v>12</v>
      </c>
      <c r="E3684" s="14" t="s">
        <v>15</v>
      </c>
      <c r="F3684" s="22"/>
      <c r="H3684" s="5" t="e">
        <f ca="1">_xlfn.FORMULATEXT(표1[[#This Row],[Q''ty]])</f>
        <v>#N/A</v>
      </c>
    </row>
    <row r="3685" spans="1:10" ht="15" hidden="1" customHeight="1" x14ac:dyDescent="0.4">
      <c r="A3685" s="6">
        <v>2026</v>
      </c>
      <c r="B3685" s="6">
        <f t="shared" si="471"/>
        <v>38</v>
      </c>
      <c r="C3685" s="13" t="s">
        <v>24</v>
      </c>
      <c r="D3685" s="2" t="s">
        <v>12</v>
      </c>
      <c r="E3685" s="14" t="s">
        <v>16</v>
      </c>
      <c r="F3685" s="22"/>
      <c r="H3685" s="5" t="e">
        <f ca="1">_xlfn.FORMULATEXT(표1[[#This Row],[Q''ty]])</f>
        <v>#N/A</v>
      </c>
    </row>
    <row r="3686" spans="1:10" ht="15" hidden="1" customHeight="1" thickBot="1" x14ac:dyDescent="0.45">
      <c r="A3686" s="15">
        <v>2026</v>
      </c>
      <c r="B3686" s="15">
        <f t="shared" si="471"/>
        <v>38</v>
      </c>
      <c r="C3686" s="16" t="s">
        <v>24</v>
      </c>
      <c r="D3686" s="17" t="s">
        <v>12</v>
      </c>
      <c r="E3686" s="18" t="s">
        <v>17</v>
      </c>
      <c r="F3686" s="23"/>
      <c r="H3686" s="5" t="e">
        <f ca="1">_xlfn.FORMULATEXT(표1[[#This Row],[Q''ty]])</f>
        <v>#N/A</v>
      </c>
    </row>
    <row r="3687" spans="1:10" ht="15" hidden="1" customHeight="1" thickTop="1" x14ac:dyDescent="0.4">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4">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4">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4">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4">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4">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4">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4">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4">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4">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4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4">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4">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4">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4">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4">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4">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4">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4">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4">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4">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4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4">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4">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4">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4">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4">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4">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4">
      <c r="A3715" s="6">
        <v>2026</v>
      </c>
      <c r="B3715" s="6">
        <f t="shared" si="471"/>
        <v>38</v>
      </c>
      <c r="C3715" s="13" t="s">
        <v>25</v>
      </c>
      <c r="D3715" s="2" t="s">
        <v>12</v>
      </c>
      <c r="E3715" s="14" t="s">
        <v>13</v>
      </c>
      <c r="F3715" s="22"/>
      <c r="H3715" s="5" t="e">
        <f ca="1">_xlfn.FORMULATEXT(표1[[#This Row],[Q''ty]])</f>
        <v>#N/A</v>
      </c>
    </row>
    <row r="3716" spans="1:8" ht="15" hidden="1" customHeight="1" x14ac:dyDescent="0.4">
      <c r="A3716" s="6">
        <v>2026</v>
      </c>
      <c r="B3716" s="6">
        <f t="shared" si="471"/>
        <v>38</v>
      </c>
      <c r="C3716" s="13" t="s">
        <v>25</v>
      </c>
      <c r="D3716" s="2" t="s">
        <v>12</v>
      </c>
      <c r="E3716" s="14" t="s">
        <v>14</v>
      </c>
      <c r="F3716" s="22"/>
      <c r="H3716" s="5" t="e">
        <f ca="1">_xlfn.FORMULATEXT(표1[[#This Row],[Q''ty]])</f>
        <v>#N/A</v>
      </c>
    </row>
    <row r="3717" spans="1:8" ht="15" hidden="1" customHeight="1" x14ac:dyDescent="0.4">
      <c r="A3717" s="6">
        <v>2026</v>
      </c>
      <c r="B3717" s="6">
        <f t="shared" si="471"/>
        <v>38</v>
      </c>
      <c r="C3717" s="13" t="s">
        <v>25</v>
      </c>
      <c r="D3717" s="2" t="s">
        <v>12</v>
      </c>
      <c r="E3717" s="14" t="s">
        <v>15</v>
      </c>
      <c r="F3717" s="22"/>
      <c r="H3717" s="5" t="e">
        <f ca="1">_xlfn.FORMULATEXT(표1[[#This Row],[Q''ty]])</f>
        <v>#N/A</v>
      </c>
    </row>
    <row r="3718" spans="1:8" ht="15" hidden="1" customHeight="1" x14ac:dyDescent="0.4">
      <c r="A3718" s="6">
        <v>2026</v>
      </c>
      <c r="B3718" s="6">
        <f t="shared" si="471"/>
        <v>38</v>
      </c>
      <c r="C3718" s="13" t="s">
        <v>25</v>
      </c>
      <c r="D3718" s="2" t="s">
        <v>12</v>
      </c>
      <c r="E3718" s="14" t="s">
        <v>16</v>
      </c>
      <c r="F3718" s="22"/>
      <c r="H3718" s="5" t="e">
        <f ca="1">_xlfn.FORMULATEXT(표1[[#This Row],[Q''ty]])</f>
        <v>#N/A</v>
      </c>
    </row>
    <row r="3719" spans="1:8" ht="15" hidden="1" customHeight="1" thickBot="1" x14ac:dyDescent="0.45">
      <c r="A3719" s="15">
        <v>2026</v>
      </c>
      <c r="B3719" s="15">
        <f t="shared" si="471"/>
        <v>38</v>
      </c>
      <c r="C3719" s="16" t="s">
        <v>25</v>
      </c>
      <c r="D3719" s="17" t="s">
        <v>12</v>
      </c>
      <c r="E3719" s="18" t="s">
        <v>17</v>
      </c>
      <c r="F3719" s="23"/>
      <c r="H3719" s="5" t="e">
        <f ca="1">_xlfn.FORMULATEXT(표1[[#This Row],[Q''ty]])</f>
        <v>#N/A</v>
      </c>
    </row>
    <row r="3720" spans="1:8" ht="15" hidden="1" customHeight="1" thickTop="1" x14ac:dyDescent="0.4">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4">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4">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4">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4">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4">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4">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4">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4">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4">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4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4">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4">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4">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4">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4">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4">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4">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4">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4">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4">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4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4">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4">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4">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4">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4">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4">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4">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4">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4">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4">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4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4">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4">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4">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4">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4">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4">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4">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4">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4">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4">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45">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4">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4">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4">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4">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4">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4">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4">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4">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4">
      <c r="A3772" s="6">
        <v>2026</v>
      </c>
      <c r="B3772" s="6">
        <f t="shared" si="484"/>
        <v>39</v>
      </c>
      <c r="C3772" s="13" t="s">
        <v>23</v>
      </c>
      <c r="D3772" s="2" t="s">
        <v>12</v>
      </c>
      <c r="E3772" s="14" t="s">
        <v>15</v>
      </c>
      <c r="F3772" s="22"/>
      <c r="H3772" s="5" t="e">
        <f ca="1">_xlfn.FORMULATEXT(표1[[#This Row],[Q''ty]])</f>
        <v>#N/A</v>
      </c>
    </row>
    <row r="3773" spans="1:10" ht="15" hidden="1" customHeight="1" x14ac:dyDescent="0.4">
      <c r="A3773" s="6">
        <v>2026</v>
      </c>
      <c r="B3773" s="6">
        <f t="shared" si="484"/>
        <v>39</v>
      </c>
      <c r="C3773" s="13" t="s">
        <v>23</v>
      </c>
      <c r="D3773" s="2" t="s">
        <v>12</v>
      </c>
      <c r="E3773" s="14" t="s">
        <v>16</v>
      </c>
      <c r="F3773" s="22"/>
      <c r="H3773" s="5" t="e">
        <f ca="1">_xlfn.FORMULATEXT(표1[[#This Row],[Q''ty]])</f>
        <v>#N/A</v>
      </c>
    </row>
    <row r="3774" spans="1:10" ht="15" hidden="1" customHeight="1" thickBot="1" x14ac:dyDescent="0.45">
      <c r="A3774" s="15">
        <v>2026</v>
      </c>
      <c r="B3774" s="15">
        <f t="shared" si="484"/>
        <v>39</v>
      </c>
      <c r="C3774" s="16" t="s">
        <v>23</v>
      </c>
      <c r="D3774" s="17" t="s">
        <v>12</v>
      </c>
      <c r="E3774" s="18" t="s">
        <v>17</v>
      </c>
      <c r="F3774" s="23"/>
      <c r="H3774" s="5" t="e">
        <f ca="1">_xlfn.FORMULATEXT(표1[[#This Row],[Q''ty]])</f>
        <v>#N/A</v>
      </c>
    </row>
    <row r="3775" spans="1:10" ht="15" hidden="1" customHeight="1" thickTop="1" x14ac:dyDescent="0.4">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4">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4">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4">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4">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4">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4">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4">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4">
      <c r="A3783" s="6">
        <v>2026</v>
      </c>
      <c r="B3783" s="6">
        <f t="shared" si="484"/>
        <v>39</v>
      </c>
      <c r="C3783" s="13" t="s">
        <v>24</v>
      </c>
      <c r="D3783" s="2" t="s">
        <v>12</v>
      </c>
      <c r="E3783" s="14" t="s">
        <v>15</v>
      </c>
      <c r="F3783" s="22"/>
      <c r="H3783" s="5" t="e">
        <f ca="1">_xlfn.FORMULATEXT(표1[[#This Row],[Q''ty]])</f>
        <v>#N/A</v>
      </c>
    </row>
    <row r="3784" spans="1:10" ht="15" hidden="1" customHeight="1" x14ac:dyDescent="0.4">
      <c r="A3784" s="6">
        <v>2026</v>
      </c>
      <c r="B3784" s="6">
        <f t="shared" si="484"/>
        <v>39</v>
      </c>
      <c r="C3784" s="13" t="s">
        <v>24</v>
      </c>
      <c r="D3784" s="2" t="s">
        <v>12</v>
      </c>
      <c r="E3784" s="14" t="s">
        <v>16</v>
      </c>
      <c r="F3784" s="22"/>
      <c r="H3784" s="5" t="e">
        <f ca="1">_xlfn.FORMULATEXT(표1[[#This Row],[Q''ty]])</f>
        <v>#N/A</v>
      </c>
    </row>
    <row r="3785" spans="1:10" ht="15" hidden="1" customHeight="1" thickBot="1" x14ac:dyDescent="0.45">
      <c r="A3785" s="15">
        <v>2026</v>
      </c>
      <c r="B3785" s="15">
        <f t="shared" si="484"/>
        <v>39</v>
      </c>
      <c r="C3785" s="16" t="s">
        <v>24</v>
      </c>
      <c r="D3785" s="17" t="s">
        <v>12</v>
      </c>
      <c r="E3785" s="18" t="s">
        <v>17</v>
      </c>
      <c r="F3785" s="23"/>
      <c r="H3785" s="5" t="e">
        <f ca="1">_xlfn.FORMULATEXT(표1[[#This Row],[Q''ty]])</f>
        <v>#N/A</v>
      </c>
    </row>
    <row r="3786" spans="1:10" ht="15" hidden="1" customHeight="1" thickTop="1" x14ac:dyDescent="0.4">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4">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4">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4">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4">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4">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4">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4">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4">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4">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4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4">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4">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4">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4">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4">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4">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4">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4">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4">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4">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4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4">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4">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4">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4">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4">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4">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4">
      <c r="A3814" s="6">
        <v>2026</v>
      </c>
      <c r="B3814" s="6">
        <f t="shared" si="484"/>
        <v>39</v>
      </c>
      <c r="C3814" s="13" t="s">
        <v>25</v>
      </c>
      <c r="D3814" s="2" t="s">
        <v>12</v>
      </c>
      <c r="E3814" s="14" t="s">
        <v>13</v>
      </c>
      <c r="F3814" s="22"/>
      <c r="H3814" s="5" t="e">
        <f ca="1">_xlfn.FORMULATEXT(표1[[#This Row],[Q''ty]])</f>
        <v>#N/A</v>
      </c>
    </row>
    <row r="3815" spans="1:8" ht="15" hidden="1" customHeight="1" x14ac:dyDescent="0.4">
      <c r="A3815" s="6">
        <v>2026</v>
      </c>
      <c r="B3815" s="6">
        <f t="shared" si="484"/>
        <v>39</v>
      </c>
      <c r="C3815" s="13" t="s">
        <v>25</v>
      </c>
      <c r="D3815" s="2" t="s">
        <v>12</v>
      </c>
      <c r="E3815" s="14" t="s">
        <v>14</v>
      </c>
      <c r="F3815" s="22"/>
      <c r="H3815" s="5" t="e">
        <f ca="1">_xlfn.FORMULATEXT(표1[[#This Row],[Q''ty]])</f>
        <v>#N/A</v>
      </c>
    </row>
    <row r="3816" spans="1:8" ht="15" hidden="1" customHeight="1" x14ac:dyDescent="0.4">
      <c r="A3816" s="6">
        <v>2026</v>
      </c>
      <c r="B3816" s="6">
        <f t="shared" si="484"/>
        <v>39</v>
      </c>
      <c r="C3816" s="13" t="s">
        <v>25</v>
      </c>
      <c r="D3816" s="2" t="s">
        <v>12</v>
      </c>
      <c r="E3816" s="14" t="s">
        <v>15</v>
      </c>
      <c r="F3816" s="22"/>
      <c r="H3816" s="5" t="e">
        <f ca="1">_xlfn.FORMULATEXT(표1[[#This Row],[Q''ty]])</f>
        <v>#N/A</v>
      </c>
    </row>
    <row r="3817" spans="1:8" ht="15" hidden="1" customHeight="1" x14ac:dyDescent="0.4">
      <c r="A3817" s="6">
        <v>2026</v>
      </c>
      <c r="B3817" s="6">
        <f t="shared" si="484"/>
        <v>39</v>
      </c>
      <c r="C3817" s="13" t="s">
        <v>25</v>
      </c>
      <c r="D3817" s="2" t="s">
        <v>12</v>
      </c>
      <c r="E3817" s="14" t="s">
        <v>16</v>
      </c>
      <c r="F3817" s="22"/>
      <c r="H3817" s="5" t="e">
        <f ca="1">_xlfn.FORMULATEXT(표1[[#This Row],[Q''ty]])</f>
        <v>#N/A</v>
      </c>
    </row>
    <row r="3818" spans="1:8" ht="15" hidden="1" customHeight="1" thickBot="1" x14ac:dyDescent="0.45">
      <c r="A3818" s="15">
        <v>2026</v>
      </c>
      <c r="B3818" s="15">
        <f t="shared" si="484"/>
        <v>39</v>
      </c>
      <c r="C3818" s="16" t="s">
        <v>25</v>
      </c>
      <c r="D3818" s="17" t="s">
        <v>12</v>
      </c>
      <c r="E3818" s="18" t="s">
        <v>17</v>
      </c>
      <c r="F3818" s="23"/>
      <c r="H3818" s="5" t="e">
        <f ca="1">_xlfn.FORMULATEXT(표1[[#This Row],[Q''ty]])</f>
        <v>#N/A</v>
      </c>
    </row>
    <row r="3819" spans="1:8" ht="15" hidden="1" customHeight="1" thickTop="1" x14ac:dyDescent="0.4">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4">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4">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4">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4">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4">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4">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4">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4">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4">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4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4">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4">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4">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4">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4">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4">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4">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4">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4">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4">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4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4">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4">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4">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4">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4">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4">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4">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4">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4">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4">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4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4">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4">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4">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4">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4">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4">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4">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4">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4">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4">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45">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4">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4">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4">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4">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4">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4">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4">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4">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4">
      <c r="A3871" s="6">
        <v>2026</v>
      </c>
      <c r="B3871" s="6">
        <f t="shared" si="497"/>
        <v>40</v>
      </c>
      <c r="C3871" s="13" t="s">
        <v>23</v>
      </c>
      <c r="D3871" s="2" t="s">
        <v>12</v>
      </c>
      <c r="E3871" s="14" t="s">
        <v>15</v>
      </c>
      <c r="F3871" s="22"/>
      <c r="H3871" s="5" t="e">
        <f ca="1">_xlfn.FORMULATEXT(표1[[#This Row],[Q''ty]])</f>
        <v>#N/A</v>
      </c>
    </row>
    <row r="3872" spans="1:10" ht="15" hidden="1" customHeight="1" x14ac:dyDescent="0.4">
      <c r="A3872" s="6">
        <v>2026</v>
      </c>
      <c r="B3872" s="6">
        <f t="shared" si="497"/>
        <v>40</v>
      </c>
      <c r="C3872" s="13" t="s">
        <v>23</v>
      </c>
      <c r="D3872" s="2" t="s">
        <v>12</v>
      </c>
      <c r="E3872" s="14" t="s">
        <v>16</v>
      </c>
      <c r="F3872" s="22"/>
      <c r="H3872" s="5" t="e">
        <f ca="1">_xlfn.FORMULATEXT(표1[[#This Row],[Q''ty]])</f>
        <v>#N/A</v>
      </c>
    </row>
    <row r="3873" spans="1:10" ht="15" hidden="1" customHeight="1" thickBot="1" x14ac:dyDescent="0.45">
      <c r="A3873" s="15">
        <v>2026</v>
      </c>
      <c r="B3873" s="15">
        <f t="shared" si="497"/>
        <v>40</v>
      </c>
      <c r="C3873" s="16" t="s">
        <v>23</v>
      </c>
      <c r="D3873" s="17" t="s">
        <v>12</v>
      </c>
      <c r="E3873" s="18" t="s">
        <v>17</v>
      </c>
      <c r="F3873" s="23"/>
      <c r="H3873" s="5" t="e">
        <f ca="1">_xlfn.FORMULATEXT(표1[[#This Row],[Q''ty]])</f>
        <v>#N/A</v>
      </c>
    </row>
    <row r="3874" spans="1:10" ht="15" hidden="1" customHeight="1" thickTop="1" x14ac:dyDescent="0.4">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4">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4">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4">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4">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4">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4">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4">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4">
      <c r="A3882" s="6">
        <v>2026</v>
      </c>
      <c r="B3882" s="6">
        <f t="shared" si="497"/>
        <v>40</v>
      </c>
      <c r="C3882" s="13" t="s">
        <v>24</v>
      </c>
      <c r="D3882" s="2" t="s">
        <v>12</v>
      </c>
      <c r="E3882" s="14" t="s">
        <v>15</v>
      </c>
      <c r="F3882" s="22"/>
      <c r="H3882" s="5" t="e">
        <f ca="1">_xlfn.FORMULATEXT(표1[[#This Row],[Q''ty]])</f>
        <v>#N/A</v>
      </c>
    </row>
    <row r="3883" spans="1:10" ht="15" hidden="1" customHeight="1" x14ac:dyDescent="0.4">
      <c r="A3883" s="6">
        <v>2026</v>
      </c>
      <c r="B3883" s="6">
        <f t="shared" si="497"/>
        <v>40</v>
      </c>
      <c r="C3883" s="13" t="s">
        <v>24</v>
      </c>
      <c r="D3883" s="2" t="s">
        <v>12</v>
      </c>
      <c r="E3883" s="14" t="s">
        <v>16</v>
      </c>
      <c r="F3883" s="22"/>
      <c r="H3883" s="5" t="e">
        <f ca="1">_xlfn.FORMULATEXT(표1[[#This Row],[Q''ty]])</f>
        <v>#N/A</v>
      </c>
    </row>
    <row r="3884" spans="1:10" ht="15" hidden="1" customHeight="1" thickBot="1" x14ac:dyDescent="0.45">
      <c r="A3884" s="15">
        <v>2026</v>
      </c>
      <c r="B3884" s="15">
        <f t="shared" si="497"/>
        <v>40</v>
      </c>
      <c r="C3884" s="16" t="s">
        <v>24</v>
      </c>
      <c r="D3884" s="17" t="s">
        <v>12</v>
      </c>
      <c r="E3884" s="18" t="s">
        <v>17</v>
      </c>
      <c r="F3884" s="23"/>
      <c r="H3884" s="5" t="e">
        <f ca="1">_xlfn.FORMULATEXT(표1[[#This Row],[Q''ty]])</f>
        <v>#N/A</v>
      </c>
    </row>
    <row r="3885" spans="1:10" ht="15" hidden="1" customHeight="1" thickTop="1" x14ac:dyDescent="0.4">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4">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4">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4">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4">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4">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4">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4">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4">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4">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4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4">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4">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4">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4">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4">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4">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4">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4">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4">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4">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4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4">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4">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4">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4">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4">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4">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4">
      <c r="A3913" s="6">
        <v>2026</v>
      </c>
      <c r="B3913" s="6">
        <f t="shared" si="497"/>
        <v>40</v>
      </c>
      <c r="C3913" s="13" t="s">
        <v>25</v>
      </c>
      <c r="D3913" s="2" t="s">
        <v>12</v>
      </c>
      <c r="E3913" s="14" t="s">
        <v>13</v>
      </c>
      <c r="F3913" s="22"/>
      <c r="H3913" s="5" t="e">
        <f ca="1">_xlfn.FORMULATEXT(표1[[#This Row],[Q''ty]])</f>
        <v>#N/A</v>
      </c>
    </row>
    <row r="3914" spans="1:8" ht="15" hidden="1" customHeight="1" x14ac:dyDescent="0.4">
      <c r="A3914" s="6">
        <v>2026</v>
      </c>
      <c r="B3914" s="6">
        <f t="shared" si="497"/>
        <v>40</v>
      </c>
      <c r="C3914" s="13" t="s">
        <v>25</v>
      </c>
      <c r="D3914" s="2" t="s">
        <v>12</v>
      </c>
      <c r="E3914" s="14" t="s">
        <v>14</v>
      </c>
      <c r="F3914" s="22"/>
      <c r="H3914" s="5" t="e">
        <f ca="1">_xlfn.FORMULATEXT(표1[[#This Row],[Q''ty]])</f>
        <v>#N/A</v>
      </c>
    </row>
    <row r="3915" spans="1:8" ht="15" hidden="1" customHeight="1" x14ac:dyDescent="0.4">
      <c r="A3915" s="6">
        <v>2026</v>
      </c>
      <c r="B3915" s="6">
        <f t="shared" si="497"/>
        <v>40</v>
      </c>
      <c r="C3915" s="13" t="s">
        <v>25</v>
      </c>
      <c r="D3915" s="2" t="s">
        <v>12</v>
      </c>
      <c r="E3915" s="14" t="s">
        <v>15</v>
      </c>
      <c r="F3915" s="22"/>
      <c r="H3915" s="5" t="e">
        <f ca="1">_xlfn.FORMULATEXT(표1[[#This Row],[Q''ty]])</f>
        <v>#N/A</v>
      </c>
    </row>
    <row r="3916" spans="1:8" ht="15" hidden="1" customHeight="1" x14ac:dyDescent="0.4">
      <c r="A3916" s="6">
        <v>2026</v>
      </c>
      <c r="B3916" s="6">
        <f t="shared" si="497"/>
        <v>40</v>
      </c>
      <c r="C3916" s="13" t="s">
        <v>25</v>
      </c>
      <c r="D3916" s="2" t="s">
        <v>12</v>
      </c>
      <c r="E3916" s="14" t="s">
        <v>16</v>
      </c>
      <c r="F3916" s="22"/>
      <c r="H3916" s="5" t="e">
        <f ca="1">_xlfn.FORMULATEXT(표1[[#This Row],[Q''ty]])</f>
        <v>#N/A</v>
      </c>
    </row>
    <row r="3917" spans="1:8" ht="15" hidden="1" customHeight="1" thickBot="1" x14ac:dyDescent="0.45">
      <c r="A3917" s="15">
        <v>2026</v>
      </c>
      <c r="B3917" s="15">
        <f t="shared" si="497"/>
        <v>40</v>
      </c>
      <c r="C3917" s="16" t="s">
        <v>25</v>
      </c>
      <c r="D3917" s="17" t="s">
        <v>12</v>
      </c>
      <c r="E3917" s="18" t="s">
        <v>17</v>
      </c>
      <c r="F3917" s="23"/>
      <c r="H3917" s="5" t="e">
        <f ca="1">_xlfn.FORMULATEXT(표1[[#This Row],[Q''ty]])</f>
        <v>#N/A</v>
      </c>
    </row>
    <row r="3918" spans="1:8" ht="15" hidden="1" customHeight="1" thickTop="1" x14ac:dyDescent="0.4">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4">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4">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4">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4">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4">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4">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4">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4">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4">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4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4">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4">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4">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4">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4">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4">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4">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4">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4">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4">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4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4">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4">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4">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4">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4">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4">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4">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4">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4">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4">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4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4">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4">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4">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4">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4">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4">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4">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4">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4">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4">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45">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4">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4">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4">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4">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4">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4">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4">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4">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4">
      <c r="A3970" s="6">
        <v>2026</v>
      </c>
      <c r="B3970" s="6">
        <f t="shared" si="510"/>
        <v>41</v>
      </c>
      <c r="C3970" s="13" t="s">
        <v>23</v>
      </c>
      <c r="D3970" s="2" t="s">
        <v>12</v>
      </c>
      <c r="E3970" s="14" t="s">
        <v>15</v>
      </c>
      <c r="F3970" s="22"/>
      <c r="H3970" s="5" t="e">
        <f ca="1">_xlfn.FORMULATEXT(표1[[#This Row],[Q''ty]])</f>
        <v>#N/A</v>
      </c>
    </row>
    <row r="3971" spans="1:10" ht="15" hidden="1" customHeight="1" x14ac:dyDescent="0.4">
      <c r="A3971" s="6">
        <v>2026</v>
      </c>
      <c r="B3971" s="6">
        <f t="shared" si="510"/>
        <v>41</v>
      </c>
      <c r="C3971" s="13" t="s">
        <v>23</v>
      </c>
      <c r="D3971" s="2" t="s">
        <v>12</v>
      </c>
      <c r="E3971" s="14" t="s">
        <v>16</v>
      </c>
      <c r="F3971" s="22"/>
      <c r="H3971" s="5" t="e">
        <f ca="1">_xlfn.FORMULATEXT(표1[[#This Row],[Q''ty]])</f>
        <v>#N/A</v>
      </c>
    </row>
    <row r="3972" spans="1:10" ht="15" hidden="1" customHeight="1" thickBot="1" x14ac:dyDescent="0.45">
      <c r="A3972" s="15">
        <v>2026</v>
      </c>
      <c r="B3972" s="15">
        <f t="shared" si="510"/>
        <v>41</v>
      </c>
      <c r="C3972" s="16" t="s">
        <v>23</v>
      </c>
      <c r="D3972" s="17" t="s">
        <v>12</v>
      </c>
      <c r="E3972" s="18" t="s">
        <v>17</v>
      </c>
      <c r="F3972" s="23"/>
      <c r="H3972" s="5" t="e">
        <f ca="1">_xlfn.FORMULATEXT(표1[[#This Row],[Q''ty]])</f>
        <v>#N/A</v>
      </c>
    </row>
    <row r="3973" spans="1:10" ht="15" hidden="1" customHeight="1" thickTop="1" x14ac:dyDescent="0.4">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4">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4">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4">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4">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4">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4">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4">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4">
      <c r="A3981" s="6">
        <v>2026</v>
      </c>
      <c r="B3981" s="6">
        <f t="shared" si="510"/>
        <v>41</v>
      </c>
      <c r="C3981" s="13" t="s">
        <v>24</v>
      </c>
      <c r="D3981" s="2" t="s">
        <v>12</v>
      </c>
      <c r="E3981" s="14" t="s">
        <v>15</v>
      </c>
      <c r="F3981" s="22"/>
      <c r="H3981" s="5" t="e">
        <f ca="1">_xlfn.FORMULATEXT(표1[[#This Row],[Q''ty]])</f>
        <v>#N/A</v>
      </c>
    </row>
    <row r="3982" spans="1:10" ht="15" hidden="1" customHeight="1" x14ac:dyDescent="0.4">
      <c r="A3982" s="6">
        <v>2026</v>
      </c>
      <c r="B3982" s="6">
        <f t="shared" si="510"/>
        <v>41</v>
      </c>
      <c r="C3982" s="13" t="s">
        <v>24</v>
      </c>
      <c r="D3982" s="2" t="s">
        <v>12</v>
      </c>
      <c r="E3982" s="14" t="s">
        <v>16</v>
      </c>
      <c r="F3982" s="22"/>
      <c r="H3982" s="5" t="e">
        <f ca="1">_xlfn.FORMULATEXT(표1[[#This Row],[Q''ty]])</f>
        <v>#N/A</v>
      </c>
    </row>
    <row r="3983" spans="1:10" ht="15" hidden="1" customHeight="1" thickBot="1" x14ac:dyDescent="0.45">
      <c r="A3983" s="15">
        <v>2026</v>
      </c>
      <c r="B3983" s="15">
        <f t="shared" si="510"/>
        <v>41</v>
      </c>
      <c r="C3983" s="16" t="s">
        <v>24</v>
      </c>
      <c r="D3983" s="17" t="s">
        <v>12</v>
      </c>
      <c r="E3983" s="18" t="s">
        <v>17</v>
      </c>
      <c r="F3983" s="23"/>
      <c r="H3983" s="5" t="e">
        <f ca="1">_xlfn.FORMULATEXT(표1[[#This Row],[Q''ty]])</f>
        <v>#N/A</v>
      </c>
    </row>
    <row r="3984" spans="1:10" ht="15" hidden="1" customHeight="1" thickTop="1" x14ac:dyDescent="0.4">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4">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4">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4">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4">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4">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4">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4">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4">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4">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4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4">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4">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4">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4">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4">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4">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4">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4">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4">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4">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4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4">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4">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4">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4">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4">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4">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4">
      <c r="A4012" s="6">
        <v>2026</v>
      </c>
      <c r="B4012" s="6">
        <f t="shared" si="510"/>
        <v>41</v>
      </c>
      <c r="C4012" s="13" t="s">
        <v>25</v>
      </c>
      <c r="D4012" s="2" t="s">
        <v>12</v>
      </c>
      <c r="E4012" s="14" t="s">
        <v>13</v>
      </c>
      <c r="F4012" s="22"/>
      <c r="H4012" s="5" t="e">
        <f ca="1">_xlfn.FORMULATEXT(표1[[#This Row],[Q''ty]])</f>
        <v>#N/A</v>
      </c>
    </row>
    <row r="4013" spans="1:8" ht="15" hidden="1" customHeight="1" x14ac:dyDescent="0.4">
      <c r="A4013" s="6">
        <v>2026</v>
      </c>
      <c r="B4013" s="6">
        <f t="shared" si="510"/>
        <v>41</v>
      </c>
      <c r="C4013" s="13" t="s">
        <v>25</v>
      </c>
      <c r="D4013" s="2" t="s">
        <v>12</v>
      </c>
      <c r="E4013" s="14" t="s">
        <v>14</v>
      </c>
      <c r="F4013" s="22"/>
      <c r="H4013" s="5" t="e">
        <f ca="1">_xlfn.FORMULATEXT(표1[[#This Row],[Q''ty]])</f>
        <v>#N/A</v>
      </c>
    </row>
    <row r="4014" spans="1:8" ht="15" hidden="1" customHeight="1" x14ac:dyDescent="0.4">
      <c r="A4014" s="6">
        <v>2026</v>
      </c>
      <c r="B4014" s="6">
        <f t="shared" si="510"/>
        <v>41</v>
      </c>
      <c r="C4014" s="13" t="s">
        <v>25</v>
      </c>
      <c r="D4014" s="2" t="s">
        <v>12</v>
      </c>
      <c r="E4014" s="14" t="s">
        <v>15</v>
      </c>
      <c r="F4014" s="22"/>
      <c r="H4014" s="5" t="e">
        <f ca="1">_xlfn.FORMULATEXT(표1[[#This Row],[Q''ty]])</f>
        <v>#N/A</v>
      </c>
    </row>
    <row r="4015" spans="1:8" ht="15" hidden="1" customHeight="1" x14ac:dyDescent="0.4">
      <c r="A4015" s="6">
        <v>2026</v>
      </c>
      <c r="B4015" s="6">
        <f t="shared" si="510"/>
        <v>41</v>
      </c>
      <c r="C4015" s="13" t="s">
        <v>25</v>
      </c>
      <c r="D4015" s="2" t="s">
        <v>12</v>
      </c>
      <c r="E4015" s="14" t="s">
        <v>16</v>
      </c>
      <c r="F4015" s="22"/>
      <c r="H4015" s="5" t="e">
        <f ca="1">_xlfn.FORMULATEXT(표1[[#This Row],[Q''ty]])</f>
        <v>#N/A</v>
      </c>
    </row>
    <row r="4016" spans="1:8" ht="15" hidden="1" customHeight="1" thickBot="1" x14ac:dyDescent="0.45">
      <c r="A4016" s="15">
        <v>2026</v>
      </c>
      <c r="B4016" s="15">
        <f t="shared" si="510"/>
        <v>41</v>
      </c>
      <c r="C4016" s="16" t="s">
        <v>25</v>
      </c>
      <c r="D4016" s="17" t="s">
        <v>12</v>
      </c>
      <c r="E4016" s="18" t="s">
        <v>17</v>
      </c>
      <c r="F4016" s="23"/>
      <c r="H4016" s="5" t="e">
        <f ca="1">_xlfn.FORMULATEXT(표1[[#This Row],[Q''ty]])</f>
        <v>#N/A</v>
      </c>
    </row>
    <row r="4017" spans="1:8" ht="15" hidden="1" customHeight="1" thickTop="1" x14ac:dyDescent="0.4">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4">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4">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4">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4">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4">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4">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4">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4">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4">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4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4">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4">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4">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4">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4">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4">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4">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4">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4">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4">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4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4">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4">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4">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4">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4">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4">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4">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4">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4">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4">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4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4">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4">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4">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4">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4">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4">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4">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4">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4">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4">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45">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4">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4">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4">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4">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4">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4">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4">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4">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4">
      <c r="A4069" s="6">
        <v>2026</v>
      </c>
      <c r="B4069" s="6">
        <f t="shared" si="523"/>
        <v>42</v>
      </c>
      <c r="C4069" s="13" t="s">
        <v>23</v>
      </c>
      <c r="D4069" s="2" t="s">
        <v>12</v>
      </c>
      <c r="E4069" s="14" t="s">
        <v>15</v>
      </c>
      <c r="F4069" s="22"/>
      <c r="H4069" s="5" t="e">
        <f ca="1">_xlfn.FORMULATEXT(표1[[#This Row],[Q''ty]])</f>
        <v>#N/A</v>
      </c>
    </row>
    <row r="4070" spans="1:10" ht="15" hidden="1" customHeight="1" x14ac:dyDescent="0.4">
      <c r="A4070" s="6">
        <v>2026</v>
      </c>
      <c r="B4070" s="6">
        <f t="shared" si="523"/>
        <v>42</v>
      </c>
      <c r="C4070" s="13" t="s">
        <v>23</v>
      </c>
      <c r="D4070" s="2" t="s">
        <v>12</v>
      </c>
      <c r="E4070" s="14" t="s">
        <v>16</v>
      </c>
      <c r="F4070" s="22"/>
      <c r="H4070" s="5" t="e">
        <f ca="1">_xlfn.FORMULATEXT(표1[[#This Row],[Q''ty]])</f>
        <v>#N/A</v>
      </c>
    </row>
    <row r="4071" spans="1:10" ht="15" hidden="1" customHeight="1" thickBot="1" x14ac:dyDescent="0.45">
      <c r="A4071" s="15">
        <v>2026</v>
      </c>
      <c r="B4071" s="15">
        <f t="shared" si="523"/>
        <v>42</v>
      </c>
      <c r="C4071" s="16" t="s">
        <v>23</v>
      </c>
      <c r="D4071" s="17" t="s">
        <v>12</v>
      </c>
      <c r="E4071" s="18" t="s">
        <v>17</v>
      </c>
      <c r="F4071" s="23"/>
      <c r="H4071" s="5" t="e">
        <f ca="1">_xlfn.FORMULATEXT(표1[[#This Row],[Q''ty]])</f>
        <v>#N/A</v>
      </c>
    </row>
    <row r="4072" spans="1:10" ht="15" hidden="1" customHeight="1" thickTop="1" x14ac:dyDescent="0.4">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4">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4">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4">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4">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4">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4">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4">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4">
      <c r="A4080" s="6">
        <v>2026</v>
      </c>
      <c r="B4080" s="6">
        <f t="shared" si="523"/>
        <v>42</v>
      </c>
      <c r="C4080" s="13" t="s">
        <v>24</v>
      </c>
      <c r="D4080" s="2" t="s">
        <v>12</v>
      </c>
      <c r="E4080" s="14" t="s">
        <v>15</v>
      </c>
      <c r="F4080" s="22"/>
      <c r="H4080" s="5" t="e">
        <f ca="1">_xlfn.FORMULATEXT(표1[[#This Row],[Q''ty]])</f>
        <v>#N/A</v>
      </c>
    </row>
    <row r="4081" spans="1:8" ht="15" hidden="1" customHeight="1" x14ac:dyDescent="0.4">
      <c r="A4081" s="6">
        <v>2026</v>
      </c>
      <c r="B4081" s="6">
        <f t="shared" si="523"/>
        <v>42</v>
      </c>
      <c r="C4081" s="13" t="s">
        <v>24</v>
      </c>
      <c r="D4081" s="2" t="s">
        <v>12</v>
      </c>
      <c r="E4081" s="14" t="s">
        <v>16</v>
      </c>
      <c r="F4081" s="22"/>
      <c r="H4081" s="5" t="e">
        <f ca="1">_xlfn.FORMULATEXT(표1[[#This Row],[Q''ty]])</f>
        <v>#N/A</v>
      </c>
    </row>
    <row r="4082" spans="1:8" ht="15" hidden="1" customHeight="1" thickBot="1" x14ac:dyDescent="0.45">
      <c r="A4082" s="15">
        <v>2026</v>
      </c>
      <c r="B4082" s="15">
        <f t="shared" si="523"/>
        <v>42</v>
      </c>
      <c r="C4082" s="16" t="s">
        <v>24</v>
      </c>
      <c r="D4082" s="17" t="s">
        <v>12</v>
      </c>
      <c r="E4082" s="18" t="s">
        <v>17</v>
      </c>
      <c r="F4082" s="23"/>
      <c r="H4082" s="5" t="e">
        <f ca="1">_xlfn.FORMULATEXT(표1[[#This Row],[Q''ty]])</f>
        <v>#N/A</v>
      </c>
    </row>
    <row r="4083" spans="1:8" ht="15" hidden="1" customHeight="1" thickTop="1" x14ac:dyDescent="0.4">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4">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4">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4">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4">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4">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4">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4">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4">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4">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4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4">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4">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4">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4">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4">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4">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4">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4">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4">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4">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4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4">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4">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4">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4">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4">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4">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4">
      <c r="A4111" s="6">
        <v>2026</v>
      </c>
      <c r="B4111" s="6">
        <f t="shared" si="523"/>
        <v>42</v>
      </c>
      <c r="C4111" s="13" t="s">
        <v>25</v>
      </c>
      <c r="D4111" s="2" t="s">
        <v>12</v>
      </c>
      <c r="E4111" s="14" t="s">
        <v>13</v>
      </c>
      <c r="F4111" s="22"/>
      <c r="H4111" s="5" t="e">
        <f ca="1">_xlfn.FORMULATEXT(표1[[#This Row],[Q''ty]])</f>
        <v>#N/A</v>
      </c>
    </row>
    <row r="4112" spans="1:8" ht="15" hidden="1" customHeight="1" x14ac:dyDescent="0.4">
      <c r="A4112" s="6">
        <v>2026</v>
      </c>
      <c r="B4112" s="6">
        <f t="shared" si="523"/>
        <v>42</v>
      </c>
      <c r="C4112" s="13" t="s">
        <v>25</v>
      </c>
      <c r="D4112" s="2" t="s">
        <v>12</v>
      </c>
      <c r="E4112" s="14" t="s">
        <v>14</v>
      </c>
      <c r="F4112" s="22"/>
      <c r="H4112" s="5" t="e">
        <f ca="1">_xlfn.FORMULATEXT(표1[[#This Row],[Q''ty]])</f>
        <v>#N/A</v>
      </c>
    </row>
    <row r="4113" spans="1:8" ht="15" hidden="1" customHeight="1" x14ac:dyDescent="0.4">
      <c r="A4113" s="6">
        <v>2026</v>
      </c>
      <c r="B4113" s="6">
        <f t="shared" si="523"/>
        <v>42</v>
      </c>
      <c r="C4113" s="13" t="s">
        <v>25</v>
      </c>
      <c r="D4113" s="2" t="s">
        <v>12</v>
      </c>
      <c r="E4113" s="14" t="s">
        <v>15</v>
      </c>
      <c r="F4113" s="22"/>
      <c r="H4113" s="5" t="e">
        <f ca="1">_xlfn.FORMULATEXT(표1[[#This Row],[Q''ty]])</f>
        <v>#N/A</v>
      </c>
    </row>
    <row r="4114" spans="1:8" ht="15" hidden="1" customHeight="1" x14ac:dyDescent="0.4">
      <c r="A4114" s="6">
        <v>2026</v>
      </c>
      <c r="B4114" s="6">
        <f t="shared" si="523"/>
        <v>42</v>
      </c>
      <c r="C4114" s="13" t="s">
        <v>25</v>
      </c>
      <c r="D4114" s="2" t="s">
        <v>12</v>
      </c>
      <c r="E4114" s="14" t="s">
        <v>16</v>
      </c>
      <c r="F4114" s="22"/>
      <c r="H4114" s="5" t="e">
        <f ca="1">_xlfn.FORMULATEXT(표1[[#This Row],[Q''ty]])</f>
        <v>#N/A</v>
      </c>
    </row>
    <row r="4115" spans="1:8" ht="15" hidden="1" customHeight="1" thickBot="1" x14ac:dyDescent="0.45">
      <c r="A4115" s="15">
        <v>2026</v>
      </c>
      <c r="B4115" s="15">
        <f t="shared" si="523"/>
        <v>42</v>
      </c>
      <c r="C4115" s="16" t="s">
        <v>25</v>
      </c>
      <c r="D4115" s="17" t="s">
        <v>12</v>
      </c>
      <c r="E4115" s="18" t="s">
        <v>17</v>
      </c>
      <c r="F4115" s="23"/>
      <c r="H4115" s="5" t="e">
        <f ca="1">_xlfn.FORMULATEXT(표1[[#This Row],[Q''ty]])</f>
        <v>#N/A</v>
      </c>
    </row>
    <row r="4116" spans="1:8" ht="15" hidden="1" customHeight="1" thickTop="1" x14ac:dyDescent="0.4">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4">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4">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4">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4">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4">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4">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4">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4">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4">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4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4">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4">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4">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4">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4">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4">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4">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4">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4">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4">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4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4">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4">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4">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4">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4">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4">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4">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4">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4">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4">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4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4">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4">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4">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4">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4">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4">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4">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4">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4">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4">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45">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4">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4">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4">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4">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4">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4">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4">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4">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4">
      <c r="A4168" s="6">
        <v>2026</v>
      </c>
      <c r="B4168" s="6">
        <f t="shared" si="536"/>
        <v>43</v>
      </c>
      <c r="C4168" s="13" t="s">
        <v>23</v>
      </c>
      <c r="D4168" s="2" t="s">
        <v>12</v>
      </c>
      <c r="E4168" s="14" t="s">
        <v>15</v>
      </c>
      <c r="F4168" s="22"/>
      <c r="H4168" s="5" t="e">
        <f ca="1">_xlfn.FORMULATEXT(표1[[#This Row],[Q''ty]])</f>
        <v>#N/A</v>
      </c>
    </row>
    <row r="4169" spans="1:10" ht="15" hidden="1" customHeight="1" x14ac:dyDescent="0.4">
      <c r="A4169" s="6">
        <v>2026</v>
      </c>
      <c r="B4169" s="6">
        <f t="shared" si="536"/>
        <v>43</v>
      </c>
      <c r="C4169" s="13" t="s">
        <v>23</v>
      </c>
      <c r="D4169" s="2" t="s">
        <v>12</v>
      </c>
      <c r="E4169" s="14" t="s">
        <v>16</v>
      </c>
      <c r="F4169" s="22"/>
      <c r="H4169" s="5" t="e">
        <f ca="1">_xlfn.FORMULATEXT(표1[[#This Row],[Q''ty]])</f>
        <v>#N/A</v>
      </c>
    </row>
    <row r="4170" spans="1:10" ht="15" hidden="1" customHeight="1" thickBot="1" x14ac:dyDescent="0.45">
      <c r="A4170" s="15">
        <v>2026</v>
      </c>
      <c r="B4170" s="15">
        <f t="shared" si="536"/>
        <v>43</v>
      </c>
      <c r="C4170" s="16" t="s">
        <v>23</v>
      </c>
      <c r="D4170" s="17" t="s">
        <v>12</v>
      </c>
      <c r="E4170" s="18" t="s">
        <v>17</v>
      </c>
      <c r="F4170" s="23"/>
      <c r="H4170" s="5" t="e">
        <f ca="1">_xlfn.FORMULATEXT(표1[[#This Row],[Q''ty]])</f>
        <v>#N/A</v>
      </c>
    </row>
    <row r="4171" spans="1:10" ht="15" hidden="1" customHeight="1" thickTop="1" x14ac:dyDescent="0.4">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4">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4">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4">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4">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4">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4">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4">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4">
      <c r="A4179" s="6">
        <v>2026</v>
      </c>
      <c r="B4179" s="6">
        <f t="shared" si="536"/>
        <v>43</v>
      </c>
      <c r="C4179" s="13" t="s">
        <v>24</v>
      </c>
      <c r="D4179" s="2" t="s">
        <v>12</v>
      </c>
      <c r="E4179" s="14" t="s">
        <v>15</v>
      </c>
      <c r="F4179" s="22"/>
      <c r="H4179" s="5" t="e">
        <f ca="1">_xlfn.FORMULATEXT(표1[[#This Row],[Q''ty]])</f>
        <v>#N/A</v>
      </c>
    </row>
    <row r="4180" spans="1:10" ht="15" hidden="1" customHeight="1" x14ac:dyDescent="0.4">
      <c r="A4180" s="6">
        <v>2026</v>
      </c>
      <c r="B4180" s="6">
        <f t="shared" si="536"/>
        <v>43</v>
      </c>
      <c r="C4180" s="13" t="s">
        <v>24</v>
      </c>
      <c r="D4180" s="2" t="s">
        <v>12</v>
      </c>
      <c r="E4180" s="14" t="s">
        <v>16</v>
      </c>
      <c r="F4180" s="22"/>
      <c r="H4180" s="5" t="e">
        <f ca="1">_xlfn.FORMULATEXT(표1[[#This Row],[Q''ty]])</f>
        <v>#N/A</v>
      </c>
    </row>
    <row r="4181" spans="1:10" ht="15" hidden="1" customHeight="1" thickBot="1" x14ac:dyDescent="0.45">
      <c r="A4181" s="15">
        <v>2026</v>
      </c>
      <c r="B4181" s="15">
        <f t="shared" si="536"/>
        <v>43</v>
      </c>
      <c r="C4181" s="16" t="s">
        <v>24</v>
      </c>
      <c r="D4181" s="17" t="s">
        <v>12</v>
      </c>
      <c r="E4181" s="18" t="s">
        <v>17</v>
      </c>
      <c r="F4181" s="23"/>
      <c r="H4181" s="5" t="e">
        <f ca="1">_xlfn.FORMULATEXT(표1[[#This Row],[Q''ty]])</f>
        <v>#N/A</v>
      </c>
    </row>
    <row r="4182" spans="1:10" ht="15" hidden="1" customHeight="1" thickTop="1" x14ac:dyDescent="0.4">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4">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4">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4">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4">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4">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4">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4">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4">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4">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4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4">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4">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4">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4">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4">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4">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4">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4">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4">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4">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4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4">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4">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4">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4">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4">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4">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4">
      <c r="A4210" s="6">
        <v>2026</v>
      </c>
      <c r="B4210" s="6">
        <f t="shared" si="536"/>
        <v>43</v>
      </c>
      <c r="C4210" s="13" t="s">
        <v>25</v>
      </c>
      <c r="D4210" s="2" t="s">
        <v>12</v>
      </c>
      <c r="E4210" s="14" t="s">
        <v>13</v>
      </c>
      <c r="F4210" s="22"/>
      <c r="H4210" s="5" t="e">
        <f ca="1">_xlfn.FORMULATEXT(표1[[#This Row],[Q''ty]])</f>
        <v>#N/A</v>
      </c>
    </row>
    <row r="4211" spans="1:8" ht="15" hidden="1" customHeight="1" x14ac:dyDescent="0.4">
      <c r="A4211" s="6">
        <v>2026</v>
      </c>
      <c r="B4211" s="6">
        <f t="shared" si="536"/>
        <v>43</v>
      </c>
      <c r="C4211" s="13" t="s">
        <v>25</v>
      </c>
      <c r="D4211" s="2" t="s">
        <v>12</v>
      </c>
      <c r="E4211" s="14" t="s">
        <v>14</v>
      </c>
      <c r="F4211" s="22"/>
      <c r="H4211" s="5" t="e">
        <f ca="1">_xlfn.FORMULATEXT(표1[[#This Row],[Q''ty]])</f>
        <v>#N/A</v>
      </c>
    </row>
    <row r="4212" spans="1:8" ht="15" hidden="1" customHeight="1" x14ac:dyDescent="0.4">
      <c r="A4212" s="6">
        <v>2026</v>
      </c>
      <c r="B4212" s="6">
        <f t="shared" si="536"/>
        <v>43</v>
      </c>
      <c r="C4212" s="13" t="s">
        <v>25</v>
      </c>
      <c r="D4212" s="2" t="s">
        <v>12</v>
      </c>
      <c r="E4212" s="14" t="s">
        <v>15</v>
      </c>
      <c r="F4212" s="22"/>
      <c r="H4212" s="5" t="e">
        <f ca="1">_xlfn.FORMULATEXT(표1[[#This Row],[Q''ty]])</f>
        <v>#N/A</v>
      </c>
    </row>
    <row r="4213" spans="1:8" ht="15" hidden="1" customHeight="1" x14ac:dyDescent="0.4">
      <c r="A4213" s="6">
        <v>2026</v>
      </c>
      <c r="B4213" s="6">
        <f t="shared" si="536"/>
        <v>43</v>
      </c>
      <c r="C4213" s="13" t="s">
        <v>25</v>
      </c>
      <c r="D4213" s="2" t="s">
        <v>12</v>
      </c>
      <c r="E4213" s="14" t="s">
        <v>16</v>
      </c>
      <c r="F4213" s="22"/>
      <c r="H4213" s="5" t="e">
        <f ca="1">_xlfn.FORMULATEXT(표1[[#This Row],[Q''ty]])</f>
        <v>#N/A</v>
      </c>
    </row>
    <row r="4214" spans="1:8" ht="15" hidden="1" customHeight="1" thickBot="1" x14ac:dyDescent="0.45">
      <c r="A4214" s="15">
        <v>2026</v>
      </c>
      <c r="B4214" s="15">
        <f t="shared" si="536"/>
        <v>43</v>
      </c>
      <c r="C4214" s="16" t="s">
        <v>25</v>
      </c>
      <c r="D4214" s="17" t="s">
        <v>12</v>
      </c>
      <c r="E4214" s="18" t="s">
        <v>17</v>
      </c>
      <c r="F4214" s="23"/>
      <c r="H4214" s="5" t="e">
        <f ca="1">_xlfn.FORMULATEXT(표1[[#This Row],[Q''ty]])</f>
        <v>#N/A</v>
      </c>
    </row>
    <row r="4215" spans="1:8" ht="15" hidden="1" customHeight="1" thickTop="1" x14ac:dyDescent="0.4">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4">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4">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4">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4">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4">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4">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4">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4">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4">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4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4">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4">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4">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4">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4">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4">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4">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4">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4">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4">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4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4">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4">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4">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4">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4">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4">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4">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4">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4">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4">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4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4">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4">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4">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4">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4">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4">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4">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4">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4">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4">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45">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4">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4">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4">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4">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4">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4">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4">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4">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4">
      <c r="A4267" s="6">
        <v>2026</v>
      </c>
      <c r="B4267" s="6">
        <f t="shared" si="549"/>
        <v>44</v>
      </c>
      <c r="C4267" s="13" t="s">
        <v>23</v>
      </c>
      <c r="D4267" s="2" t="s">
        <v>12</v>
      </c>
      <c r="E4267" s="14" t="s">
        <v>15</v>
      </c>
      <c r="F4267" s="22"/>
      <c r="H4267" s="5" t="e">
        <f ca="1">_xlfn.FORMULATEXT(표1[[#This Row],[Q''ty]])</f>
        <v>#N/A</v>
      </c>
    </row>
    <row r="4268" spans="1:10" ht="15" hidden="1" customHeight="1" x14ac:dyDescent="0.4">
      <c r="A4268" s="6">
        <v>2026</v>
      </c>
      <c r="B4268" s="6">
        <f t="shared" si="549"/>
        <v>44</v>
      </c>
      <c r="C4268" s="13" t="s">
        <v>23</v>
      </c>
      <c r="D4268" s="2" t="s">
        <v>12</v>
      </c>
      <c r="E4268" s="14" t="s">
        <v>16</v>
      </c>
      <c r="F4268" s="22"/>
      <c r="H4268" s="5" t="e">
        <f ca="1">_xlfn.FORMULATEXT(표1[[#This Row],[Q''ty]])</f>
        <v>#N/A</v>
      </c>
    </row>
    <row r="4269" spans="1:10" ht="15" hidden="1" customHeight="1" thickBot="1" x14ac:dyDescent="0.45">
      <c r="A4269" s="15">
        <v>2026</v>
      </c>
      <c r="B4269" s="15">
        <f t="shared" si="549"/>
        <v>44</v>
      </c>
      <c r="C4269" s="16" t="s">
        <v>23</v>
      </c>
      <c r="D4269" s="17" t="s">
        <v>12</v>
      </c>
      <c r="E4269" s="18" t="s">
        <v>17</v>
      </c>
      <c r="F4269" s="23"/>
      <c r="H4269" s="5" t="e">
        <f ca="1">_xlfn.FORMULATEXT(표1[[#This Row],[Q''ty]])</f>
        <v>#N/A</v>
      </c>
    </row>
    <row r="4270" spans="1:10" ht="15" hidden="1" customHeight="1" thickTop="1" x14ac:dyDescent="0.4">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4">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4">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4">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4">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4">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4">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4">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4">
      <c r="A4278" s="6">
        <v>2026</v>
      </c>
      <c r="B4278" s="6">
        <f t="shared" si="549"/>
        <v>44</v>
      </c>
      <c r="C4278" s="13" t="s">
        <v>24</v>
      </c>
      <c r="D4278" s="2" t="s">
        <v>12</v>
      </c>
      <c r="E4278" s="14" t="s">
        <v>15</v>
      </c>
      <c r="F4278" s="22"/>
      <c r="H4278" s="5" t="e">
        <f ca="1">_xlfn.FORMULATEXT(표1[[#This Row],[Q''ty]])</f>
        <v>#N/A</v>
      </c>
    </row>
    <row r="4279" spans="1:10" ht="15" hidden="1" customHeight="1" x14ac:dyDescent="0.4">
      <c r="A4279" s="6">
        <v>2026</v>
      </c>
      <c r="B4279" s="6">
        <f t="shared" si="549"/>
        <v>44</v>
      </c>
      <c r="C4279" s="13" t="s">
        <v>24</v>
      </c>
      <c r="D4279" s="2" t="s">
        <v>12</v>
      </c>
      <c r="E4279" s="14" t="s">
        <v>16</v>
      </c>
      <c r="F4279" s="22"/>
      <c r="H4279" s="5" t="e">
        <f ca="1">_xlfn.FORMULATEXT(표1[[#This Row],[Q''ty]])</f>
        <v>#N/A</v>
      </c>
    </row>
    <row r="4280" spans="1:10" ht="15" hidden="1" customHeight="1" thickBot="1" x14ac:dyDescent="0.45">
      <c r="A4280" s="15">
        <v>2026</v>
      </c>
      <c r="B4280" s="15">
        <f t="shared" si="549"/>
        <v>44</v>
      </c>
      <c r="C4280" s="16" t="s">
        <v>24</v>
      </c>
      <c r="D4280" s="17" t="s">
        <v>12</v>
      </c>
      <c r="E4280" s="18" t="s">
        <v>17</v>
      </c>
      <c r="F4280" s="23"/>
      <c r="H4280" s="5" t="e">
        <f ca="1">_xlfn.FORMULATEXT(표1[[#This Row],[Q''ty]])</f>
        <v>#N/A</v>
      </c>
    </row>
    <row r="4281" spans="1:10" ht="15" hidden="1" customHeight="1" thickTop="1" x14ac:dyDescent="0.4">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4">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4">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4">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4">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4">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4">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4">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4">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4">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4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4">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4">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4">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4">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4">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4">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4">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4">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4">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4">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4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4">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4">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4">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4">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4">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4">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4">
      <c r="A4309" s="6">
        <v>2026</v>
      </c>
      <c r="B4309" s="6">
        <f t="shared" si="549"/>
        <v>44</v>
      </c>
      <c r="C4309" s="13" t="s">
        <v>25</v>
      </c>
      <c r="D4309" s="2" t="s">
        <v>12</v>
      </c>
      <c r="E4309" s="14" t="s">
        <v>13</v>
      </c>
      <c r="F4309" s="22"/>
      <c r="H4309" s="5" t="e">
        <f ca="1">_xlfn.FORMULATEXT(표1[[#This Row],[Q''ty]])</f>
        <v>#N/A</v>
      </c>
    </row>
    <row r="4310" spans="1:8" ht="15" hidden="1" customHeight="1" x14ac:dyDescent="0.4">
      <c r="A4310" s="6">
        <v>2026</v>
      </c>
      <c r="B4310" s="6">
        <f t="shared" si="549"/>
        <v>44</v>
      </c>
      <c r="C4310" s="13" t="s">
        <v>25</v>
      </c>
      <c r="D4310" s="2" t="s">
        <v>12</v>
      </c>
      <c r="E4310" s="14" t="s">
        <v>14</v>
      </c>
      <c r="F4310" s="22"/>
      <c r="H4310" s="5" t="e">
        <f ca="1">_xlfn.FORMULATEXT(표1[[#This Row],[Q''ty]])</f>
        <v>#N/A</v>
      </c>
    </row>
    <row r="4311" spans="1:8" ht="15" hidden="1" customHeight="1" x14ac:dyDescent="0.4">
      <c r="A4311" s="6">
        <v>2026</v>
      </c>
      <c r="B4311" s="6">
        <f t="shared" si="549"/>
        <v>44</v>
      </c>
      <c r="C4311" s="13" t="s">
        <v>25</v>
      </c>
      <c r="D4311" s="2" t="s">
        <v>12</v>
      </c>
      <c r="E4311" s="14" t="s">
        <v>15</v>
      </c>
      <c r="F4311" s="22"/>
      <c r="H4311" s="5" t="e">
        <f ca="1">_xlfn.FORMULATEXT(표1[[#This Row],[Q''ty]])</f>
        <v>#N/A</v>
      </c>
    </row>
    <row r="4312" spans="1:8" ht="15" hidden="1" customHeight="1" x14ac:dyDescent="0.4">
      <c r="A4312" s="6">
        <v>2026</v>
      </c>
      <c r="B4312" s="6">
        <f t="shared" si="549"/>
        <v>44</v>
      </c>
      <c r="C4312" s="13" t="s">
        <v>25</v>
      </c>
      <c r="D4312" s="2" t="s">
        <v>12</v>
      </c>
      <c r="E4312" s="14" t="s">
        <v>16</v>
      </c>
      <c r="F4312" s="22"/>
      <c r="H4312" s="5" t="e">
        <f ca="1">_xlfn.FORMULATEXT(표1[[#This Row],[Q''ty]])</f>
        <v>#N/A</v>
      </c>
    </row>
    <row r="4313" spans="1:8" ht="15" hidden="1" customHeight="1" thickBot="1" x14ac:dyDescent="0.45">
      <c r="A4313" s="15">
        <v>2026</v>
      </c>
      <c r="B4313" s="15">
        <f t="shared" si="549"/>
        <v>44</v>
      </c>
      <c r="C4313" s="16" t="s">
        <v>25</v>
      </c>
      <c r="D4313" s="17" t="s">
        <v>12</v>
      </c>
      <c r="E4313" s="18" t="s">
        <v>17</v>
      </c>
      <c r="F4313" s="23"/>
      <c r="H4313" s="5" t="e">
        <f ca="1">_xlfn.FORMULATEXT(표1[[#This Row],[Q''ty]])</f>
        <v>#N/A</v>
      </c>
    </row>
    <row r="4314" spans="1:8" ht="15" hidden="1" customHeight="1" thickTop="1" x14ac:dyDescent="0.4">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4">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4">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4">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4">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4">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4">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4">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4">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4">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4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4">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4">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4">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4">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4">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4">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4">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4">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4">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4">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4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4">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4">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4">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4">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4">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4">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4">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4">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4">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4">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4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4">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4">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4">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4">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4">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4">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4">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4">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4">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4">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45">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4">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4">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4">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4">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4">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4">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4">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4">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4">
      <c r="A4366" s="6">
        <v>2026</v>
      </c>
      <c r="B4366" s="6">
        <f t="shared" si="562"/>
        <v>45</v>
      </c>
      <c r="C4366" s="13" t="s">
        <v>23</v>
      </c>
      <c r="D4366" s="2" t="s">
        <v>12</v>
      </c>
      <c r="E4366" s="14" t="s">
        <v>15</v>
      </c>
      <c r="F4366" s="22"/>
      <c r="H4366" s="5" t="e">
        <f ca="1">_xlfn.FORMULATEXT(표1[[#This Row],[Q''ty]])</f>
        <v>#N/A</v>
      </c>
    </row>
    <row r="4367" spans="1:10" ht="15" hidden="1" customHeight="1" x14ac:dyDescent="0.4">
      <c r="A4367" s="6">
        <v>2026</v>
      </c>
      <c r="B4367" s="6">
        <f t="shared" si="562"/>
        <v>45</v>
      </c>
      <c r="C4367" s="13" t="s">
        <v>23</v>
      </c>
      <c r="D4367" s="2" t="s">
        <v>12</v>
      </c>
      <c r="E4367" s="14" t="s">
        <v>16</v>
      </c>
      <c r="F4367" s="22"/>
      <c r="H4367" s="5" t="e">
        <f ca="1">_xlfn.FORMULATEXT(표1[[#This Row],[Q''ty]])</f>
        <v>#N/A</v>
      </c>
    </row>
    <row r="4368" spans="1:10" ht="15" hidden="1" customHeight="1" thickBot="1" x14ac:dyDescent="0.45">
      <c r="A4368" s="15">
        <v>2026</v>
      </c>
      <c r="B4368" s="15">
        <f t="shared" si="562"/>
        <v>45</v>
      </c>
      <c r="C4368" s="16" t="s">
        <v>23</v>
      </c>
      <c r="D4368" s="17" t="s">
        <v>12</v>
      </c>
      <c r="E4368" s="18" t="s">
        <v>17</v>
      </c>
      <c r="F4368" s="23"/>
      <c r="H4368" s="5" t="e">
        <f ca="1">_xlfn.FORMULATEXT(표1[[#This Row],[Q''ty]])</f>
        <v>#N/A</v>
      </c>
    </row>
    <row r="4369" spans="1:10" ht="15" hidden="1" customHeight="1" thickTop="1" x14ac:dyDescent="0.4">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4">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4">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4">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4">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4">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4">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4">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4">
      <c r="A4377" s="6">
        <v>2026</v>
      </c>
      <c r="B4377" s="6">
        <f t="shared" si="562"/>
        <v>45</v>
      </c>
      <c r="C4377" s="13" t="s">
        <v>24</v>
      </c>
      <c r="D4377" s="2" t="s">
        <v>12</v>
      </c>
      <c r="E4377" s="14" t="s">
        <v>15</v>
      </c>
      <c r="F4377" s="22"/>
      <c r="H4377" s="5" t="e">
        <f ca="1">_xlfn.FORMULATEXT(표1[[#This Row],[Q''ty]])</f>
        <v>#N/A</v>
      </c>
    </row>
    <row r="4378" spans="1:10" ht="15" hidden="1" customHeight="1" x14ac:dyDescent="0.4">
      <c r="A4378" s="6">
        <v>2026</v>
      </c>
      <c r="B4378" s="6">
        <f t="shared" si="562"/>
        <v>45</v>
      </c>
      <c r="C4378" s="13" t="s">
        <v>24</v>
      </c>
      <c r="D4378" s="2" t="s">
        <v>12</v>
      </c>
      <c r="E4378" s="14" t="s">
        <v>16</v>
      </c>
      <c r="F4378" s="22"/>
      <c r="H4378" s="5" t="e">
        <f ca="1">_xlfn.FORMULATEXT(표1[[#This Row],[Q''ty]])</f>
        <v>#N/A</v>
      </c>
    </row>
    <row r="4379" spans="1:10" ht="15" hidden="1" customHeight="1" thickBot="1" x14ac:dyDescent="0.45">
      <c r="A4379" s="15">
        <v>2026</v>
      </c>
      <c r="B4379" s="15">
        <f t="shared" si="562"/>
        <v>45</v>
      </c>
      <c r="C4379" s="16" t="s">
        <v>24</v>
      </c>
      <c r="D4379" s="17" t="s">
        <v>12</v>
      </c>
      <c r="E4379" s="18" t="s">
        <v>17</v>
      </c>
      <c r="F4379" s="23"/>
      <c r="H4379" s="5" t="e">
        <f ca="1">_xlfn.FORMULATEXT(표1[[#This Row],[Q''ty]])</f>
        <v>#N/A</v>
      </c>
    </row>
    <row r="4380" spans="1:10" ht="15" hidden="1" customHeight="1" thickTop="1" x14ac:dyDescent="0.4">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4">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4">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4">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4">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4">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4">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4">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4">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4">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4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4">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4">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4">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4">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4">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4">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4">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4">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4">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4">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4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4">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4">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4">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4">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4">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4">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4">
      <c r="A4408" s="6">
        <v>2026</v>
      </c>
      <c r="B4408" s="6">
        <f t="shared" si="562"/>
        <v>45</v>
      </c>
      <c r="C4408" s="13" t="s">
        <v>25</v>
      </c>
      <c r="D4408" s="2" t="s">
        <v>12</v>
      </c>
      <c r="E4408" s="14" t="s">
        <v>13</v>
      </c>
      <c r="F4408" s="22"/>
      <c r="H4408" s="5" t="e">
        <f ca="1">_xlfn.FORMULATEXT(표1[[#This Row],[Q''ty]])</f>
        <v>#N/A</v>
      </c>
    </row>
    <row r="4409" spans="1:8" ht="15" hidden="1" customHeight="1" x14ac:dyDescent="0.4">
      <c r="A4409" s="6">
        <v>2026</v>
      </c>
      <c r="B4409" s="6">
        <f t="shared" si="562"/>
        <v>45</v>
      </c>
      <c r="C4409" s="13" t="s">
        <v>25</v>
      </c>
      <c r="D4409" s="2" t="s">
        <v>12</v>
      </c>
      <c r="E4409" s="14" t="s">
        <v>14</v>
      </c>
      <c r="F4409" s="22"/>
      <c r="H4409" s="5" t="e">
        <f ca="1">_xlfn.FORMULATEXT(표1[[#This Row],[Q''ty]])</f>
        <v>#N/A</v>
      </c>
    </row>
    <row r="4410" spans="1:8" ht="15" hidden="1" customHeight="1" x14ac:dyDescent="0.4">
      <c r="A4410" s="6">
        <v>2026</v>
      </c>
      <c r="B4410" s="6">
        <f t="shared" si="562"/>
        <v>45</v>
      </c>
      <c r="C4410" s="13" t="s">
        <v>25</v>
      </c>
      <c r="D4410" s="2" t="s">
        <v>12</v>
      </c>
      <c r="E4410" s="14" t="s">
        <v>15</v>
      </c>
      <c r="F4410" s="22"/>
      <c r="H4410" s="5" t="e">
        <f ca="1">_xlfn.FORMULATEXT(표1[[#This Row],[Q''ty]])</f>
        <v>#N/A</v>
      </c>
    </row>
    <row r="4411" spans="1:8" ht="15" hidden="1" customHeight="1" x14ac:dyDescent="0.4">
      <c r="A4411" s="6">
        <v>2026</v>
      </c>
      <c r="B4411" s="6">
        <f t="shared" si="562"/>
        <v>45</v>
      </c>
      <c r="C4411" s="13" t="s">
        <v>25</v>
      </c>
      <c r="D4411" s="2" t="s">
        <v>12</v>
      </c>
      <c r="E4411" s="14" t="s">
        <v>16</v>
      </c>
      <c r="F4411" s="22"/>
      <c r="H4411" s="5" t="e">
        <f ca="1">_xlfn.FORMULATEXT(표1[[#This Row],[Q''ty]])</f>
        <v>#N/A</v>
      </c>
    </row>
    <row r="4412" spans="1:8" ht="15" hidden="1" customHeight="1" thickBot="1" x14ac:dyDescent="0.45">
      <c r="A4412" s="15">
        <v>2026</v>
      </c>
      <c r="B4412" s="15">
        <f t="shared" si="562"/>
        <v>45</v>
      </c>
      <c r="C4412" s="16" t="s">
        <v>25</v>
      </c>
      <c r="D4412" s="17" t="s">
        <v>12</v>
      </c>
      <c r="E4412" s="18" t="s">
        <v>17</v>
      </c>
      <c r="F4412" s="23"/>
      <c r="H4412" s="5" t="e">
        <f ca="1">_xlfn.FORMULATEXT(표1[[#This Row],[Q''ty]])</f>
        <v>#N/A</v>
      </c>
    </row>
    <row r="4413" spans="1:8" ht="15" hidden="1" customHeight="1" thickTop="1" x14ac:dyDescent="0.4">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4">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4">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4">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4">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4">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4">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4">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4">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4">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4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4">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4">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4">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4">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4">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4">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4">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4">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4">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4">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4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4">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4">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4">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4">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4">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4">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4">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4">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4">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4">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4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4">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4">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4">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4">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4">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4">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4">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4">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4">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4">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45">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4">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4">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4">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4">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4">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4">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4">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4">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4">
      <c r="A4465" s="6">
        <v>2026</v>
      </c>
      <c r="B4465" s="6">
        <f t="shared" si="575"/>
        <v>46</v>
      </c>
      <c r="C4465" s="13" t="s">
        <v>23</v>
      </c>
      <c r="D4465" s="2" t="s">
        <v>12</v>
      </c>
      <c r="E4465" s="14" t="s">
        <v>15</v>
      </c>
      <c r="F4465" s="22"/>
      <c r="H4465" s="5" t="e">
        <f ca="1">_xlfn.FORMULATEXT(표1[[#This Row],[Q''ty]])</f>
        <v>#N/A</v>
      </c>
    </row>
    <row r="4466" spans="1:10" ht="15" hidden="1" customHeight="1" x14ac:dyDescent="0.4">
      <c r="A4466" s="6">
        <v>2026</v>
      </c>
      <c r="B4466" s="6">
        <f t="shared" si="575"/>
        <v>46</v>
      </c>
      <c r="C4466" s="13" t="s">
        <v>23</v>
      </c>
      <c r="D4466" s="2" t="s">
        <v>12</v>
      </c>
      <c r="E4466" s="14" t="s">
        <v>16</v>
      </c>
      <c r="F4466" s="22"/>
      <c r="H4466" s="5" t="e">
        <f ca="1">_xlfn.FORMULATEXT(표1[[#This Row],[Q''ty]])</f>
        <v>#N/A</v>
      </c>
    </row>
    <row r="4467" spans="1:10" ht="15" hidden="1" customHeight="1" thickBot="1" x14ac:dyDescent="0.45">
      <c r="A4467" s="15">
        <v>2026</v>
      </c>
      <c r="B4467" s="15">
        <f t="shared" si="575"/>
        <v>46</v>
      </c>
      <c r="C4467" s="16" t="s">
        <v>23</v>
      </c>
      <c r="D4467" s="17" t="s">
        <v>12</v>
      </c>
      <c r="E4467" s="18" t="s">
        <v>17</v>
      </c>
      <c r="F4467" s="23"/>
      <c r="H4467" s="5" t="e">
        <f ca="1">_xlfn.FORMULATEXT(표1[[#This Row],[Q''ty]])</f>
        <v>#N/A</v>
      </c>
    </row>
    <row r="4468" spans="1:10" ht="15" hidden="1" customHeight="1" thickTop="1" x14ac:dyDescent="0.4">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4">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4">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4">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4">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4">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4">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4">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4">
      <c r="A4476" s="6">
        <v>2026</v>
      </c>
      <c r="B4476" s="6">
        <f t="shared" si="575"/>
        <v>46</v>
      </c>
      <c r="C4476" s="13" t="s">
        <v>24</v>
      </c>
      <c r="D4476" s="2" t="s">
        <v>12</v>
      </c>
      <c r="E4476" s="14" t="s">
        <v>15</v>
      </c>
      <c r="F4476" s="22"/>
      <c r="H4476" s="5" t="e">
        <f ca="1">_xlfn.FORMULATEXT(표1[[#This Row],[Q''ty]])</f>
        <v>#N/A</v>
      </c>
    </row>
    <row r="4477" spans="1:10" ht="15" hidden="1" customHeight="1" x14ac:dyDescent="0.4">
      <c r="A4477" s="6">
        <v>2026</v>
      </c>
      <c r="B4477" s="6">
        <f t="shared" si="575"/>
        <v>46</v>
      </c>
      <c r="C4477" s="13" t="s">
        <v>24</v>
      </c>
      <c r="D4477" s="2" t="s">
        <v>12</v>
      </c>
      <c r="E4477" s="14" t="s">
        <v>16</v>
      </c>
      <c r="F4477" s="22"/>
      <c r="H4477" s="5" t="e">
        <f ca="1">_xlfn.FORMULATEXT(표1[[#This Row],[Q''ty]])</f>
        <v>#N/A</v>
      </c>
    </row>
    <row r="4478" spans="1:10" ht="15" hidden="1" customHeight="1" thickBot="1" x14ac:dyDescent="0.45">
      <c r="A4478" s="15">
        <v>2026</v>
      </c>
      <c r="B4478" s="15">
        <f t="shared" si="575"/>
        <v>46</v>
      </c>
      <c r="C4478" s="16" t="s">
        <v>24</v>
      </c>
      <c r="D4478" s="17" t="s">
        <v>12</v>
      </c>
      <c r="E4478" s="18" t="s">
        <v>17</v>
      </c>
      <c r="F4478" s="23"/>
      <c r="H4478" s="5" t="e">
        <f ca="1">_xlfn.FORMULATEXT(표1[[#This Row],[Q''ty]])</f>
        <v>#N/A</v>
      </c>
    </row>
    <row r="4479" spans="1:10" ht="15" hidden="1" customHeight="1" thickTop="1" x14ac:dyDescent="0.4">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4">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4">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4">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4">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4">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4">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4">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4">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4">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4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4">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4">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4">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4">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4">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4">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4">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4">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4">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4">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4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4">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4">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4">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4">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4">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4">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4">
      <c r="A4507" s="6">
        <v>2026</v>
      </c>
      <c r="B4507" s="6">
        <f t="shared" si="575"/>
        <v>46</v>
      </c>
      <c r="C4507" s="13" t="s">
        <v>25</v>
      </c>
      <c r="D4507" s="2" t="s">
        <v>12</v>
      </c>
      <c r="E4507" s="14" t="s">
        <v>13</v>
      </c>
      <c r="F4507" s="22"/>
      <c r="H4507" s="5" t="e">
        <f ca="1">_xlfn.FORMULATEXT(표1[[#This Row],[Q''ty]])</f>
        <v>#N/A</v>
      </c>
    </row>
    <row r="4508" spans="1:8" ht="15" hidden="1" customHeight="1" x14ac:dyDescent="0.4">
      <c r="A4508" s="6">
        <v>2026</v>
      </c>
      <c r="B4508" s="6">
        <f t="shared" si="575"/>
        <v>46</v>
      </c>
      <c r="C4508" s="13" t="s">
        <v>25</v>
      </c>
      <c r="D4508" s="2" t="s">
        <v>12</v>
      </c>
      <c r="E4508" s="14" t="s">
        <v>14</v>
      </c>
      <c r="F4508" s="22"/>
      <c r="H4508" s="5" t="e">
        <f ca="1">_xlfn.FORMULATEXT(표1[[#This Row],[Q''ty]])</f>
        <v>#N/A</v>
      </c>
    </row>
    <row r="4509" spans="1:8" ht="15" hidden="1" customHeight="1" x14ac:dyDescent="0.4">
      <c r="A4509" s="6">
        <v>2026</v>
      </c>
      <c r="B4509" s="6">
        <f t="shared" si="575"/>
        <v>46</v>
      </c>
      <c r="C4509" s="13" t="s">
        <v>25</v>
      </c>
      <c r="D4509" s="2" t="s">
        <v>12</v>
      </c>
      <c r="E4509" s="14" t="s">
        <v>15</v>
      </c>
      <c r="F4509" s="22"/>
      <c r="H4509" s="5" t="e">
        <f ca="1">_xlfn.FORMULATEXT(표1[[#This Row],[Q''ty]])</f>
        <v>#N/A</v>
      </c>
    </row>
    <row r="4510" spans="1:8" ht="15" hidden="1" customHeight="1" x14ac:dyDescent="0.4">
      <c r="A4510" s="6">
        <v>2026</v>
      </c>
      <c r="B4510" s="6">
        <f t="shared" si="575"/>
        <v>46</v>
      </c>
      <c r="C4510" s="13" t="s">
        <v>25</v>
      </c>
      <c r="D4510" s="2" t="s">
        <v>12</v>
      </c>
      <c r="E4510" s="14" t="s">
        <v>16</v>
      </c>
      <c r="F4510" s="22"/>
      <c r="H4510" s="5" t="e">
        <f ca="1">_xlfn.FORMULATEXT(표1[[#This Row],[Q''ty]])</f>
        <v>#N/A</v>
      </c>
    </row>
    <row r="4511" spans="1:8" ht="15" hidden="1" customHeight="1" thickBot="1" x14ac:dyDescent="0.45">
      <c r="A4511" s="15">
        <v>2026</v>
      </c>
      <c r="B4511" s="15">
        <f t="shared" si="575"/>
        <v>46</v>
      </c>
      <c r="C4511" s="16" t="s">
        <v>25</v>
      </c>
      <c r="D4511" s="17" t="s">
        <v>12</v>
      </c>
      <c r="E4511" s="18" t="s">
        <v>17</v>
      </c>
      <c r="F4511" s="23"/>
      <c r="H4511" s="5" t="e">
        <f ca="1">_xlfn.FORMULATEXT(표1[[#This Row],[Q''ty]])</f>
        <v>#N/A</v>
      </c>
    </row>
    <row r="4512" spans="1:8" ht="15" hidden="1" customHeight="1" thickTop="1" x14ac:dyDescent="0.4">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4">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4">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4">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4">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4">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4">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4">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4">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4">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4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4">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4">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4">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4">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4">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4">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4">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4">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4">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4">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4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4">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4">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4">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4">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4">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4">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4">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4">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4">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4">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4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4">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4">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4">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4">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4">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4">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4">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4">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4">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4">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45">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4">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4">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4">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4">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4">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4">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4">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4">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4">
      <c r="A4564" s="6">
        <v>2026</v>
      </c>
      <c r="B4564" s="6">
        <f t="shared" si="588"/>
        <v>47</v>
      </c>
      <c r="C4564" s="13" t="s">
        <v>23</v>
      </c>
      <c r="D4564" s="2" t="s">
        <v>12</v>
      </c>
      <c r="E4564" s="14" t="s">
        <v>15</v>
      </c>
      <c r="F4564" s="22"/>
      <c r="H4564" s="5" t="e">
        <f ca="1">_xlfn.FORMULATEXT(표1[[#This Row],[Q''ty]])</f>
        <v>#N/A</v>
      </c>
    </row>
    <row r="4565" spans="1:10" ht="15" hidden="1" customHeight="1" x14ac:dyDescent="0.4">
      <c r="A4565" s="6">
        <v>2026</v>
      </c>
      <c r="B4565" s="6">
        <f t="shared" si="588"/>
        <v>47</v>
      </c>
      <c r="C4565" s="13" t="s">
        <v>23</v>
      </c>
      <c r="D4565" s="2" t="s">
        <v>12</v>
      </c>
      <c r="E4565" s="14" t="s">
        <v>16</v>
      </c>
      <c r="F4565" s="22"/>
      <c r="H4565" s="5" t="e">
        <f ca="1">_xlfn.FORMULATEXT(표1[[#This Row],[Q''ty]])</f>
        <v>#N/A</v>
      </c>
    </row>
    <row r="4566" spans="1:10" ht="15" hidden="1" customHeight="1" thickBot="1" x14ac:dyDescent="0.45">
      <c r="A4566" s="15">
        <v>2026</v>
      </c>
      <c r="B4566" s="15">
        <f t="shared" si="588"/>
        <v>47</v>
      </c>
      <c r="C4566" s="16" t="s">
        <v>23</v>
      </c>
      <c r="D4566" s="17" t="s">
        <v>12</v>
      </c>
      <c r="E4566" s="18" t="s">
        <v>17</v>
      </c>
      <c r="F4566" s="23"/>
      <c r="H4566" s="5" t="e">
        <f ca="1">_xlfn.FORMULATEXT(표1[[#This Row],[Q''ty]])</f>
        <v>#N/A</v>
      </c>
    </row>
    <row r="4567" spans="1:10" ht="15" hidden="1" customHeight="1" thickTop="1" x14ac:dyDescent="0.4">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4">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4">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4">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4">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4">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4">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4">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4">
      <c r="A4575" s="6">
        <v>2026</v>
      </c>
      <c r="B4575" s="6">
        <f t="shared" si="588"/>
        <v>47</v>
      </c>
      <c r="C4575" s="13" t="s">
        <v>24</v>
      </c>
      <c r="D4575" s="2" t="s">
        <v>12</v>
      </c>
      <c r="E4575" s="14" t="s">
        <v>15</v>
      </c>
      <c r="F4575" s="22"/>
      <c r="H4575" s="5" t="e">
        <f ca="1">_xlfn.FORMULATEXT(표1[[#This Row],[Q''ty]])</f>
        <v>#N/A</v>
      </c>
    </row>
    <row r="4576" spans="1:10" ht="15" hidden="1" customHeight="1" x14ac:dyDescent="0.4">
      <c r="A4576" s="6">
        <v>2026</v>
      </c>
      <c r="B4576" s="6">
        <f t="shared" si="588"/>
        <v>47</v>
      </c>
      <c r="C4576" s="13" t="s">
        <v>24</v>
      </c>
      <c r="D4576" s="2" t="s">
        <v>12</v>
      </c>
      <c r="E4576" s="14" t="s">
        <v>16</v>
      </c>
      <c r="F4576" s="22"/>
      <c r="H4576" s="5" t="e">
        <f ca="1">_xlfn.FORMULATEXT(표1[[#This Row],[Q''ty]])</f>
        <v>#N/A</v>
      </c>
    </row>
    <row r="4577" spans="1:8" ht="15" hidden="1" customHeight="1" thickBot="1" x14ac:dyDescent="0.45">
      <c r="A4577" s="15">
        <v>2026</v>
      </c>
      <c r="B4577" s="15">
        <f t="shared" si="588"/>
        <v>47</v>
      </c>
      <c r="C4577" s="16" t="s">
        <v>24</v>
      </c>
      <c r="D4577" s="17" t="s">
        <v>12</v>
      </c>
      <c r="E4577" s="18" t="s">
        <v>17</v>
      </c>
      <c r="F4577" s="23"/>
      <c r="H4577" s="5" t="e">
        <f ca="1">_xlfn.FORMULATEXT(표1[[#This Row],[Q''ty]])</f>
        <v>#N/A</v>
      </c>
    </row>
    <row r="4578" spans="1:8" ht="15" hidden="1" customHeight="1" thickTop="1" x14ac:dyDescent="0.4">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4">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4">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4">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4">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4">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4">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4">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4">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4">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4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4">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4">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4">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4">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4">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4">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4">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4">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4">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4">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4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4">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4">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4">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4">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4">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4">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4">
      <c r="A4606" s="6">
        <v>2026</v>
      </c>
      <c r="B4606" s="6">
        <f t="shared" si="588"/>
        <v>47</v>
      </c>
      <c r="C4606" s="13" t="s">
        <v>25</v>
      </c>
      <c r="D4606" s="2" t="s">
        <v>12</v>
      </c>
      <c r="E4606" s="14" t="s">
        <v>13</v>
      </c>
      <c r="F4606" s="22"/>
      <c r="H4606" s="5" t="e">
        <f ca="1">_xlfn.FORMULATEXT(표1[[#This Row],[Q''ty]])</f>
        <v>#N/A</v>
      </c>
    </row>
    <row r="4607" spans="1:8" ht="15" hidden="1" customHeight="1" x14ac:dyDescent="0.4">
      <c r="A4607" s="6">
        <v>2026</v>
      </c>
      <c r="B4607" s="6">
        <f t="shared" si="588"/>
        <v>47</v>
      </c>
      <c r="C4607" s="13" t="s">
        <v>25</v>
      </c>
      <c r="D4607" s="2" t="s">
        <v>12</v>
      </c>
      <c r="E4607" s="14" t="s">
        <v>14</v>
      </c>
      <c r="F4607" s="22"/>
      <c r="H4607" s="5" t="e">
        <f ca="1">_xlfn.FORMULATEXT(표1[[#This Row],[Q''ty]])</f>
        <v>#N/A</v>
      </c>
    </row>
    <row r="4608" spans="1:8" ht="15" hidden="1" customHeight="1" x14ac:dyDescent="0.4">
      <c r="A4608" s="6">
        <v>2026</v>
      </c>
      <c r="B4608" s="6">
        <f t="shared" si="588"/>
        <v>47</v>
      </c>
      <c r="C4608" s="13" t="s">
        <v>25</v>
      </c>
      <c r="D4608" s="2" t="s">
        <v>12</v>
      </c>
      <c r="E4608" s="14" t="s">
        <v>15</v>
      </c>
      <c r="F4608" s="22"/>
      <c r="H4608" s="5" t="e">
        <f ca="1">_xlfn.FORMULATEXT(표1[[#This Row],[Q''ty]])</f>
        <v>#N/A</v>
      </c>
    </row>
    <row r="4609" spans="1:8" ht="15" hidden="1" customHeight="1" x14ac:dyDescent="0.4">
      <c r="A4609" s="6">
        <v>2026</v>
      </c>
      <c r="B4609" s="6">
        <f t="shared" si="588"/>
        <v>47</v>
      </c>
      <c r="C4609" s="13" t="s">
        <v>25</v>
      </c>
      <c r="D4609" s="2" t="s">
        <v>12</v>
      </c>
      <c r="E4609" s="14" t="s">
        <v>16</v>
      </c>
      <c r="F4609" s="22"/>
      <c r="H4609" s="5" t="e">
        <f ca="1">_xlfn.FORMULATEXT(표1[[#This Row],[Q''ty]])</f>
        <v>#N/A</v>
      </c>
    </row>
    <row r="4610" spans="1:8" ht="15" hidden="1" customHeight="1" thickBot="1" x14ac:dyDescent="0.45">
      <c r="A4610" s="15">
        <v>2026</v>
      </c>
      <c r="B4610" s="15">
        <f t="shared" si="588"/>
        <v>47</v>
      </c>
      <c r="C4610" s="16" t="s">
        <v>25</v>
      </c>
      <c r="D4610" s="17" t="s">
        <v>12</v>
      </c>
      <c r="E4610" s="18" t="s">
        <v>17</v>
      </c>
      <c r="F4610" s="23"/>
      <c r="H4610" s="5" t="e">
        <f ca="1">_xlfn.FORMULATEXT(표1[[#This Row],[Q''ty]])</f>
        <v>#N/A</v>
      </c>
    </row>
    <row r="4611" spans="1:8" ht="15" hidden="1" customHeight="1" thickTop="1" x14ac:dyDescent="0.4">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4">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4">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4">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4">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4">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4">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4">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4">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4">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4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4">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4">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4">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4">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4">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4">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4">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4">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4">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4">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4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4">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4">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4">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4">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4">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4">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4">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4">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4">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4">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4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4">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4">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4">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4">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4">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4">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4">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4">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4">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4">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45">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4">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4">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4">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4">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4">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4">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4">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4">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4">
      <c r="A4663" s="6">
        <v>2026</v>
      </c>
      <c r="B4663" s="6">
        <f t="shared" si="601"/>
        <v>48</v>
      </c>
      <c r="C4663" s="13" t="s">
        <v>23</v>
      </c>
      <c r="D4663" s="2" t="s">
        <v>12</v>
      </c>
      <c r="E4663" s="14" t="s">
        <v>15</v>
      </c>
      <c r="F4663" s="22"/>
      <c r="H4663" s="5" t="e">
        <f ca="1">_xlfn.FORMULATEXT(표1[[#This Row],[Q''ty]])</f>
        <v>#N/A</v>
      </c>
    </row>
    <row r="4664" spans="1:10" ht="15" hidden="1" customHeight="1" x14ac:dyDescent="0.4">
      <c r="A4664" s="6">
        <v>2026</v>
      </c>
      <c r="B4664" s="6">
        <f t="shared" si="601"/>
        <v>48</v>
      </c>
      <c r="C4664" s="13" t="s">
        <v>23</v>
      </c>
      <c r="D4664" s="2" t="s">
        <v>12</v>
      </c>
      <c r="E4664" s="14" t="s">
        <v>16</v>
      </c>
      <c r="F4664" s="22"/>
      <c r="H4664" s="5" t="e">
        <f ca="1">_xlfn.FORMULATEXT(표1[[#This Row],[Q''ty]])</f>
        <v>#N/A</v>
      </c>
    </row>
    <row r="4665" spans="1:10" ht="15" hidden="1" customHeight="1" thickBot="1" x14ac:dyDescent="0.45">
      <c r="A4665" s="15">
        <v>2026</v>
      </c>
      <c r="B4665" s="15">
        <f t="shared" si="601"/>
        <v>48</v>
      </c>
      <c r="C4665" s="16" t="s">
        <v>23</v>
      </c>
      <c r="D4665" s="17" t="s">
        <v>12</v>
      </c>
      <c r="E4665" s="18" t="s">
        <v>17</v>
      </c>
      <c r="F4665" s="23"/>
      <c r="H4665" s="5" t="e">
        <f ca="1">_xlfn.FORMULATEXT(표1[[#This Row],[Q''ty]])</f>
        <v>#N/A</v>
      </c>
    </row>
    <row r="4666" spans="1:10" ht="15" hidden="1" customHeight="1" thickTop="1" x14ac:dyDescent="0.4">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4">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4">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4">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4">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4">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4">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4">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4">
      <c r="A4674" s="6">
        <v>2026</v>
      </c>
      <c r="B4674" s="6">
        <f t="shared" si="601"/>
        <v>48</v>
      </c>
      <c r="C4674" s="13" t="s">
        <v>24</v>
      </c>
      <c r="D4674" s="2" t="s">
        <v>12</v>
      </c>
      <c r="E4674" s="14" t="s">
        <v>15</v>
      </c>
      <c r="F4674" s="22"/>
      <c r="H4674" s="5" t="e">
        <f ca="1">_xlfn.FORMULATEXT(표1[[#This Row],[Q''ty]])</f>
        <v>#N/A</v>
      </c>
    </row>
    <row r="4675" spans="1:10" ht="15" hidden="1" customHeight="1" x14ac:dyDescent="0.4">
      <c r="A4675" s="6">
        <v>2026</v>
      </c>
      <c r="B4675" s="6">
        <f t="shared" si="601"/>
        <v>48</v>
      </c>
      <c r="C4675" s="13" t="s">
        <v>24</v>
      </c>
      <c r="D4675" s="2" t="s">
        <v>12</v>
      </c>
      <c r="E4675" s="14" t="s">
        <v>16</v>
      </c>
      <c r="F4675" s="22"/>
      <c r="H4675" s="5" t="e">
        <f ca="1">_xlfn.FORMULATEXT(표1[[#This Row],[Q''ty]])</f>
        <v>#N/A</v>
      </c>
    </row>
    <row r="4676" spans="1:10" ht="15" hidden="1" customHeight="1" thickBot="1" x14ac:dyDescent="0.45">
      <c r="A4676" s="15">
        <v>2026</v>
      </c>
      <c r="B4676" s="15">
        <f t="shared" si="601"/>
        <v>48</v>
      </c>
      <c r="C4676" s="16" t="s">
        <v>24</v>
      </c>
      <c r="D4676" s="17" t="s">
        <v>12</v>
      </c>
      <c r="E4676" s="18" t="s">
        <v>17</v>
      </c>
      <c r="F4676" s="23"/>
      <c r="H4676" s="5" t="e">
        <f ca="1">_xlfn.FORMULATEXT(표1[[#This Row],[Q''ty]])</f>
        <v>#N/A</v>
      </c>
    </row>
    <row r="4677" spans="1:10" ht="15" hidden="1" customHeight="1" thickTop="1" x14ac:dyDescent="0.4">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4">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4">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4">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4">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4">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4">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4">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4">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4">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4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4">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4">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4">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4">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4">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4">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4">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4">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4">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4">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4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4">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4">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4">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4">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4">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4">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4">
      <c r="A4705" s="6">
        <v>2026</v>
      </c>
      <c r="B4705" s="6">
        <f t="shared" si="601"/>
        <v>48</v>
      </c>
      <c r="C4705" s="13" t="s">
        <v>25</v>
      </c>
      <c r="D4705" s="2" t="s">
        <v>12</v>
      </c>
      <c r="E4705" s="14" t="s">
        <v>13</v>
      </c>
      <c r="F4705" s="22"/>
      <c r="H4705" s="5" t="e">
        <f ca="1">_xlfn.FORMULATEXT(표1[[#This Row],[Q''ty]])</f>
        <v>#N/A</v>
      </c>
    </row>
    <row r="4706" spans="1:8" ht="15" hidden="1" customHeight="1" x14ac:dyDescent="0.4">
      <c r="A4706" s="6">
        <v>2026</v>
      </c>
      <c r="B4706" s="6">
        <f t="shared" si="601"/>
        <v>48</v>
      </c>
      <c r="C4706" s="13" t="s">
        <v>25</v>
      </c>
      <c r="D4706" s="2" t="s">
        <v>12</v>
      </c>
      <c r="E4706" s="14" t="s">
        <v>14</v>
      </c>
      <c r="F4706" s="22"/>
      <c r="H4706" s="5" t="e">
        <f ca="1">_xlfn.FORMULATEXT(표1[[#This Row],[Q''ty]])</f>
        <v>#N/A</v>
      </c>
    </row>
    <row r="4707" spans="1:8" ht="15" hidden="1" customHeight="1" x14ac:dyDescent="0.4">
      <c r="A4707" s="6">
        <v>2026</v>
      </c>
      <c r="B4707" s="6">
        <f t="shared" si="601"/>
        <v>48</v>
      </c>
      <c r="C4707" s="13" t="s">
        <v>25</v>
      </c>
      <c r="D4707" s="2" t="s">
        <v>12</v>
      </c>
      <c r="E4707" s="14" t="s">
        <v>15</v>
      </c>
      <c r="F4707" s="22"/>
      <c r="H4707" s="5" t="e">
        <f ca="1">_xlfn.FORMULATEXT(표1[[#This Row],[Q''ty]])</f>
        <v>#N/A</v>
      </c>
    </row>
    <row r="4708" spans="1:8" ht="15" hidden="1" customHeight="1" x14ac:dyDescent="0.4">
      <c r="A4708" s="6">
        <v>2026</v>
      </c>
      <c r="B4708" s="6">
        <f t="shared" si="601"/>
        <v>48</v>
      </c>
      <c r="C4708" s="13" t="s">
        <v>25</v>
      </c>
      <c r="D4708" s="2" t="s">
        <v>12</v>
      </c>
      <c r="E4708" s="14" t="s">
        <v>16</v>
      </c>
      <c r="F4708" s="22"/>
      <c r="H4708" s="5" t="e">
        <f ca="1">_xlfn.FORMULATEXT(표1[[#This Row],[Q''ty]])</f>
        <v>#N/A</v>
      </c>
    </row>
    <row r="4709" spans="1:8" ht="15" hidden="1" customHeight="1" thickBot="1" x14ac:dyDescent="0.45">
      <c r="A4709" s="15">
        <v>2026</v>
      </c>
      <c r="B4709" s="15">
        <f t="shared" si="601"/>
        <v>48</v>
      </c>
      <c r="C4709" s="16" t="s">
        <v>25</v>
      </c>
      <c r="D4709" s="17" t="s">
        <v>12</v>
      </c>
      <c r="E4709" s="18" t="s">
        <v>17</v>
      </c>
      <c r="F4709" s="23"/>
      <c r="H4709" s="5" t="e">
        <f ca="1">_xlfn.FORMULATEXT(표1[[#This Row],[Q''ty]])</f>
        <v>#N/A</v>
      </c>
    </row>
    <row r="4710" spans="1:8" ht="15" hidden="1" customHeight="1" thickTop="1" x14ac:dyDescent="0.4">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4">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4">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4">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4">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4">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4">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4">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4">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4">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4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4">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4">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4">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4">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4">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4">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4">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4">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4">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4">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4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4">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4">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4">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4">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4">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4">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4">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4">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4">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4">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4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4">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4">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4">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4">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4">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4">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4">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4">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4">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4">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45">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4">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4">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4">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4">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4">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4">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4">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4">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4">
      <c r="A4762" s="6">
        <v>2026</v>
      </c>
      <c r="B4762" s="6">
        <f t="shared" si="614"/>
        <v>49</v>
      </c>
      <c r="C4762" s="13" t="s">
        <v>23</v>
      </c>
      <c r="D4762" s="2" t="s">
        <v>12</v>
      </c>
      <c r="E4762" s="14" t="s">
        <v>15</v>
      </c>
      <c r="F4762" s="22"/>
      <c r="H4762" s="5" t="e">
        <f ca="1">_xlfn.FORMULATEXT(표1[[#This Row],[Q''ty]])</f>
        <v>#N/A</v>
      </c>
    </row>
    <row r="4763" spans="1:10" ht="15" hidden="1" customHeight="1" x14ac:dyDescent="0.4">
      <c r="A4763" s="6">
        <v>2026</v>
      </c>
      <c r="B4763" s="6">
        <f t="shared" si="614"/>
        <v>49</v>
      </c>
      <c r="C4763" s="13" t="s">
        <v>23</v>
      </c>
      <c r="D4763" s="2" t="s">
        <v>12</v>
      </c>
      <c r="E4763" s="14" t="s">
        <v>16</v>
      </c>
      <c r="F4763" s="22"/>
      <c r="H4763" s="5" t="e">
        <f ca="1">_xlfn.FORMULATEXT(표1[[#This Row],[Q''ty]])</f>
        <v>#N/A</v>
      </c>
    </row>
    <row r="4764" spans="1:10" ht="15" hidden="1" customHeight="1" thickBot="1" x14ac:dyDescent="0.45">
      <c r="A4764" s="15">
        <v>2026</v>
      </c>
      <c r="B4764" s="15">
        <f t="shared" si="614"/>
        <v>49</v>
      </c>
      <c r="C4764" s="16" t="s">
        <v>23</v>
      </c>
      <c r="D4764" s="17" t="s">
        <v>12</v>
      </c>
      <c r="E4764" s="18" t="s">
        <v>17</v>
      </c>
      <c r="F4764" s="23"/>
      <c r="H4764" s="5" t="e">
        <f ca="1">_xlfn.FORMULATEXT(표1[[#This Row],[Q''ty]])</f>
        <v>#N/A</v>
      </c>
    </row>
    <row r="4765" spans="1:10" ht="15" hidden="1" customHeight="1" thickTop="1" x14ac:dyDescent="0.4">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4">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4">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4">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4">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4">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4">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4">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4">
      <c r="A4773" s="6">
        <v>2026</v>
      </c>
      <c r="B4773" s="6">
        <f t="shared" si="614"/>
        <v>49</v>
      </c>
      <c r="C4773" s="13" t="s">
        <v>24</v>
      </c>
      <c r="D4773" s="2" t="s">
        <v>12</v>
      </c>
      <c r="E4773" s="14" t="s">
        <v>15</v>
      </c>
      <c r="F4773" s="22"/>
      <c r="H4773" s="5" t="e">
        <f ca="1">_xlfn.FORMULATEXT(표1[[#This Row],[Q''ty]])</f>
        <v>#N/A</v>
      </c>
    </row>
    <row r="4774" spans="1:10" ht="15" hidden="1" customHeight="1" x14ac:dyDescent="0.4">
      <c r="A4774" s="6">
        <v>2026</v>
      </c>
      <c r="B4774" s="6">
        <f t="shared" si="614"/>
        <v>49</v>
      </c>
      <c r="C4774" s="13" t="s">
        <v>24</v>
      </c>
      <c r="D4774" s="2" t="s">
        <v>12</v>
      </c>
      <c r="E4774" s="14" t="s">
        <v>16</v>
      </c>
      <c r="F4774" s="22"/>
      <c r="H4774" s="5" t="e">
        <f ca="1">_xlfn.FORMULATEXT(표1[[#This Row],[Q''ty]])</f>
        <v>#N/A</v>
      </c>
    </row>
    <row r="4775" spans="1:10" ht="15" hidden="1" customHeight="1" thickBot="1" x14ac:dyDescent="0.45">
      <c r="A4775" s="15">
        <v>2026</v>
      </c>
      <c r="B4775" s="15">
        <f t="shared" si="614"/>
        <v>49</v>
      </c>
      <c r="C4775" s="16" t="s">
        <v>24</v>
      </c>
      <c r="D4775" s="17" t="s">
        <v>12</v>
      </c>
      <c r="E4775" s="18" t="s">
        <v>17</v>
      </c>
      <c r="F4775" s="23"/>
      <c r="H4775" s="5" t="e">
        <f ca="1">_xlfn.FORMULATEXT(표1[[#This Row],[Q''ty]])</f>
        <v>#N/A</v>
      </c>
    </row>
    <row r="4776" spans="1:10" ht="15" hidden="1" customHeight="1" thickTop="1" x14ac:dyDescent="0.4">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4">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4">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4">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4">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4">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4">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4">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4">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4">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4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4">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4">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4">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4">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4">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4">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4">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4">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4">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4">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4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4">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4">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4">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4">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4">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4">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4">
      <c r="A4804" s="6">
        <v>2026</v>
      </c>
      <c r="B4804" s="6">
        <f t="shared" si="614"/>
        <v>49</v>
      </c>
      <c r="C4804" s="13" t="s">
        <v>25</v>
      </c>
      <c r="D4804" s="2" t="s">
        <v>12</v>
      </c>
      <c r="E4804" s="14" t="s">
        <v>13</v>
      </c>
      <c r="F4804" s="22"/>
      <c r="H4804" s="5" t="e">
        <f ca="1">_xlfn.FORMULATEXT(표1[[#This Row],[Q''ty]])</f>
        <v>#N/A</v>
      </c>
    </row>
    <row r="4805" spans="1:8" ht="15" hidden="1" customHeight="1" x14ac:dyDescent="0.4">
      <c r="A4805" s="6">
        <v>2026</v>
      </c>
      <c r="B4805" s="6">
        <f t="shared" si="614"/>
        <v>49</v>
      </c>
      <c r="C4805" s="13" t="s">
        <v>25</v>
      </c>
      <c r="D4805" s="2" t="s">
        <v>12</v>
      </c>
      <c r="E4805" s="14" t="s">
        <v>14</v>
      </c>
      <c r="F4805" s="22"/>
      <c r="H4805" s="5" t="e">
        <f ca="1">_xlfn.FORMULATEXT(표1[[#This Row],[Q''ty]])</f>
        <v>#N/A</v>
      </c>
    </row>
    <row r="4806" spans="1:8" ht="15" hidden="1" customHeight="1" x14ac:dyDescent="0.4">
      <c r="A4806" s="6">
        <v>2026</v>
      </c>
      <c r="B4806" s="6">
        <f t="shared" si="614"/>
        <v>49</v>
      </c>
      <c r="C4806" s="13" t="s">
        <v>25</v>
      </c>
      <c r="D4806" s="2" t="s">
        <v>12</v>
      </c>
      <c r="E4806" s="14" t="s">
        <v>15</v>
      </c>
      <c r="F4806" s="22"/>
      <c r="H4806" s="5" t="e">
        <f ca="1">_xlfn.FORMULATEXT(표1[[#This Row],[Q''ty]])</f>
        <v>#N/A</v>
      </c>
    </row>
    <row r="4807" spans="1:8" ht="15" hidden="1" customHeight="1" x14ac:dyDescent="0.4">
      <c r="A4807" s="6">
        <v>2026</v>
      </c>
      <c r="B4807" s="6">
        <f t="shared" si="614"/>
        <v>49</v>
      </c>
      <c r="C4807" s="13" t="s">
        <v>25</v>
      </c>
      <c r="D4807" s="2" t="s">
        <v>12</v>
      </c>
      <c r="E4807" s="14" t="s">
        <v>16</v>
      </c>
      <c r="F4807" s="22"/>
      <c r="H4807" s="5" t="e">
        <f ca="1">_xlfn.FORMULATEXT(표1[[#This Row],[Q''ty]])</f>
        <v>#N/A</v>
      </c>
    </row>
    <row r="4808" spans="1:8" ht="15" hidden="1" customHeight="1" thickBot="1" x14ac:dyDescent="0.45">
      <c r="A4808" s="15">
        <v>2026</v>
      </c>
      <c r="B4808" s="15">
        <f t="shared" si="614"/>
        <v>49</v>
      </c>
      <c r="C4808" s="16" t="s">
        <v>25</v>
      </c>
      <c r="D4808" s="17" t="s">
        <v>12</v>
      </c>
      <c r="E4808" s="18" t="s">
        <v>17</v>
      </c>
      <c r="F4808" s="23"/>
      <c r="H4808" s="5" t="e">
        <f ca="1">_xlfn.FORMULATEXT(표1[[#This Row],[Q''ty]])</f>
        <v>#N/A</v>
      </c>
    </row>
    <row r="4809" spans="1:8" ht="15" hidden="1" customHeight="1" thickTop="1" x14ac:dyDescent="0.4">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4">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4">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4">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4">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4">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4">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4">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4">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4">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4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4">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4">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4">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4">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4">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4">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4">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4">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4">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4">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4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4">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4">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4">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4">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4">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4">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4">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4">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4">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4">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4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4">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4">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4">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4">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4">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4">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4">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4">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4">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4">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45">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4">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4">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4">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4">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4">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4">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4">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4">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4">
      <c r="A4861" s="6">
        <v>2026</v>
      </c>
      <c r="B4861" s="6">
        <f t="shared" si="627"/>
        <v>50</v>
      </c>
      <c r="C4861" s="13" t="s">
        <v>23</v>
      </c>
      <c r="D4861" s="2" t="s">
        <v>12</v>
      </c>
      <c r="E4861" s="14" t="s">
        <v>15</v>
      </c>
      <c r="F4861" s="22"/>
      <c r="H4861" s="5" t="e">
        <f ca="1">_xlfn.FORMULATEXT(표1[[#This Row],[Q''ty]])</f>
        <v>#N/A</v>
      </c>
    </row>
    <row r="4862" spans="1:10" ht="15" hidden="1" customHeight="1" x14ac:dyDescent="0.4">
      <c r="A4862" s="6">
        <v>2026</v>
      </c>
      <c r="B4862" s="6">
        <f t="shared" si="627"/>
        <v>50</v>
      </c>
      <c r="C4862" s="13" t="s">
        <v>23</v>
      </c>
      <c r="D4862" s="2" t="s">
        <v>12</v>
      </c>
      <c r="E4862" s="14" t="s">
        <v>16</v>
      </c>
      <c r="F4862" s="22"/>
      <c r="H4862" s="5" t="e">
        <f ca="1">_xlfn.FORMULATEXT(표1[[#This Row],[Q''ty]])</f>
        <v>#N/A</v>
      </c>
    </row>
    <row r="4863" spans="1:10" ht="15" hidden="1" customHeight="1" thickBot="1" x14ac:dyDescent="0.45">
      <c r="A4863" s="15">
        <v>2026</v>
      </c>
      <c r="B4863" s="15">
        <f t="shared" si="627"/>
        <v>50</v>
      </c>
      <c r="C4863" s="16" t="s">
        <v>23</v>
      </c>
      <c r="D4863" s="17" t="s">
        <v>12</v>
      </c>
      <c r="E4863" s="18" t="s">
        <v>17</v>
      </c>
      <c r="F4863" s="23"/>
      <c r="H4863" s="5" t="e">
        <f ca="1">_xlfn.FORMULATEXT(표1[[#This Row],[Q''ty]])</f>
        <v>#N/A</v>
      </c>
    </row>
    <row r="4864" spans="1:10" ht="15" hidden="1" customHeight="1" thickTop="1" x14ac:dyDescent="0.4">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4">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4">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4">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4">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4">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4">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4">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4">
      <c r="A4872" s="6">
        <v>2026</v>
      </c>
      <c r="B4872" s="6">
        <f t="shared" si="627"/>
        <v>50</v>
      </c>
      <c r="C4872" s="13" t="s">
        <v>24</v>
      </c>
      <c r="D4872" s="2" t="s">
        <v>12</v>
      </c>
      <c r="E4872" s="14" t="s">
        <v>15</v>
      </c>
      <c r="F4872" s="22"/>
      <c r="H4872" s="5" t="e">
        <f ca="1">_xlfn.FORMULATEXT(표1[[#This Row],[Q''ty]])</f>
        <v>#N/A</v>
      </c>
    </row>
    <row r="4873" spans="1:10" ht="15" hidden="1" customHeight="1" x14ac:dyDescent="0.4">
      <c r="A4873" s="6">
        <v>2026</v>
      </c>
      <c r="B4873" s="6">
        <f t="shared" si="627"/>
        <v>50</v>
      </c>
      <c r="C4873" s="13" t="s">
        <v>24</v>
      </c>
      <c r="D4873" s="2" t="s">
        <v>12</v>
      </c>
      <c r="E4873" s="14" t="s">
        <v>16</v>
      </c>
      <c r="F4873" s="22"/>
      <c r="H4873" s="5" t="e">
        <f ca="1">_xlfn.FORMULATEXT(표1[[#This Row],[Q''ty]])</f>
        <v>#N/A</v>
      </c>
    </row>
    <row r="4874" spans="1:10" ht="15" hidden="1" customHeight="1" thickBot="1" x14ac:dyDescent="0.45">
      <c r="A4874" s="15">
        <v>2026</v>
      </c>
      <c r="B4874" s="15">
        <f t="shared" si="627"/>
        <v>50</v>
      </c>
      <c r="C4874" s="16" t="s">
        <v>24</v>
      </c>
      <c r="D4874" s="17" t="s">
        <v>12</v>
      </c>
      <c r="E4874" s="18" t="s">
        <v>17</v>
      </c>
      <c r="F4874" s="23"/>
      <c r="H4874" s="5" t="e">
        <f ca="1">_xlfn.FORMULATEXT(표1[[#This Row],[Q''ty]])</f>
        <v>#N/A</v>
      </c>
    </row>
    <row r="4875" spans="1:10" ht="15" hidden="1" customHeight="1" thickTop="1" x14ac:dyDescent="0.4">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4">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4">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4">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4">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4">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4">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4">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4">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4">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4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4">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4">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4">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4">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4">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4">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4">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4">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4">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4">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4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4">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4">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4">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4">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4">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4">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4">
      <c r="A4903" s="6">
        <v>2026</v>
      </c>
      <c r="B4903" s="6">
        <f t="shared" si="627"/>
        <v>50</v>
      </c>
      <c r="C4903" s="13" t="s">
        <v>25</v>
      </c>
      <c r="D4903" s="2" t="s">
        <v>12</v>
      </c>
      <c r="E4903" s="14" t="s">
        <v>13</v>
      </c>
      <c r="F4903" s="22"/>
      <c r="H4903" s="5" t="e">
        <f ca="1">_xlfn.FORMULATEXT(표1[[#This Row],[Q''ty]])</f>
        <v>#N/A</v>
      </c>
    </row>
    <row r="4904" spans="1:8" ht="15" hidden="1" customHeight="1" x14ac:dyDescent="0.4">
      <c r="A4904" s="6">
        <v>2026</v>
      </c>
      <c r="B4904" s="6">
        <f t="shared" si="627"/>
        <v>50</v>
      </c>
      <c r="C4904" s="13" t="s">
        <v>25</v>
      </c>
      <c r="D4904" s="2" t="s">
        <v>12</v>
      </c>
      <c r="E4904" s="14" t="s">
        <v>14</v>
      </c>
      <c r="F4904" s="22"/>
      <c r="H4904" s="5" t="e">
        <f ca="1">_xlfn.FORMULATEXT(표1[[#This Row],[Q''ty]])</f>
        <v>#N/A</v>
      </c>
    </row>
    <row r="4905" spans="1:8" ht="15" hidden="1" customHeight="1" x14ac:dyDescent="0.4">
      <c r="A4905" s="6">
        <v>2026</v>
      </c>
      <c r="B4905" s="6">
        <f t="shared" si="627"/>
        <v>50</v>
      </c>
      <c r="C4905" s="13" t="s">
        <v>25</v>
      </c>
      <c r="D4905" s="2" t="s">
        <v>12</v>
      </c>
      <c r="E4905" s="14" t="s">
        <v>15</v>
      </c>
      <c r="F4905" s="22"/>
      <c r="H4905" s="5" t="e">
        <f ca="1">_xlfn.FORMULATEXT(표1[[#This Row],[Q''ty]])</f>
        <v>#N/A</v>
      </c>
    </row>
    <row r="4906" spans="1:8" ht="15" hidden="1" customHeight="1" x14ac:dyDescent="0.4">
      <c r="A4906" s="6">
        <v>2026</v>
      </c>
      <c r="B4906" s="6">
        <f t="shared" si="627"/>
        <v>50</v>
      </c>
      <c r="C4906" s="13" t="s">
        <v>25</v>
      </c>
      <c r="D4906" s="2" t="s">
        <v>12</v>
      </c>
      <c r="E4906" s="14" t="s">
        <v>16</v>
      </c>
      <c r="F4906" s="22"/>
      <c r="H4906" s="5" t="e">
        <f ca="1">_xlfn.FORMULATEXT(표1[[#This Row],[Q''ty]])</f>
        <v>#N/A</v>
      </c>
    </row>
    <row r="4907" spans="1:8" ht="15" hidden="1" customHeight="1" thickBot="1" x14ac:dyDescent="0.45">
      <c r="A4907" s="15">
        <v>2026</v>
      </c>
      <c r="B4907" s="15">
        <f t="shared" si="627"/>
        <v>50</v>
      </c>
      <c r="C4907" s="16" t="s">
        <v>25</v>
      </c>
      <c r="D4907" s="17" t="s">
        <v>12</v>
      </c>
      <c r="E4907" s="18" t="s">
        <v>17</v>
      </c>
      <c r="F4907" s="23"/>
      <c r="H4907" s="5" t="e">
        <f ca="1">_xlfn.FORMULATEXT(표1[[#This Row],[Q''ty]])</f>
        <v>#N/A</v>
      </c>
    </row>
    <row r="4908" spans="1:8" ht="15" hidden="1" customHeight="1" thickTop="1" x14ac:dyDescent="0.4">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4">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4">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4">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4">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4">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4">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4">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4">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4">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4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4">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4">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4">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4">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4">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4">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4">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4">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4">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4">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4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4">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4">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4">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4">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4">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4">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4">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4">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4">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4">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4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4">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4">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4">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4">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4">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4">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4">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4">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4">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4">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45">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4">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4">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4">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4">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4">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4">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4">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4">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4">
      <c r="A4960" s="6">
        <v>2026</v>
      </c>
      <c r="B4960" s="6">
        <f t="shared" si="640"/>
        <v>51</v>
      </c>
      <c r="C4960" s="13" t="s">
        <v>23</v>
      </c>
      <c r="D4960" s="2" t="s">
        <v>12</v>
      </c>
      <c r="E4960" s="14" t="s">
        <v>15</v>
      </c>
      <c r="F4960" s="22"/>
      <c r="H4960" s="5" t="e">
        <f ca="1">_xlfn.FORMULATEXT(표1[[#This Row],[Q''ty]])</f>
        <v>#N/A</v>
      </c>
    </row>
    <row r="4961" spans="1:10" ht="15" hidden="1" customHeight="1" x14ac:dyDescent="0.4">
      <c r="A4961" s="6">
        <v>2026</v>
      </c>
      <c r="B4961" s="6">
        <f t="shared" si="640"/>
        <v>51</v>
      </c>
      <c r="C4961" s="13" t="s">
        <v>23</v>
      </c>
      <c r="D4961" s="2" t="s">
        <v>12</v>
      </c>
      <c r="E4961" s="14" t="s">
        <v>16</v>
      </c>
      <c r="F4961" s="22"/>
      <c r="H4961" s="5" t="e">
        <f ca="1">_xlfn.FORMULATEXT(표1[[#This Row],[Q''ty]])</f>
        <v>#N/A</v>
      </c>
    </row>
    <row r="4962" spans="1:10" ht="15" hidden="1" customHeight="1" thickBot="1" x14ac:dyDescent="0.45">
      <c r="A4962" s="15">
        <v>2026</v>
      </c>
      <c r="B4962" s="15">
        <f t="shared" si="640"/>
        <v>51</v>
      </c>
      <c r="C4962" s="16" t="s">
        <v>23</v>
      </c>
      <c r="D4962" s="17" t="s">
        <v>12</v>
      </c>
      <c r="E4962" s="18" t="s">
        <v>17</v>
      </c>
      <c r="F4962" s="23"/>
      <c r="H4962" s="5" t="e">
        <f ca="1">_xlfn.FORMULATEXT(표1[[#This Row],[Q''ty]])</f>
        <v>#N/A</v>
      </c>
    </row>
    <row r="4963" spans="1:10" ht="15" hidden="1" customHeight="1" thickTop="1" x14ac:dyDescent="0.4">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4">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4">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4">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4">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4">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4">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4">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4">
      <c r="A4971" s="6">
        <v>2026</v>
      </c>
      <c r="B4971" s="6">
        <f t="shared" si="640"/>
        <v>51</v>
      </c>
      <c r="C4971" s="13" t="s">
        <v>24</v>
      </c>
      <c r="D4971" s="2" t="s">
        <v>12</v>
      </c>
      <c r="E4971" s="14" t="s">
        <v>15</v>
      </c>
      <c r="F4971" s="22"/>
      <c r="H4971" s="5" t="e">
        <f ca="1">_xlfn.FORMULATEXT(표1[[#This Row],[Q''ty]])</f>
        <v>#N/A</v>
      </c>
    </row>
    <row r="4972" spans="1:10" ht="15" hidden="1" customHeight="1" x14ac:dyDescent="0.4">
      <c r="A4972" s="6">
        <v>2026</v>
      </c>
      <c r="B4972" s="6">
        <f t="shared" si="640"/>
        <v>51</v>
      </c>
      <c r="C4972" s="13" t="s">
        <v>24</v>
      </c>
      <c r="D4972" s="2" t="s">
        <v>12</v>
      </c>
      <c r="E4972" s="14" t="s">
        <v>16</v>
      </c>
      <c r="F4972" s="22"/>
      <c r="H4972" s="5" t="e">
        <f ca="1">_xlfn.FORMULATEXT(표1[[#This Row],[Q''ty]])</f>
        <v>#N/A</v>
      </c>
    </row>
    <row r="4973" spans="1:10" ht="15" hidden="1" customHeight="1" thickBot="1" x14ac:dyDescent="0.45">
      <c r="A4973" s="15">
        <v>2026</v>
      </c>
      <c r="B4973" s="15">
        <f t="shared" si="640"/>
        <v>51</v>
      </c>
      <c r="C4973" s="16" t="s">
        <v>24</v>
      </c>
      <c r="D4973" s="17" t="s">
        <v>12</v>
      </c>
      <c r="E4973" s="18" t="s">
        <v>17</v>
      </c>
      <c r="F4973" s="23"/>
      <c r="H4973" s="5" t="e">
        <f ca="1">_xlfn.FORMULATEXT(표1[[#This Row],[Q''ty]])</f>
        <v>#N/A</v>
      </c>
    </row>
    <row r="4974" spans="1:10" ht="15" hidden="1" customHeight="1" thickTop="1" x14ac:dyDescent="0.4">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4">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4">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4">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4">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4">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4">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4">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4">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4">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4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4">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4">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4">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4">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4">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4">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4">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4">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4">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4">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4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4">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4">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4">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4">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4">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4">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4">
      <c r="A5002" s="6">
        <v>2026</v>
      </c>
      <c r="B5002" s="6">
        <f t="shared" si="640"/>
        <v>51</v>
      </c>
      <c r="C5002" s="13" t="s">
        <v>25</v>
      </c>
      <c r="D5002" s="2" t="s">
        <v>12</v>
      </c>
      <c r="E5002" s="14" t="s">
        <v>13</v>
      </c>
      <c r="F5002" s="22"/>
      <c r="H5002" s="5" t="e">
        <f ca="1">_xlfn.FORMULATEXT(표1[[#This Row],[Q''ty]])</f>
        <v>#N/A</v>
      </c>
    </row>
    <row r="5003" spans="1:8" ht="15" hidden="1" customHeight="1" x14ac:dyDescent="0.4">
      <c r="A5003" s="6">
        <v>2026</v>
      </c>
      <c r="B5003" s="6">
        <f t="shared" si="640"/>
        <v>51</v>
      </c>
      <c r="C5003" s="13" t="s">
        <v>25</v>
      </c>
      <c r="D5003" s="2" t="s">
        <v>12</v>
      </c>
      <c r="E5003" s="14" t="s">
        <v>14</v>
      </c>
      <c r="F5003" s="22"/>
      <c r="H5003" s="5" t="e">
        <f ca="1">_xlfn.FORMULATEXT(표1[[#This Row],[Q''ty]])</f>
        <v>#N/A</v>
      </c>
    </row>
    <row r="5004" spans="1:8" ht="15" hidden="1" customHeight="1" x14ac:dyDescent="0.4">
      <c r="A5004" s="6">
        <v>2026</v>
      </c>
      <c r="B5004" s="6">
        <f t="shared" si="640"/>
        <v>51</v>
      </c>
      <c r="C5004" s="13" t="s">
        <v>25</v>
      </c>
      <c r="D5004" s="2" t="s">
        <v>12</v>
      </c>
      <c r="E5004" s="14" t="s">
        <v>15</v>
      </c>
      <c r="F5004" s="22"/>
      <c r="H5004" s="5" t="e">
        <f ca="1">_xlfn.FORMULATEXT(표1[[#This Row],[Q''ty]])</f>
        <v>#N/A</v>
      </c>
    </row>
    <row r="5005" spans="1:8" ht="15" hidden="1" customHeight="1" x14ac:dyDescent="0.4">
      <c r="A5005" s="6">
        <v>2026</v>
      </c>
      <c r="B5005" s="6">
        <f t="shared" si="640"/>
        <v>51</v>
      </c>
      <c r="C5005" s="13" t="s">
        <v>25</v>
      </c>
      <c r="D5005" s="2" t="s">
        <v>12</v>
      </c>
      <c r="E5005" s="14" t="s">
        <v>16</v>
      </c>
      <c r="F5005" s="22"/>
      <c r="H5005" s="5" t="e">
        <f ca="1">_xlfn.FORMULATEXT(표1[[#This Row],[Q''ty]])</f>
        <v>#N/A</v>
      </c>
    </row>
    <row r="5006" spans="1:8" ht="15" hidden="1" customHeight="1" thickBot="1" x14ac:dyDescent="0.45">
      <c r="A5006" s="15">
        <v>2026</v>
      </c>
      <c r="B5006" s="15">
        <f t="shared" si="640"/>
        <v>51</v>
      </c>
      <c r="C5006" s="16" t="s">
        <v>25</v>
      </c>
      <c r="D5006" s="17" t="s">
        <v>12</v>
      </c>
      <c r="E5006" s="18" t="s">
        <v>17</v>
      </c>
      <c r="F5006" s="23"/>
      <c r="H5006" s="5" t="e">
        <f ca="1">_xlfn.FORMULATEXT(표1[[#This Row],[Q''ty]])</f>
        <v>#N/A</v>
      </c>
    </row>
    <row r="5007" spans="1:8" ht="15" hidden="1" customHeight="1" thickTop="1" x14ac:dyDescent="0.4">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4">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4">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4">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4">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4">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4">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4">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4">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4">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4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4">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4">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4">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4">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4">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4">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4">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4">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4">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4">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4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4">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4">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4">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4">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4">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4">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4">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4">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4">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4">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4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4">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4">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4">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4">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4">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4">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4">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4">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4">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4">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45">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4">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4">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4">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4">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4">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4">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4">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4">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4">
      <c r="A5059" s="6">
        <v>2026</v>
      </c>
      <c r="B5059" s="6">
        <f t="shared" si="653"/>
        <v>52</v>
      </c>
      <c r="C5059" s="13" t="s">
        <v>23</v>
      </c>
      <c r="D5059" s="2" t="s">
        <v>12</v>
      </c>
      <c r="E5059" s="14" t="s">
        <v>15</v>
      </c>
      <c r="F5059" s="22"/>
      <c r="H5059" s="5" t="e">
        <f ca="1">_xlfn.FORMULATEXT(표1[[#This Row],[Q''ty]])</f>
        <v>#N/A</v>
      </c>
    </row>
    <row r="5060" spans="1:10" ht="15" hidden="1" customHeight="1" x14ac:dyDescent="0.4">
      <c r="A5060" s="6">
        <v>2026</v>
      </c>
      <c r="B5060" s="6">
        <f t="shared" si="653"/>
        <v>52</v>
      </c>
      <c r="C5060" s="13" t="s">
        <v>23</v>
      </c>
      <c r="D5060" s="2" t="s">
        <v>12</v>
      </c>
      <c r="E5060" s="14" t="s">
        <v>16</v>
      </c>
      <c r="F5060" s="22"/>
      <c r="H5060" s="5" t="e">
        <f ca="1">_xlfn.FORMULATEXT(표1[[#This Row],[Q''ty]])</f>
        <v>#N/A</v>
      </c>
    </row>
    <row r="5061" spans="1:10" ht="15" hidden="1" customHeight="1" thickBot="1" x14ac:dyDescent="0.45">
      <c r="A5061" s="15">
        <v>2026</v>
      </c>
      <c r="B5061" s="15">
        <f t="shared" si="653"/>
        <v>52</v>
      </c>
      <c r="C5061" s="16" t="s">
        <v>23</v>
      </c>
      <c r="D5061" s="17" t="s">
        <v>12</v>
      </c>
      <c r="E5061" s="18" t="s">
        <v>17</v>
      </c>
      <c r="F5061" s="23"/>
      <c r="H5061" s="5" t="e">
        <f ca="1">_xlfn.FORMULATEXT(표1[[#This Row],[Q''ty]])</f>
        <v>#N/A</v>
      </c>
    </row>
    <row r="5062" spans="1:10" ht="15" hidden="1" customHeight="1" thickTop="1" x14ac:dyDescent="0.4">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4">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4">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4">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4">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4">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4">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4">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4">
      <c r="A5070" s="6">
        <v>2026</v>
      </c>
      <c r="B5070" s="6">
        <f t="shared" si="653"/>
        <v>52</v>
      </c>
      <c r="C5070" s="13" t="s">
        <v>24</v>
      </c>
      <c r="D5070" s="2" t="s">
        <v>12</v>
      </c>
      <c r="E5070" s="14" t="s">
        <v>15</v>
      </c>
      <c r="F5070" s="22"/>
      <c r="H5070" s="5" t="e">
        <f ca="1">_xlfn.FORMULATEXT(표1[[#This Row],[Q''ty]])</f>
        <v>#N/A</v>
      </c>
    </row>
    <row r="5071" spans="1:10" ht="15" hidden="1" customHeight="1" x14ac:dyDescent="0.4">
      <c r="A5071" s="6">
        <v>2026</v>
      </c>
      <c r="B5071" s="6">
        <f t="shared" si="653"/>
        <v>52</v>
      </c>
      <c r="C5071" s="13" t="s">
        <v>24</v>
      </c>
      <c r="D5071" s="2" t="s">
        <v>12</v>
      </c>
      <c r="E5071" s="14" t="s">
        <v>16</v>
      </c>
      <c r="F5071" s="22"/>
      <c r="H5071" s="5" t="e">
        <f ca="1">_xlfn.FORMULATEXT(표1[[#This Row],[Q''ty]])</f>
        <v>#N/A</v>
      </c>
    </row>
    <row r="5072" spans="1:10" ht="15" hidden="1" customHeight="1" thickBot="1" x14ac:dyDescent="0.45">
      <c r="A5072" s="15">
        <v>2026</v>
      </c>
      <c r="B5072" s="15">
        <f t="shared" si="653"/>
        <v>52</v>
      </c>
      <c r="C5072" s="16" t="s">
        <v>24</v>
      </c>
      <c r="D5072" s="17" t="s">
        <v>12</v>
      </c>
      <c r="E5072" s="18" t="s">
        <v>17</v>
      </c>
      <c r="F5072" s="23"/>
      <c r="H5072" s="5" t="e">
        <f ca="1">_xlfn.FORMULATEXT(표1[[#This Row],[Q''ty]])</f>
        <v>#N/A</v>
      </c>
    </row>
    <row r="5073" spans="1:8" ht="15" hidden="1" customHeight="1" thickTop="1" x14ac:dyDescent="0.4">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4">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4">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4">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4">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4">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4">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4">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4">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4">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4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4">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4">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4">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4">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4">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4">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4">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4">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4">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4">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4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4">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4">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4">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4">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4">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4">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4">
      <c r="A5101" s="6">
        <v>2026</v>
      </c>
      <c r="B5101" s="6">
        <f t="shared" si="653"/>
        <v>52</v>
      </c>
      <c r="C5101" s="13" t="s">
        <v>25</v>
      </c>
      <c r="D5101" s="2" t="s">
        <v>12</v>
      </c>
      <c r="E5101" s="14" t="s">
        <v>13</v>
      </c>
      <c r="F5101" s="22"/>
      <c r="H5101" s="5" t="e">
        <f ca="1">_xlfn.FORMULATEXT(표1[[#This Row],[Q''ty]])</f>
        <v>#N/A</v>
      </c>
    </row>
    <row r="5102" spans="1:8" ht="15" hidden="1" customHeight="1" x14ac:dyDescent="0.4">
      <c r="A5102" s="6">
        <v>2026</v>
      </c>
      <c r="B5102" s="6">
        <f t="shared" si="653"/>
        <v>52</v>
      </c>
      <c r="C5102" s="13" t="s">
        <v>25</v>
      </c>
      <c r="D5102" s="2" t="s">
        <v>12</v>
      </c>
      <c r="E5102" s="14" t="s">
        <v>14</v>
      </c>
      <c r="F5102" s="22"/>
      <c r="H5102" s="5" t="e">
        <f ca="1">_xlfn.FORMULATEXT(표1[[#This Row],[Q''ty]])</f>
        <v>#N/A</v>
      </c>
    </row>
    <row r="5103" spans="1:8" ht="15" hidden="1" customHeight="1" x14ac:dyDescent="0.4">
      <c r="A5103" s="6">
        <v>2026</v>
      </c>
      <c r="B5103" s="6">
        <f t="shared" si="653"/>
        <v>52</v>
      </c>
      <c r="C5103" s="13" t="s">
        <v>25</v>
      </c>
      <c r="D5103" s="2" t="s">
        <v>12</v>
      </c>
      <c r="E5103" s="14" t="s">
        <v>15</v>
      </c>
      <c r="F5103" s="22"/>
      <c r="H5103" s="5" t="e">
        <f ca="1">_xlfn.FORMULATEXT(표1[[#This Row],[Q''ty]])</f>
        <v>#N/A</v>
      </c>
    </row>
    <row r="5104" spans="1:8" ht="15" hidden="1" customHeight="1" x14ac:dyDescent="0.4">
      <c r="A5104" s="6">
        <v>2026</v>
      </c>
      <c r="B5104" s="6">
        <f t="shared" si="653"/>
        <v>52</v>
      </c>
      <c r="C5104" s="13" t="s">
        <v>25</v>
      </c>
      <c r="D5104" s="2" t="s">
        <v>12</v>
      </c>
      <c r="E5104" s="14" t="s">
        <v>16</v>
      </c>
      <c r="F5104" s="22"/>
      <c r="H5104" s="5" t="e">
        <f ca="1">_xlfn.FORMULATEXT(표1[[#This Row],[Q''ty]])</f>
        <v>#N/A</v>
      </c>
    </row>
    <row r="5105" spans="1:8" ht="15" hidden="1" customHeight="1" thickBot="1" x14ac:dyDescent="0.45">
      <c r="A5105" s="15">
        <v>2026</v>
      </c>
      <c r="B5105" s="15">
        <f t="shared" si="653"/>
        <v>52</v>
      </c>
      <c r="C5105" s="16" t="s">
        <v>25</v>
      </c>
      <c r="D5105" s="17" t="s">
        <v>12</v>
      </c>
      <c r="E5105" s="18" t="s">
        <v>17</v>
      </c>
      <c r="F5105" s="23"/>
      <c r="H5105" s="5" t="e">
        <f ca="1">_xlfn.FORMULATEXT(표1[[#This Row],[Q''ty]])</f>
        <v>#N/A</v>
      </c>
    </row>
    <row r="5106" spans="1:8" ht="15" hidden="1" customHeight="1" thickTop="1" x14ac:dyDescent="0.4">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4">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4">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4">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4">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4">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4">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4">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4">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4">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4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4">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4">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4">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4">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4">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4">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4">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4">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4">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4">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4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4">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4">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4">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4">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4">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4">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4">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4">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4">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4">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4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4">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4">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4">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4">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4">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4">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4">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4">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4">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4">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45">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4">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4">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4">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4">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4">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4">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4">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4">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4">
      <c r="A5158" s="6">
        <v>2026</v>
      </c>
      <c r="B5158" s="6">
        <f t="shared" si="666"/>
        <v>53</v>
      </c>
      <c r="C5158" s="13" t="s">
        <v>23</v>
      </c>
      <c r="D5158" s="2" t="s">
        <v>12</v>
      </c>
      <c r="E5158" s="14" t="s">
        <v>15</v>
      </c>
      <c r="F5158" s="22"/>
      <c r="H5158" s="5" t="e">
        <f ca="1">_xlfn.FORMULATEXT(표1[[#This Row],[Q''ty]])</f>
        <v>#N/A</v>
      </c>
    </row>
    <row r="5159" spans="1:10" ht="15" hidden="1" customHeight="1" x14ac:dyDescent="0.4">
      <c r="A5159" s="6">
        <v>2026</v>
      </c>
      <c r="B5159" s="6">
        <f t="shared" si="666"/>
        <v>53</v>
      </c>
      <c r="C5159" s="13" t="s">
        <v>23</v>
      </c>
      <c r="D5159" s="2" t="s">
        <v>12</v>
      </c>
      <c r="E5159" s="14" t="s">
        <v>16</v>
      </c>
      <c r="F5159" s="22"/>
      <c r="H5159" s="5" t="e">
        <f ca="1">_xlfn.FORMULATEXT(표1[[#This Row],[Q''ty]])</f>
        <v>#N/A</v>
      </c>
    </row>
    <row r="5160" spans="1:10" ht="15" hidden="1" customHeight="1" thickBot="1" x14ac:dyDescent="0.45">
      <c r="A5160" s="15">
        <v>2026</v>
      </c>
      <c r="B5160" s="15">
        <f t="shared" si="666"/>
        <v>53</v>
      </c>
      <c r="C5160" s="16" t="s">
        <v>23</v>
      </c>
      <c r="D5160" s="17" t="s">
        <v>12</v>
      </c>
      <c r="E5160" s="18" t="s">
        <v>17</v>
      </c>
      <c r="F5160" s="23"/>
      <c r="H5160" s="5" t="e">
        <f ca="1">_xlfn.FORMULATEXT(표1[[#This Row],[Q''ty]])</f>
        <v>#N/A</v>
      </c>
    </row>
    <row r="5161" spans="1:10" ht="15" hidden="1" customHeight="1" thickTop="1" x14ac:dyDescent="0.4">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4">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4">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4">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4">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4">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4">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4">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4">
      <c r="A5169" s="6">
        <v>2026</v>
      </c>
      <c r="B5169" s="6">
        <f t="shared" si="666"/>
        <v>53</v>
      </c>
      <c r="C5169" s="13" t="s">
        <v>24</v>
      </c>
      <c r="D5169" s="2" t="s">
        <v>12</v>
      </c>
      <c r="E5169" s="14" t="s">
        <v>15</v>
      </c>
      <c r="F5169" s="22"/>
      <c r="H5169" s="5" t="e">
        <f ca="1">_xlfn.FORMULATEXT(표1[[#This Row],[Q''ty]])</f>
        <v>#N/A</v>
      </c>
    </row>
    <row r="5170" spans="1:8" ht="15" hidden="1" customHeight="1" x14ac:dyDescent="0.4">
      <c r="A5170" s="6">
        <v>2026</v>
      </c>
      <c r="B5170" s="6">
        <f t="shared" si="666"/>
        <v>53</v>
      </c>
      <c r="C5170" s="13" t="s">
        <v>24</v>
      </c>
      <c r="D5170" s="2" t="s">
        <v>12</v>
      </c>
      <c r="E5170" s="14" t="s">
        <v>16</v>
      </c>
      <c r="F5170" s="22"/>
      <c r="H5170" s="5" t="e">
        <f ca="1">_xlfn.FORMULATEXT(표1[[#This Row],[Q''ty]])</f>
        <v>#N/A</v>
      </c>
    </row>
    <row r="5171" spans="1:8" ht="15" hidden="1" customHeight="1" thickBot="1" x14ac:dyDescent="0.45">
      <c r="A5171" s="15">
        <v>2026</v>
      </c>
      <c r="B5171" s="15">
        <f t="shared" si="666"/>
        <v>53</v>
      </c>
      <c r="C5171" s="16" t="s">
        <v>24</v>
      </c>
      <c r="D5171" s="17" t="s">
        <v>12</v>
      </c>
      <c r="E5171" s="18" t="s">
        <v>17</v>
      </c>
      <c r="F5171" s="23"/>
      <c r="H5171" s="5" t="e">
        <f ca="1">_xlfn.FORMULATEXT(표1[[#This Row],[Q''ty]])</f>
        <v>#N/A</v>
      </c>
    </row>
    <row r="5172" spans="1:8" ht="15" hidden="1" customHeight="1" thickTop="1" x14ac:dyDescent="0.4">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4">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4">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4">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4">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4">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4">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4">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4">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4">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4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4">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4">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4">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4">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4">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4">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4">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4">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4">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4">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4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4">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4">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4">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4">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4">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4">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4">
      <c r="A5200" s="6">
        <v>2026</v>
      </c>
      <c r="B5200" s="6">
        <f t="shared" si="666"/>
        <v>53</v>
      </c>
      <c r="C5200" s="13" t="s">
        <v>25</v>
      </c>
      <c r="D5200" s="2" t="s">
        <v>12</v>
      </c>
      <c r="E5200" s="14" t="s">
        <v>13</v>
      </c>
      <c r="F5200" s="22"/>
      <c r="H5200" s="5" t="e">
        <f ca="1">_xlfn.FORMULATEXT(표1[[#This Row],[Q''ty]])</f>
        <v>#N/A</v>
      </c>
    </row>
    <row r="5201" spans="1:8" ht="15" hidden="1" customHeight="1" x14ac:dyDescent="0.4">
      <c r="A5201" s="6">
        <v>2026</v>
      </c>
      <c r="B5201" s="6">
        <f t="shared" si="666"/>
        <v>53</v>
      </c>
      <c r="C5201" s="13" t="s">
        <v>25</v>
      </c>
      <c r="D5201" s="2" t="s">
        <v>12</v>
      </c>
      <c r="E5201" s="14" t="s">
        <v>14</v>
      </c>
      <c r="F5201" s="22"/>
      <c r="H5201" s="5" t="e">
        <f ca="1">_xlfn.FORMULATEXT(표1[[#This Row],[Q''ty]])</f>
        <v>#N/A</v>
      </c>
    </row>
    <row r="5202" spans="1:8" ht="15" hidden="1" customHeight="1" x14ac:dyDescent="0.4">
      <c r="A5202" s="6">
        <v>2026</v>
      </c>
      <c r="B5202" s="6">
        <f t="shared" si="666"/>
        <v>53</v>
      </c>
      <c r="C5202" s="13" t="s">
        <v>25</v>
      </c>
      <c r="D5202" s="2" t="s">
        <v>12</v>
      </c>
      <c r="E5202" s="14" t="s">
        <v>15</v>
      </c>
      <c r="F5202" s="22"/>
      <c r="H5202" s="5" t="e">
        <f ca="1">_xlfn.FORMULATEXT(표1[[#This Row],[Q''ty]])</f>
        <v>#N/A</v>
      </c>
    </row>
    <row r="5203" spans="1:8" ht="15" hidden="1" customHeight="1" x14ac:dyDescent="0.4">
      <c r="A5203" s="6">
        <v>2026</v>
      </c>
      <c r="B5203" s="6">
        <f t="shared" si="666"/>
        <v>53</v>
      </c>
      <c r="C5203" s="13" t="s">
        <v>25</v>
      </c>
      <c r="D5203" s="2" t="s">
        <v>12</v>
      </c>
      <c r="E5203" s="14" t="s">
        <v>16</v>
      </c>
      <c r="F5203" s="22"/>
      <c r="H5203" s="5" t="e">
        <f ca="1">_xlfn.FORMULATEXT(표1[[#This Row],[Q''ty]])</f>
        <v>#N/A</v>
      </c>
    </row>
    <row r="5204" spans="1:8" ht="15" hidden="1" customHeight="1" thickBot="1" x14ac:dyDescent="0.45">
      <c r="A5204" s="15">
        <v>2026</v>
      </c>
      <c r="B5204" s="15">
        <f t="shared" si="666"/>
        <v>53</v>
      </c>
      <c r="C5204" s="16" t="s">
        <v>25</v>
      </c>
      <c r="D5204" s="17" t="s">
        <v>12</v>
      </c>
      <c r="E5204" s="18" t="s">
        <v>17</v>
      </c>
      <c r="F5204" s="23"/>
      <c r="H5204" s="5" t="e">
        <f ca="1">_xlfn.FORMULATEXT(표1[[#This Row],[Q''ty]])</f>
        <v>#N/A</v>
      </c>
    </row>
    <row r="5205" spans="1:8" ht="15" hidden="1" customHeight="1" thickTop="1" x14ac:dyDescent="0.4">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4">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4">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4">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4">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4">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4">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4">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4">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4">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4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4">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4">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4">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4">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4">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4">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4">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4">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4">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4">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4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4">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4">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4">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4">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4">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4">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4">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4">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4">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4">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4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4">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4">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4">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4">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4">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4">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4">
      <c r="A5244" s="6">
        <v>2026</v>
      </c>
      <c r="B5244" s="6">
        <f t="shared" si="674"/>
        <v>53</v>
      </c>
      <c r="C5244" s="13" t="s">
        <v>22</v>
      </c>
      <c r="D5244" s="2" t="s">
        <v>12</v>
      </c>
      <c r="E5244" s="14" t="str">
        <f t="shared" si="673"/>
        <v>BT GT</v>
      </c>
      <c r="F5244" s="22"/>
    </row>
    <row r="5245" spans="1:8" ht="15" hidden="1" customHeight="1" x14ac:dyDescent="0.4">
      <c r="A5245" s="6">
        <v>2026</v>
      </c>
      <c r="B5245" s="6">
        <f t="shared" si="674"/>
        <v>53</v>
      </c>
      <c r="C5245" s="13" t="s">
        <v>22</v>
      </c>
      <c r="D5245" s="2" t="s">
        <v>12</v>
      </c>
      <c r="E5245" s="14" t="str">
        <f t="shared" si="673"/>
        <v>WT GT</v>
      </c>
      <c r="F5245" s="22"/>
    </row>
    <row r="5246" spans="1:8" ht="15" hidden="1" customHeight="1" x14ac:dyDescent="0.4">
      <c r="A5246" s="6">
        <v>2026</v>
      </c>
      <c r="B5246" s="6">
        <f t="shared" si="674"/>
        <v>53</v>
      </c>
      <c r="C5246" s="13" t="s">
        <v>22</v>
      </c>
      <c r="D5246" s="2" t="s">
        <v>12</v>
      </c>
      <c r="E5246" s="14" t="str">
        <f t="shared" si="673"/>
        <v>Bending</v>
      </c>
      <c r="F5246" s="22"/>
    </row>
    <row r="5247" spans="1:8" ht="15" hidden="1" customHeight="1" x14ac:dyDescent="0.4">
      <c r="A5247" s="6">
        <v>2026</v>
      </c>
      <c r="B5247" s="6">
        <f t="shared" si="674"/>
        <v>53</v>
      </c>
      <c r="C5247" s="13" t="s">
        <v>22</v>
      </c>
      <c r="D5247" s="2" t="s">
        <v>12</v>
      </c>
      <c r="E5247" s="14" t="str">
        <f t="shared" si="673"/>
        <v>L/W</v>
      </c>
      <c r="F5247" s="22"/>
    </row>
    <row r="5248" spans="1:8" ht="15" hidden="1" customHeight="1" x14ac:dyDescent="0.4">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2026-04-20T09:00:41Z</dcterms:modified>
</cp:coreProperties>
</file>